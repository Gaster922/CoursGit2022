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egep\Session Automne 2022\outils de gestion\Exel\projet final\"/>
    </mc:Choice>
  </mc:AlternateContent>
  <xr:revisionPtr revIDLastSave="0" documentId="13_ncr:1_{1C729C62-A585-4A56-A846-5E540CAD3625}" xr6:coauthVersionLast="47" xr6:coauthVersionMax="47" xr10:uidLastSave="{00000000-0000-0000-0000-000000000000}"/>
  <bookViews>
    <workbookView xWindow="-120" yWindow="-120" windowWidth="29040" windowHeight="15840" activeTab="1" xr2:uid="{2E0596BF-1F11-4EF0-AE4C-C230D0F24728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1" l="1"/>
  <c r="AA4" i="1"/>
  <c r="AE4" i="1"/>
  <c r="C5" i="2"/>
  <c r="AF4" i="1"/>
  <c r="AE5" i="1"/>
  <c r="AD2" i="1"/>
  <c r="AD5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4" i="1"/>
  <c r="AH4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G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D19" i="1"/>
  <c r="AD20" i="1"/>
  <c r="N4" i="1" l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P4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72" i="1"/>
  <c r="M73" i="1"/>
  <c r="M74" i="1"/>
  <c r="M75" i="1"/>
  <c r="M76" i="1"/>
  <c r="M77" i="1"/>
  <c r="M78" i="1"/>
  <c r="M79" i="1"/>
  <c r="M64" i="1"/>
  <c r="M65" i="1"/>
  <c r="M66" i="1"/>
  <c r="M67" i="1"/>
  <c r="M68" i="1"/>
  <c r="M69" i="1"/>
  <c r="M70" i="1"/>
  <c r="M71" i="1"/>
  <c r="D39" i="1"/>
  <c r="D31" i="1"/>
  <c r="D23" i="1"/>
  <c r="D37" i="1"/>
  <c r="D38" i="1" s="1"/>
  <c r="D29" i="1"/>
  <c r="D30" i="1" s="1"/>
  <c r="D21" i="1"/>
  <c r="D22" i="1" s="1"/>
  <c r="Q4" i="1"/>
  <c r="O4" i="1"/>
  <c r="U4" i="1" s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4" i="1"/>
  <c r="AB4" i="1" l="1"/>
  <c r="X4" i="1"/>
  <c r="Y4" i="1"/>
  <c r="V4" i="1"/>
  <c r="T4" i="1"/>
  <c r="Z4" i="1" l="1"/>
  <c r="S4" i="1" s="1"/>
  <c r="W4" i="1"/>
  <c r="R4" i="1" s="1"/>
  <c r="N5" i="1" l="1"/>
  <c r="P5" i="1"/>
  <c r="O5" i="1"/>
  <c r="Q5" i="1"/>
  <c r="U5" i="1" l="1"/>
  <c r="S5" i="1" s="1"/>
  <c r="Q6" i="1" s="1"/>
  <c r="T5" i="1"/>
  <c r="Z5" i="1" s="1"/>
  <c r="V5" i="1"/>
  <c r="AB5" i="1" s="1"/>
  <c r="Y5" i="1" l="1"/>
  <c r="X5" i="1"/>
  <c r="W5" i="1"/>
  <c r="O6" i="1" l="1"/>
  <c r="R5" i="1"/>
  <c r="P6" i="1" l="1"/>
  <c r="N6" i="1"/>
  <c r="U6" i="1"/>
  <c r="AA6" i="1" s="1"/>
  <c r="X6" i="1" l="1"/>
  <c r="T6" i="1"/>
  <c r="Z6" i="1" s="1"/>
  <c r="V6" i="1"/>
  <c r="AB6" i="1" s="1"/>
  <c r="Y6" i="1" l="1"/>
  <c r="W6" i="1"/>
  <c r="R6" i="1" s="1"/>
  <c r="N7" i="1" s="1"/>
  <c r="S6" i="1"/>
  <c r="P7" i="1" l="1"/>
  <c r="O7" i="1"/>
  <c r="Q7" i="1"/>
  <c r="V7" i="1" l="1"/>
  <c r="AB7" i="1" s="1"/>
  <c r="T7" i="1" l="1"/>
  <c r="W7" i="1" s="1"/>
  <c r="U7" i="1"/>
  <c r="AA7" i="1" s="1"/>
  <c r="Y7" i="1"/>
  <c r="X7" i="1" l="1"/>
  <c r="R7" i="1" s="1"/>
  <c r="P8" i="1" s="1"/>
  <c r="Z7" i="1"/>
  <c r="S7" i="1" s="1"/>
  <c r="O8" i="1" s="1"/>
  <c r="Q8" i="1" l="1"/>
  <c r="N8" i="1"/>
  <c r="T8" i="1" s="1"/>
  <c r="Z8" i="1" s="1"/>
  <c r="W8" i="1" l="1"/>
  <c r="U8" i="1"/>
  <c r="AA8" i="1" s="1"/>
  <c r="V8" i="1"/>
  <c r="Y8" i="1" s="1"/>
  <c r="X8" i="1" l="1"/>
  <c r="R8" i="1"/>
  <c r="N9" i="1" s="1"/>
  <c r="AB8" i="1"/>
  <c r="P9" i="1" l="1"/>
  <c r="S8" i="1"/>
  <c r="O9" i="1" s="1"/>
  <c r="V9" i="1" l="1"/>
  <c r="Y9" i="1" s="1"/>
  <c r="U9" i="1"/>
  <c r="AA9" i="1" s="1"/>
  <c r="T9" i="1"/>
  <c r="Z9" i="1" s="1"/>
  <c r="AB9" i="1"/>
  <c r="Q9" i="1"/>
  <c r="W9" i="1" l="1"/>
  <c r="S9" i="1"/>
  <c r="Q10" i="1" s="1"/>
  <c r="X9" i="1"/>
  <c r="O10" i="1"/>
  <c r="R9" i="1" l="1"/>
  <c r="N10" i="1" s="1"/>
  <c r="V10" i="1" s="1"/>
  <c r="U10" i="1" l="1"/>
  <c r="AA10" i="1" s="1"/>
  <c r="T10" i="1"/>
  <c r="Z10" i="1" s="1"/>
  <c r="P10" i="1"/>
  <c r="Y10" i="1"/>
  <c r="AB10" i="1"/>
  <c r="X10" i="1" l="1"/>
  <c r="W10" i="1"/>
  <c r="R10" i="1" s="1"/>
  <c r="N11" i="1" s="1"/>
  <c r="S10" i="1"/>
  <c r="O11" i="1" s="1"/>
  <c r="P11" i="1" l="1"/>
  <c r="Q11" i="1"/>
  <c r="U11" i="1"/>
  <c r="X11" i="1" s="1"/>
  <c r="V11" i="1"/>
  <c r="AB11" i="1" s="1"/>
  <c r="T11" i="1"/>
  <c r="W11" i="1" s="1"/>
  <c r="AA11" i="1" l="1"/>
  <c r="Y11" i="1"/>
  <c r="R11" i="1" s="1"/>
  <c r="Z11" i="1"/>
  <c r="N12" i="1" l="1"/>
  <c r="P12" i="1"/>
  <c r="S11" i="1"/>
  <c r="O12" i="1" l="1"/>
  <c r="Q12" i="1"/>
  <c r="V12" i="1" l="1"/>
  <c r="Y12" i="1" s="1"/>
  <c r="U12" i="1"/>
  <c r="AA12" i="1" s="1"/>
  <c r="T12" i="1"/>
  <c r="Z12" i="1" l="1"/>
  <c r="W12" i="1"/>
  <c r="X12" i="1"/>
  <c r="AB12" i="1"/>
  <c r="R12" i="1" l="1"/>
  <c r="S12" i="1"/>
  <c r="Q13" i="1" l="1"/>
  <c r="O13" i="1"/>
  <c r="P13" i="1"/>
  <c r="N13" i="1"/>
  <c r="V13" i="1" l="1"/>
  <c r="AB13" i="1" s="1"/>
  <c r="T13" i="1"/>
  <c r="Z13" i="1" s="1"/>
  <c r="U13" i="1"/>
  <c r="AA13" i="1" s="1"/>
  <c r="W13" i="1" l="1"/>
  <c r="Y13" i="1"/>
  <c r="X13" i="1"/>
  <c r="S13" i="1"/>
  <c r="R13" i="1" l="1"/>
  <c r="N14" i="1" s="1"/>
  <c r="O14" i="1"/>
  <c r="Q14" i="1"/>
  <c r="P14" i="1" l="1"/>
  <c r="V14" i="1"/>
  <c r="Y14" i="1" s="1"/>
  <c r="U14" i="1"/>
  <c r="AA14" i="1" s="1"/>
  <c r="T14" i="1"/>
  <c r="W14" i="1" s="1"/>
  <c r="X14" i="1" l="1"/>
  <c r="R14" i="1" s="1"/>
  <c r="Z14" i="1"/>
  <c r="AB14" i="1"/>
  <c r="N15" i="1" l="1"/>
  <c r="P15" i="1"/>
  <c r="S14" i="1"/>
  <c r="Q15" i="1" l="1"/>
  <c r="O15" i="1"/>
  <c r="T15" i="1" l="1"/>
  <c r="U15" i="1"/>
  <c r="AA15" i="1" s="1"/>
  <c r="V15" i="1"/>
  <c r="Y15" i="1" s="1"/>
  <c r="X15" i="1" l="1"/>
  <c r="Z15" i="1"/>
  <c r="W15" i="1"/>
  <c r="R15" i="1" s="1"/>
  <c r="AB15" i="1"/>
  <c r="S15" i="1" l="1"/>
  <c r="N16" i="1"/>
  <c r="P16" i="1"/>
  <c r="O16" i="1"/>
  <c r="Q16" i="1"/>
  <c r="U16" i="1" l="1"/>
  <c r="X16" i="1" s="1"/>
  <c r="V16" i="1"/>
  <c r="Y16" i="1" s="1"/>
  <c r="T16" i="1"/>
  <c r="W16" i="1" s="1"/>
  <c r="AA16" i="1" l="1"/>
  <c r="R16" i="1"/>
  <c r="N17" i="1" s="1"/>
  <c r="Z16" i="1"/>
  <c r="AB16" i="1"/>
  <c r="P17" i="1" l="1"/>
  <c r="S16" i="1"/>
  <c r="Q17" i="1" l="1"/>
  <c r="O17" i="1"/>
  <c r="V17" i="1" l="1"/>
  <c r="Y17" i="1" s="1"/>
  <c r="T17" i="1"/>
  <c r="W17" i="1" s="1"/>
  <c r="U17" i="1"/>
  <c r="X17" i="1" s="1"/>
  <c r="AA17" i="1" l="1"/>
  <c r="R17" i="1"/>
  <c r="Z17" i="1"/>
  <c r="AB17" i="1"/>
  <c r="S17" i="1" l="1"/>
  <c r="N18" i="1"/>
  <c r="P18" i="1"/>
  <c r="O18" i="1" l="1"/>
  <c r="Q18" i="1"/>
  <c r="T18" i="1" l="1"/>
  <c r="W18" i="1" s="1"/>
  <c r="U18" i="1"/>
  <c r="X18" i="1" s="1"/>
  <c r="V18" i="1"/>
  <c r="Y18" i="1" s="1"/>
  <c r="AA18" i="1" l="1"/>
  <c r="R18" i="1"/>
  <c r="AB18" i="1"/>
  <c r="Z18" i="1"/>
  <c r="S18" i="1" l="1"/>
  <c r="P19" i="1"/>
  <c r="N19" i="1"/>
  <c r="Q19" i="1" l="1"/>
  <c r="O19" i="1"/>
  <c r="V19" i="1" l="1"/>
  <c r="Y19" i="1" s="1"/>
  <c r="T19" i="1"/>
  <c r="U19" i="1"/>
  <c r="AA19" i="1" s="1"/>
  <c r="X19" i="1" l="1"/>
  <c r="Z19" i="1"/>
  <c r="W19" i="1"/>
  <c r="AB19" i="1"/>
  <c r="S19" i="1" l="1"/>
  <c r="O20" i="1" s="1"/>
  <c r="R19" i="1"/>
  <c r="N20" i="1" s="1"/>
  <c r="Q20" i="1" l="1"/>
  <c r="P20" i="1"/>
  <c r="T20" i="1"/>
  <c r="Z20" i="1" s="1"/>
  <c r="U20" i="1"/>
  <c r="AA20" i="1" s="1"/>
  <c r="V20" i="1"/>
  <c r="Y20" i="1" s="1"/>
  <c r="W20" i="1"/>
  <c r="X20" i="1" l="1"/>
  <c r="R20" i="1" s="1"/>
  <c r="AB20" i="1"/>
  <c r="S20" i="1" s="1"/>
  <c r="P21" i="1" l="1"/>
  <c r="N21" i="1"/>
  <c r="Q21" i="1"/>
  <c r="O21" i="1"/>
  <c r="V21" i="1" l="1"/>
  <c r="Y21" i="1" s="1"/>
  <c r="U21" i="1"/>
  <c r="AA21" i="1" s="1"/>
  <c r="T21" i="1"/>
  <c r="AB21" i="1" l="1"/>
  <c r="Z21" i="1"/>
  <c r="W21" i="1"/>
  <c r="X21" i="1"/>
  <c r="S21" i="1" l="1"/>
  <c r="Q22" i="1" s="1"/>
  <c r="R21" i="1"/>
  <c r="O22" i="1" l="1"/>
  <c r="N22" i="1"/>
  <c r="P22" i="1"/>
  <c r="U22" i="1" l="1"/>
  <c r="AA22" i="1" s="1"/>
  <c r="T22" i="1"/>
  <c r="V22" i="1"/>
  <c r="X22" i="1" l="1"/>
  <c r="Y22" i="1"/>
  <c r="AB22" i="1"/>
  <c r="W22" i="1"/>
  <c r="R22" i="1" s="1"/>
  <c r="Z22" i="1"/>
  <c r="S22" i="1" l="1"/>
  <c r="O23" i="1" s="1"/>
  <c r="P23" i="1"/>
  <c r="N23" i="1"/>
  <c r="Q23" i="1" l="1"/>
  <c r="V23" i="1"/>
  <c r="Y23" i="1" s="1"/>
  <c r="U23" i="1"/>
  <c r="X23" i="1" s="1"/>
  <c r="T23" i="1"/>
  <c r="W23" i="1" s="1"/>
  <c r="AB23" i="1"/>
  <c r="AA23" i="1" l="1"/>
  <c r="R23" i="1"/>
  <c r="N24" i="1" s="1"/>
  <c r="Z23" i="1"/>
  <c r="P24" i="1" l="1"/>
  <c r="S23" i="1"/>
  <c r="O24" i="1" s="1"/>
  <c r="Q24" i="1" l="1"/>
  <c r="V24" i="1"/>
  <c r="Y24" i="1" s="1"/>
  <c r="T24" i="1"/>
  <c r="W24" i="1" s="1"/>
  <c r="U24" i="1"/>
  <c r="X24" i="1" s="1"/>
  <c r="AA24" i="1" l="1"/>
  <c r="R24" i="1"/>
  <c r="P25" i="1" s="1"/>
  <c r="Z24" i="1"/>
  <c r="AB24" i="1"/>
  <c r="N25" i="1" l="1"/>
  <c r="S24" i="1"/>
  <c r="Q25" i="1" l="1"/>
  <c r="O25" i="1"/>
  <c r="AA25" i="1" l="1"/>
  <c r="V25" i="1"/>
  <c r="Y25" i="1" s="1"/>
  <c r="U25" i="1"/>
  <c r="T25" i="1"/>
  <c r="W25" i="1" s="1"/>
  <c r="X25" i="1" l="1"/>
  <c r="R25" i="1" s="1"/>
  <c r="Z25" i="1"/>
  <c r="AB25" i="1"/>
  <c r="N26" i="1" l="1"/>
  <c r="P26" i="1"/>
  <c r="S25" i="1"/>
  <c r="O26" i="1" l="1"/>
  <c r="Q26" i="1"/>
  <c r="V26" i="1" l="1"/>
  <c r="Y26" i="1" s="1"/>
  <c r="T26" i="1"/>
  <c r="W26" i="1" s="1"/>
  <c r="U26" i="1"/>
  <c r="AA26" i="1" s="1"/>
  <c r="AB26" i="1"/>
  <c r="Z26" i="1" l="1"/>
  <c r="X26" i="1"/>
  <c r="R26" i="1" s="1"/>
  <c r="P27" i="1" s="1"/>
  <c r="S26" i="1"/>
  <c r="O27" i="1" s="1"/>
  <c r="N27" i="1"/>
  <c r="Q27" i="1" l="1"/>
  <c r="U27" i="1"/>
  <c r="AA27" i="1" s="1"/>
  <c r="V27" i="1"/>
  <c r="T27" i="1"/>
  <c r="W27" i="1" l="1"/>
  <c r="Z27" i="1"/>
  <c r="Y27" i="1"/>
  <c r="AB27" i="1"/>
  <c r="X27" i="1"/>
  <c r="S27" i="1" l="1"/>
  <c r="R27" i="1"/>
  <c r="N28" i="1" l="1"/>
  <c r="P28" i="1"/>
  <c r="O28" i="1"/>
  <c r="Q28" i="1"/>
  <c r="V28" i="1" l="1"/>
  <c r="Y28" i="1" s="1"/>
  <c r="U28" i="1"/>
  <c r="X28" i="1" s="1"/>
  <c r="T28" i="1"/>
  <c r="W28" i="1" s="1"/>
  <c r="AA28" i="1" l="1"/>
  <c r="R28" i="1"/>
  <c r="N29" i="1" s="1"/>
  <c r="AB28" i="1"/>
  <c r="Z28" i="1"/>
  <c r="P29" i="1" l="1"/>
  <c r="S28" i="1"/>
  <c r="Q29" i="1" l="1"/>
  <c r="O29" i="1"/>
  <c r="V29" i="1" l="1"/>
  <c r="Y29" i="1" s="1"/>
  <c r="U29" i="1"/>
  <c r="X29" i="1" s="1"/>
  <c r="T29" i="1"/>
  <c r="W29" i="1" s="1"/>
  <c r="AA29" i="1" l="1"/>
  <c r="R29" i="1"/>
  <c r="P30" i="1" s="1"/>
  <c r="N30" i="1"/>
  <c r="AB29" i="1"/>
  <c r="Z29" i="1"/>
  <c r="S29" i="1" l="1"/>
  <c r="O30" i="1" l="1"/>
  <c r="Q30" i="1"/>
  <c r="T30" i="1" l="1"/>
  <c r="W30" i="1" s="1"/>
  <c r="U30" i="1"/>
  <c r="X30" i="1" s="1"/>
  <c r="V30" i="1"/>
  <c r="Y30" i="1" s="1"/>
  <c r="AA30" i="1" l="1"/>
  <c r="R30" i="1"/>
  <c r="Z30" i="1"/>
  <c r="AB30" i="1"/>
  <c r="S30" i="1" l="1"/>
  <c r="Q31" i="1" s="1"/>
  <c r="P31" i="1"/>
  <c r="N31" i="1"/>
  <c r="O31" i="1" l="1"/>
  <c r="U31" i="1" l="1"/>
  <c r="AA31" i="1" s="1"/>
  <c r="V31" i="1"/>
  <c r="Y31" i="1" s="1"/>
  <c r="T31" i="1"/>
  <c r="W31" i="1" s="1"/>
  <c r="X31" i="1"/>
  <c r="Z31" i="1" l="1"/>
  <c r="AB31" i="1"/>
  <c r="S31" i="1" s="1"/>
  <c r="Q32" i="1" s="1"/>
  <c r="R31" i="1"/>
  <c r="N32" i="1" s="1"/>
  <c r="P32" i="1" l="1"/>
  <c r="O32" i="1"/>
  <c r="T32" i="1" l="1"/>
  <c r="W32" i="1" s="1"/>
  <c r="V32" i="1"/>
  <c r="Y32" i="1" s="1"/>
  <c r="U32" i="1"/>
  <c r="X32" i="1" s="1"/>
  <c r="Z32" i="1"/>
  <c r="AA32" i="1" l="1"/>
  <c r="R32" i="1"/>
  <c r="P33" i="1" s="1"/>
  <c r="N33" i="1"/>
  <c r="AB32" i="1"/>
  <c r="S32" i="1" l="1"/>
  <c r="Q33" i="1" s="1"/>
  <c r="O33" i="1" l="1"/>
  <c r="V33" i="1"/>
  <c r="T33" i="1"/>
  <c r="U33" i="1"/>
  <c r="AA33" i="1" l="1"/>
  <c r="X33" i="1"/>
  <c r="Z33" i="1"/>
  <c r="W33" i="1"/>
  <c r="AB33" i="1"/>
  <c r="Y33" i="1"/>
  <c r="R33" i="1" l="1"/>
  <c r="P34" i="1" s="1"/>
  <c r="S33" i="1"/>
  <c r="N34" i="1" l="1"/>
  <c r="Q34" i="1"/>
  <c r="O34" i="1"/>
  <c r="V34" i="1" l="1"/>
  <c r="Y34" i="1" s="1"/>
  <c r="U34" i="1"/>
  <c r="X34" i="1" s="1"/>
  <c r="T34" i="1"/>
  <c r="W34" i="1" s="1"/>
  <c r="AA34" i="1" l="1"/>
  <c r="R34" i="1"/>
  <c r="N35" i="1" s="1"/>
  <c r="AB34" i="1"/>
  <c r="Z34" i="1"/>
  <c r="P35" i="1" l="1"/>
  <c r="S34" i="1"/>
  <c r="Q35" i="1" s="1"/>
  <c r="O35" i="1" l="1"/>
  <c r="V35" i="1"/>
  <c r="Y35" i="1" s="1"/>
  <c r="T35" i="1" l="1"/>
  <c r="W35" i="1" s="1"/>
  <c r="U35" i="1"/>
  <c r="X35" i="1" s="1"/>
  <c r="Z35" i="1"/>
  <c r="R35" i="1"/>
  <c r="N36" i="1" s="1"/>
  <c r="AB35" i="1"/>
  <c r="AA35" i="1" l="1"/>
  <c r="P36" i="1"/>
  <c r="S35" i="1"/>
  <c r="O36" i="1" s="1"/>
  <c r="V36" i="1" l="1"/>
  <c r="Y36" i="1" s="1"/>
  <c r="Q36" i="1"/>
  <c r="T36" i="1"/>
  <c r="W36" i="1" s="1"/>
  <c r="U36" i="1"/>
  <c r="X36" i="1" s="1"/>
  <c r="AB36" i="1"/>
  <c r="Z36" i="1"/>
  <c r="AA36" i="1" l="1"/>
  <c r="R36" i="1"/>
  <c r="P37" i="1" s="1"/>
  <c r="N37" i="1"/>
  <c r="S36" i="1"/>
  <c r="O37" i="1" l="1"/>
  <c r="Q37" i="1"/>
  <c r="U37" i="1" l="1"/>
  <c r="X37" i="1" s="1"/>
  <c r="T37" i="1"/>
  <c r="W37" i="1" s="1"/>
  <c r="V37" i="1"/>
  <c r="Y37" i="1" s="1"/>
  <c r="AA37" i="1" l="1"/>
  <c r="R37" i="1"/>
  <c r="AB37" i="1"/>
  <c r="Z37" i="1"/>
  <c r="S37" i="1" l="1"/>
  <c r="P38" i="1"/>
  <c r="N38" i="1"/>
  <c r="Q38" i="1" l="1"/>
  <c r="O38" i="1"/>
  <c r="T38" i="1" l="1"/>
  <c r="W38" i="1" s="1"/>
  <c r="V38" i="1"/>
  <c r="Y38" i="1" s="1"/>
  <c r="U38" i="1"/>
  <c r="X38" i="1" s="1"/>
  <c r="AA38" i="1" l="1"/>
  <c r="R38" i="1"/>
  <c r="P39" i="1" s="1"/>
  <c r="AB38" i="1"/>
  <c r="Z38" i="1"/>
  <c r="N39" i="1" l="1"/>
  <c r="S38" i="1"/>
  <c r="O39" i="1" s="1"/>
  <c r="Q39" i="1" l="1"/>
  <c r="V39" i="1"/>
  <c r="Y39" i="1" s="1"/>
  <c r="U39" i="1"/>
  <c r="X39" i="1" s="1"/>
  <c r="T39" i="1"/>
  <c r="W39" i="1" s="1"/>
  <c r="AB39" i="1" l="1"/>
  <c r="AA39" i="1"/>
  <c r="Z39" i="1"/>
  <c r="R39" i="1"/>
  <c r="P40" i="1" s="1"/>
  <c r="S39" i="1"/>
  <c r="N40" i="1" l="1"/>
  <c r="Q40" i="1"/>
  <c r="O40" i="1"/>
  <c r="V40" i="1" l="1"/>
  <c r="Y40" i="1" s="1"/>
  <c r="U40" i="1"/>
  <c r="X40" i="1" s="1"/>
  <c r="T40" i="1"/>
  <c r="W40" i="1" s="1"/>
  <c r="AA40" i="1" l="1"/>
  <c r="R40" i="1"/>
  <c r="N41" i="1" s="1"/>
  <c r="AB40" i="1"/>
  <c r="Z40" i="1"/>
  <c r="P41" i="1" l="1"/>
  <c r="S40" i="1"/>
  <c r="O41" i="1" s="1"/>
  <c r="Q41" i="1" l="1"/>
  <c r="V41" i="1"/>
  <c r="Y41" i="1" s="1"/>
  <c r="U41" i="1"/>
  <c r="X41" i="1" s="1"/>
  <c r="T41" i="1"/>
  <c r="W41" i="1" s="1"/>
  <c r="AB41" i="1" l="1"/>
  <c r="AA41" i="1"/>
  <c r="Z41" i="1"/>
  <c r="S41" i="1" s="1"/>
  <c r="R41" i="1"/>
  <c r="N42" i="1" s="1"/>
  <c r="P42" i="1" l="1"/>
  <c r="Q42" i="1"/>
  <c r="O42" i="1"/>
  <c r="T42" i="1" l="1"/>
  <c r="W42" i="1" s="1"/>
  <c r="U42" i="1"/>
  <c r="AA42" i="1" s="1"/>
  <c r="V42" i="1"/>
  <c r="Z42" i="1" l="1"/>
  <c r="X42" i="1"/>
  <c r="Y42" i="1"/>
  <c r="AB42" i="1"/>
  <c r="R42" i="1" l="1"/>
  <c r="S42" i="1"/>
  <c r="Q43" i="1" s="1"/>
  <c r="P43" i="1"/>
  <c r="N43" i="1"/>
  <c r="O43" i="1" l="1"/>
  <c r="U43" i="1" l="1"/>
  <c r="X43" i="1" s="1"/>
  <c r="T43" i="1"/>
  <c r="Z43" i="1" s="1"/>
  <c r="V43" i="1"/>
  <c r="Y43" i="1" s="1"/>
  <c r="AA43" i="1" l="1"/>
  <c r="AB43" i="1"/>
  <c r="S43" i="1"/>
  <c r="Q44" i="1" s="1"/>
  <c r="W43" i="1"/>
  <c r="R43" i="1" s="1"/>
  <c r="N44" i="1" s="1"/>
  <c r="O44" i="1"/>
  <c r="P44" i="1" l="1"/>
  <c r="V44" i="1"/>
  <c r="U44" i="1"/>
  <c r="AA44" i="1" s="1"/>
  <c r="T44" i="1"/>
  <c r="X44" i="1" l="1"/>
  <c r="W44" i="1"/>
  <c r="Z44" i="1"/>
  <c r="Y44" i="1"/>
  <c r="AB44" i="1"/>
  <c r="S44" i="1" l="1"/>
  <c r="O45" i="1" s="1"/>
  <c r="R44" i="1"/>
  <c r="Q45" i="1" l="1"/>
  <c r="P45" i="1"/>
  <c r="N45" i="1"/>
  <c r="U45" i="1" l="1"/>
  <c r="AA45" i="1" s="1"/>
  <c r="V45" i="1"/>
  <c r="T45" i="1"/>
  <c r="Y45" i="1" l="1"/>
  <c r="AB45" i="1"/>
  <c r="W45" i="1"/>
  <c r="Z45" i="1"/>
  <c r="X45" i="1"/>
  <c r="S45" i="1" l="1"/>
  <c r="R45" i="1"/>
  <c r="P46" i="1" l="1"/>
  <c r="N46" i="1"/>
  <c r="O46" i="1"/>
  <c r="Q46" i="1"/>
  <c r="T46" i="1" l="1"/>
  <c r="V46" i="1"/>
  <c r="Y46" i="1" s="1"/>
  <c r="U46" i="1"/>
  <c r="AA46" i="1" s="1"/>
  <c r="X46" i="1" l="1"/>
  <c r="W46" i="1"/>
  <c r="Z46" i="1"/>
  <c r="AB46" i="1"/>
  <c r="R46" i="1" l="1"/>
  <c r="P47" i="1" s="1"/>
  <c r="S46" i="1"/>
  <c r="O47" i="1" s="1"/>
  <c r="Q47" i="1" l="1"/>
  <c r="N47" i="1"/>
  <c r="V47" i="1" s="1"/>
  <c r="Y47" i="1" s="1"/>
  <c r="T47" i="1" l="1"/>
  <c r="AB47" i="1"/>
  <c r="U47" i="1"/>
  <c r="AA47" i="1" s="1"/>
  <c r="X47" i="1" l="1"/>
  <c r="W47" i="1"/>
  <c r="Z47" i="1"/>
  <c r="S47" i="1" l="1"/>
  <c r="R47" i="1"/>
  <c r="N48" i="1" l="1"/>
  <c r="P48" i="1"/>
  <c r="O48" i="1"/>
  <c r="Q48" i="1"/>
  <c r="T48" i="1" l="1"/>
  <c r="V48" i="1"/>
  <c r="Y48" i="1" s="1"/>
  <c r="U48" i="1"/>
  <c r="X48" i="1" s="1"/>
  <c r="W48" i="1"/>
  <c r="Z48" i="1"/>
  <c r="AB48" i="1"/>
  <c r="AA48" i="1" l="1"/>
  <c r="R48" i="1"/>
  <c r="P49" i="1" s="1"/>
  <c r="S48" i="1"/>
  <c r="N49" i="1"/>
  <c r="O49" i="1" l="1"/>
  <c r="Q49" i="1"/>
  <c r="T49" i="1" l="1"/>
  <c r="U49" i="1"/>
  <c r="AA49" i="1" s="1"/>
  <c r="V49" i="1"/>
  <c r="AB49" i="1" l="1"/>
  <c r="Y49" i="1"/>
  <c r="X49" i="1"/>
  <c r="W49" i="1"/>
  <c r="Z49" i="1"/>
  <c r="S49" i="1" s="1"/>
  <c r="Q50" i="1" s="1"/>
  <c r="R49" i="1" l="1"/>
  <c r="N50" i="1"/>
  <c r="P50" i="1"/>
  <c r="O50" i="1"/>
  <c r="U50" i="1" l="1"/>
  <c r="X50" i="1" s="1"/>
  <c r="T50" i="1"/>
  <c r="W50" i="1" s="1"/>
  <c r="V50" i="1"/>
  <c r="Y50" i="1" s="1"/>
  <c r="Z50" i="1"/>
  <c r="AA50" i="1" l="1"/>
  <c r="AB50" i="1"/>
  <c r="S50" i="1" s="1"/>
  <c r="R50" i="1"/>
  <c r="P51" i="1" s="1"/>
  <c r="N51" i="1"/>
  <c r="Q51" i="1" l="1"/>
  <c r="O51" i="1"/>
  <c r="U51" i="1"/>
  <c r="X51" i="1" s="1"/>
  <c r="T51" i="1"/>
  <c r="W51" i="1" s="1"/>
  <c r="V51" i="1"/>
  <c r="Y51" i="1" s="1"/>
  <c r="AA51" i="1" l="1"/>
  <c r="R51" i="1"/>
  <c r="Z51" i="1"/>
  <c r="AB51" i="1"/>
  <c r="S51" i="1" l="1"/>
  <c r="N52" i="1"/>
  <c r="P52" i="1"/>
  <c r="Q52" i="1" l="1"/>
  <c r="O52" i="1"/>
  <c r="U52" i="1" l="1"/>
  <c r="X52" i="1" s="1"/>
  <c r="T52" i="1"/>
  <c r="W52" i="1" s="1"/>
  <c r="V52" i="1"/>
  <c r="Y52" i="1" s="1"/>
  <c r="AA52" i="1" l="1"/>
  <c r="R52" i="1"/>
  <c r="P53" i="1" s="1"/>
  <c r="Z52" i="1"/>
  <c r="AB52" i="1"/>
  <c r="N53" i="1" l="1"/>
  <c r="S52" i="1"/>
  <c r="O53" i="1" s="1"/>
  <c r="U53" i="1" l="1"/>
  <c r="X53" i="1" s="1"/>
  <c r="T53" i="1"/>
  <c r="W53" i="1" s="1"/>
  <c r="V53" i="1"/>
  <c r="Y53" i="1" s="1"/>
  <c r="Q53" i="1"/>
  <c r="AA53" i="1" l="1"/>
  <c r="Z53" i="1"/>
  <c r="R53" i="1"/>
  <c r="AB53" i="1"/>
  <c r="N54" i="1"/>
  <c r="P54" i="1"/>
  <c r="S53" i="1" l="1"/>
  <c r="Q54" i="1" s="1"/>
  <c r="O54" i="1" l="1"/>
  <c r="V54" i="1" l="1"/>
  <c r="Y54" i="1" s="1"/>
  <c r="U54" i="1"/>
  <c r="X54" i="1" s="1"/>
  <c r="T54" i="1"/>
  <c r="W54" i="1" s="1"/>
  <c r="AB54" i="1"/>
  <c r="AA54" i="1" l="1"/>
  <c r="Z54" i="1"/>
  <c r="S54" i="1" s="1"/>
  <c r="R54" i="1"/>
  <c r="P55" i="1" s="1"/>
  <c r="N55" i="1" l="1"/>
  <c r="Q55" i="1"/>
  <c r="O55" i="1"/>
  <c r="V55" i="1" l="1"/>
  <c r="Y55" i="1" s="1"/>
  <c r="U55" i="1"/>
  <c r="X55" i="1" s="1"/>
  <c r="T55" i="1"/>
  <c r="Z55" i="1" s="1"/>
  <c r="AB55" i="1"/>
  <c r="AA55" i="1" l="1"/>
  <c r="W55" i="1"/>
  <c r="R55" i="1" s="1"/>
  <c r="S55" i="1"/>
  <c r="P56" i="1" l="1"/>
  <c r="N56" i="1"/>
  <c r="O56" i="1"/>
  <c r="Q56" i="1"/>
  <c r="V56" i="1" l="1"/>
  <c r="Y56" i="1" s="1"/>
  <c r="U56" i="1"/>
  <c r="X56" i="1" s="1"/>
  <c r="T56" i="1"/>
  <c r="W56" i="1" s="1"/>
  <c r="AB56" i="1"/>
  <c r="AA56" i="1" l="1"/>
  <c r="R56" i="1"/>
  <c r="P57" i="1" s="1"/>
  <c r="Z56" i="1"/>
  <c r="N57" i="1" l="1"/>
  <c r="S56" i="1"/>
  <c r="Q57" i="1" s="1"/>
  <c r="O57" i="1" l="1"/>
  <c r="V57" i="1"/>
  <c r="Y57" i="1" s="1"/>
  <c r="U57" i="1" l="1"/>
  <c r="AA57" i="1" s="1"/>
  <c r="T57" i="1"/>
  <c r="W57" i="1" s="1"/>
  <c r="X57" i="1"/>
  <c r="AB57" i="1"/>
  <c r="R57" i="1" l="1"/>
  <c r="Z57" i="1"/>
  <c r="N58" i="1"/>
  <c r="P58" i="1"/>
  <c r="S57" i="1"/>
  <c r="O58" i="1" l="1"/>
  <c r="Q58" i="1"/>
  <c r="U58" i="1" l="1"/>
  <c r="AA58" i="1" s="1"/>
  <c r="T58" i="1"/>
  <c r="V58" i="1"/>
  <c r="X58" i="1"/>
  <c r="Z58" i="1" l="1"/>
  <c r="W58" i="1"/>
  <c r="AB58" i="1"/>
  <c r="Y58" i="1"/>
  <c r="S58" i="1" l="1"/>
  <c r="R58" i="1"/>
  <c r="Q59" i="1"/>
  <c r="O59" i="1"/>
  <c r="P59" i="1" l="1"/>
  <c r="N59" i="1"/>
  <c r="T59" i="1" l="1"/>
  <c r="V59" i="1"/>
  <c r="AB59" i="1" s="1"/>
  <c r="U59" i="1"/>
  <c r="AA59" i="1" s="1"/>
  <c r="Y59" i="1" l="1"/>
  <c r="X59" i="1"/>
  <c r="Z59" i="1"/>
  <c r="W59" i="1"/>
  <c r="R59" i="1" s="1"/>
  <c r="P60" i="1" s="1"/>
  <c r="S59" i="1" l="1"/>
  <c r="N60" i="1"/>
  <c r="Q60" i="1" l="1"/>
  <c r="O60" i="1"/>
  <c r="U60" i="1" l="1"/>
  <c r="X60" i="1" s="1"/>
  <c r="T60" i="1"/>
  <c r="V60" i="1"/>
  <c r="AA60" i="1" l="1"/>
  <c r="Z60" i="1"/>
  <c r="W60" i="1"/>
  <c r="AB60" i="1"/>
  <c r="Y60" i="1"/>
  <c r="R60" i="1" l="1"/>
  <c r="S60" i="1"/>
  <c r="Q61" i="1" l="1"/>
  <c r="O61" i="1"/>
  <c r="N61" i="1"/>
  <c r="P61" i="1"/>
  <c r="T61" i="1" l="1"/>
  <c r="U61" i="1"/>
  <c r="X61" i="1" s="1"/>
  <c r="V61" i="1"/>
  <c r="Y61" i="1" s="1"/>
  <c r="W61" i="1"/>
  <c r="Z61" i="1"/>
  <c r="AA61" i="1" l="1"/>
  <c r="AB61" i="1"/>
  <c r="S61" i="1" s="1"/>
  <c r="R61" i="1"/>
  <c r="N62" i="1" s="1"/>
  <c r="P62" i="1"/>
  <c r="Q62" i="1" l="1"/>
  <c r="O62" i="1"/>
  <c r="U62" i="1" l="1"/>
  <c r="AA62" i="1" s="1"/>
  <c r="T62" i="1"/>
  <c r="V62" i="1"/>
  <c r="W62" i="1" l="1"/>
  <c r="Z62" i="1"/>
  <c r="Y62" i="1"/>
  <c r="AB62" i="1"/>
  <c r="X62" i="1"/>
  <c r="S62" i="1" l="1"/>
  <c r="R62" i="1"/>
  <c r="P63" i="1" l="1"/>
  <c r="N63" i="1"/>
  <c r="O63" i="1"/>
  <c r="Q63" i="1"/>
  <c r="V63" i="1" l="1"/>
  <c r="U63" i="1"/>
  <c r="X63" i="1" s="1"/>
  <c r="T63" i="1"/>
  <c r="AA63" i="1" l="1"/>
  <c r="W63" i="1"/>
  <c r="Z63" i="1"/>
  <c r="Y63" i="1"/>
  <c r="AB63" i="1"/>
  <c r="S63" i="1" l="1"/>
  <c r="R63" i="1"/>
  <c r="P64" i="1" l="1"/>
  <c r="N64" i="1"/>
  <c r="O64" i="1"/>
  <c r="Q64" i="1"/>
  <c r="T64" i="1" l="1"/>
  <c r="W64" i="1" s="1"/>
  <c r="V64" i="1"/>
  <c r="Y64" i="1" s="1"/>
  <c r="U64" i="1"/>
  <c r="AA64" i="1" s="1"/>
  <c r="X64" i="1" l="1"/>
  <c r="R64" i="1" s="1"/>
  <c r="Z64" i="1"/>
  <c r="AB64" i="1"/>
  <c r="S64" i="1" l="1"/>
  <c r="Q65" i="1" s="1"/>
  <c r="N65" i="1"/>
  <c r="P65" i="1"/>
  <c r="O65" i="1" l="1"/>
  <c r="U65" i="1" l="1"/>
  <c r="AA65" i="1" s="1"/>
  <c r="T65" i="1"/>
  <c r="W65" i="1" s="1"/>
  <c r="V65" i="1"/>
  <c r="X65" i="1"/>
  <c r="Y65" i="1"/>
  <c r="AB65" i="1"/>
  <c r="R65" i="1" l="1"/>
  <c r="P66" i="1" s="1"/>
  <c r="Z65" i="1"/>
  <c r="S65" i="1" s="1"/>
  <c r="O66" i="1" l="1"/>
  <c r="Q66" i="1"/>
  <c r="N66" i="1"/>
  <c r="T66" i="1" s="1"/>
  <c r="W66" i="1" s="1"/>
  <c r="V66" i="1" l="1"/>
  <c r="Y66" i="1" s="1"/>
  <c r="U66" i="1"/>
  <c r="X66" i="1" s="1"/>
  <c r="R66" i="1" s="1"/>
  <c r="AB66" i="1"/>
  <c r="Z66" i="1"/>
  <c r="P67" i="1" l="1"/>
  <c r="C12" i="2" s="1" a="1"/>
  <c r="C12" i="2" s="1"/>
  <c r="N67" i="1"/>
  <c r="AA66" i="1"/>
  <c r="S66" i="1" s="1"/>
  <c r="O67" i="1" s="1"/>
  <c r="U67" i="1" l="1"/>
  <c r="AA67" i="1" s="1"/>
  <c r="V67" i="1"/>
  <c r="Y67" i="1" s="1"/>
  <c r="T67" i="1"/>
  <c r="W67" i="1" s="1"/>
  <c r="Q67" i="1"/>
  <c r="D12" i="2" s="1" a="1"/>
  <c r="D12" i="2" s="1"/>
  <c r="H8" i="2" s="1"/>
  <c r="I8" i="2" s="1"/>
  <c r="AB67" i="1" l="1"/>
  <c r="I11" i="2"/>
  <c r="I12" i="2"/>
  <c r="I14" i="2"/>
  <c r="H12" i="2"/>
  <c r="H11" i="2"/>
  <c r="H14" i="2"/>
  <c r="I13" i="2"/>
  <c r="H13" i="2"/>
  <c r="Z67" i="1"/>
  <c r="S67" i="1" s="1"/>
  <c r="X67" i="1"/>
  <c r="R67" i="1" s="1"/>
  <c r="N68" i="1" s="1"/>
  <c r="O68" i="1" l="1"/>
  <c r="Q68" i="1"/>
  <c r="P68" i="1"/>
  <c r="T68" i="1"/>
  <c r="V68" i="1"/>
  <c r="Y68" i="1" s="1"/>
  <c r="U68" i="1"/>
  <c r="AA68" i="1" l="1"/>
  <c r="X68" i="1"/>
  <c r="W68" i="1"/>
  <c r="Z68" i="1"/>
  <c r="AB68" i="1"/>
  <c r="R68" i="1" l="1"/>
  <c r="N69" i="1" s="1"/>
  <c r="S68" i="1"/>
  <c r="P69" i="1" l="1"/>
  <c r="Q69" i="1"/>
  <c r="O69" i="1"/>
  <c r="V69" i="1" l="1"/>
  <c r="Y69" i="1" s="1"/>
  <c r="U69" i="1"/>
  <c r="AA69" i="1" s="1"/>
  <c r="T69" i="1"/>
  <c r="W69" i="1" s="1"/>
  <c r="X69" i="1"/>
  <c r="AB69" i="1"/>
  <c r="R69" i="1" l="1"/>
  <c r="N70" i="1" s="1"/>
  <c r="Z69" i="1"/>
  <c r="S69" i="1"/>
  <c r="P70" i="1" l="1"/>
  <c r="Q70" i="1"/>
  <c r="O70" i="1"/>
  <c r="U70" i="1" l="1"/>
  <c r="X70" i="1" s="1"/>
  <c r="T70" i="1"/>
  <c r="W70" i="1" s="1"/>
  <c r="V70" i="1"/>
  <c r="Y70" i="1" s="1"/>
  <c r="Z70" i="1"/>
  <c r="AA70" i="1" l="1"/>
  <c r="AB70" i="1"/>
  <c r="R70" i="1"/>
  <c r="S70" i="1"/>
  <c r="Q71" i="1" s="1"/>
  <c r="N71" i="1"/>
  <c r="P71" i="1"/>
  <c r="O71" i="1" l="1"/>
  <c r="T71" i="1" l="1"/>
  <c r="V71" i="1"/>
  <c r="Y71" i="1" s="1"/>
  <c r="U71" i="1"/>
  <c r="X71" i="1" s="1"/>
  <c r="Z71" i="1"/>
  <c r="W71" i="1"/>
  <c r="AA71" i="1" l="1"/>
  <c r="AB71" i="1"/>
  <c r="R71" i="1"/>
  <c r="P72" i="1" s="1"/>
  <c r="S71" i="1"/>
  <c r="N72" i="1" l="1"/>
  <c r="O72" i="1"/>
  <c r="Q72" i="1"/>
  <c r="U72" i="1" l="1"/>
  <c r="X72" i="1" s="1"/>
  <c r="T72" i="1"/>
  <c r="W72" i="1" s="1"/>
  <c r="V72" i="1"/>
  <c r="Y72" i="1" s="1"/>
  <c r="Z72" i="1"/>
  <c r="R72" i="1" l="1"/>
  <c r="N73" i="1" s="1"/>
  <c r="AA72" i="1"/>
  <c r="S72" i="1" s="1"/>
  <c r="O73" i="1" s="1"/>
  <c r="AB72" i="1"/>
  <c r="P73" i="1"/>
  <c r="Q73" i="1" l="1"/>
  <c r="V73" i="1"/>
  <c r="U73" i="1"/>
  <c r="AA73" i="1" s="1"/>
  <c r="T73" i="1"/>
  <c r="X73" i="1" l="1"/>
  <c r="W73" i="1"/>
  <c r="Z73" i="1"/>
  <c r="Y73" i="1"/>
  <c r="AB73" i="1"/>
  <c r="S73" i="1" l="1"/>
  <c r="Q74" i="1" s="1"/>
  <c r="R73" i="1"/>
  <c r="O74" i="1" l="1"/>
  <c r="N74" i="1"/>
  <c r="P74" i="1"/>
  <c r="V74" i="1" l="1"/>
  <c r="T74" i="1"/>
  <c r="U74" i="1"/>
  <c r="AA74" i="1" s="1"/>
  <c r="W74" i="1" l="1"/>
  <c r="Z74" i="1"/>
  <c r="X74" i="1"/>
  <c r="Y74" i="1"/>
  <c r="AB74" i="1"/>
  <c r="S74" i="1" l="1"/>
  <c r="R74" i="1"/>
  <c r="N75" i="1" l="1"/>
  <c r="P75" i="1"/>
  <c r="O75" i="1"/>
  <c r="Q75" i="1"/>
  <c r="V75" i="1" l="1"/>
  <c r="Y75" i="1" s="1"/>
  <c r="T75" i="1"/>
  <c r="W75" i="1" s="1"/>
  <c r="U75" i="1"/>
  <c r="X75" i="1" s="1"/>
  <c r="AA75" i="1" l="1"/>
  <c r="R75" i="1"/>
  <c r="N76" i="1" s="1"/>
  <c r="AB75" i="1"/>
  <c r="P76" i="1"/>
  <c r="Z75" i="1"/>
  <c r="S75" i="1" l="1"/>
  <c r="O76" i="1" l="1"/>
  <c r="Q76" i="1"/>
  <c r="T76" i="1" l="1"/>
  <c r="W76" i="1" s="1"/>
  <c r="U76" i="1"/>
  <c r="X76" i="1" s="1"/>
  <c r="V76" i="1"/>
  <c r="Y76" i="1" s="1"/>
  <c r="AA76" i="1" l="1"/>
  <c r="AB76" i="1"/>
  <c r="R76" i="1"/>
  <c r="Z76" i="1"/>
  <c r="S76" i="1" l="1"/>
  <c r="Q77" i="1" s="1"/>
  <c r="P77" i="1"/>
  <c r="N77" i="1"/>
  <c r="O77" i="1" l="1"/>
  <c r="T77" i="1" l="1"/>
  <c r="V77" i="1"/>
  <c r="Y77" i="1" s="1"/>
  <c r="U77" i="1"/>
  <c r="AA77" i="1" s="1"/>
  <c r="Z77" i="1"/>
  <c r="W77" i="1"/>
  <c r="AB77" i="1"/>
  <c r="X77" i="1" l="1"/>
  <c r="R77" i="1" s="1"/>
  <c r="S77" i="1"/>
  <c r="O78" i="1" s="1"/>
  <c r="N78" i="1" l="1"/>
  <c r="P78" i="1"/>
  <c r="Q78" i="1"/>
  <c r="V78" i="1"/>
  <c r="AB78" i="1" s="1"/>
  <c r="T78" i="1"/>
  <c r="Z78" i="1" s="1"/>
  <c r="U78" i="1"/>
  <c r="AA78" i="1" s="1"/>
  <c r="Y78" i="1"/>
  <c r="X78" i="1" l="1"/>
  <c r="S78" i="1"/>
  <c r="W78" i="1"/>
  <c r="R78" i="1" l="1"/>
  <c r="P79" i="1" s="1"/>
  <c r="O79" i="1"/>
  <c r="Q79" i="1"/>
  <c r="N79" i="1" l="1"/>
  <c r="T79" i="1" s="1"/>
  <c r="W79" i="1" l="1"/>
  <c r="Z79" i="1"/>
  <c r="V79" i="1"/>
  <c r="U79" i="1"/>
  <c r="AA79" i="1" s="1"/>
  <c r="X79" i="1" l="1"/>
  <c r="Y79" i="1"/>
  <c r="AB79" i="1"/>
  <c r="S79" i="1" l="1"/>
  <c r="Q80" i="1" s="1"/>
  <c r="R79" i="1"/>
  <c r="O80" i="1" l="1"/>
  <c r="N80" i="1"/>
  <c r="P80" i="1"/>
  <c r="T80" i="1" l="1"/>
  <c r="V80" i="1"/>
  <c r="AB80" i="1" s="1"/>
  <c r="U80" i="1"/>
  <c r="AA80" i="1" s="1"/>
  <c r="X80" i="1" l="1"/>
  <c r="Z80" i="1"/>
  <c r="S80" i="1" s="1"/>
  <c r="W80" i="1"/>
  <c r="Y80" i="1"/>
  <c r="Q81" i="1" l="1"/>
  <c r="O81" i="1"/>
  <c r="R80" i="1"/>
  <c r="P81" i="1" l="1"/>
  <c r="N81" i="1"/>
  <c r="T81" i="1" l="1"/>
  <c r="U81" i="1"/>
  <c r="AA81" i="1" s="1"/>
  <c r="V81" i="1"/>
  <c r="AB81" i="1" s="1"/>
  <c r="X81" i="1" l="1"/>
  <c r="Y81" i="1"/>
  <c r="W81" i="1"/>
  <c r="Z81" i="1"/>
  <c r="S81" i="1" s="1"/>
  <c r="Q82" i="1" l="1"/>
  <c r="O82" i="1"/>
  <c r="R81" i="1"/>
  <c r="N82" i="1" l="1"/>
  <c r="P82" i="1"/>
  <c r="U82" i="1" l="1"/>
  <c r="AA82" i="1" s="1"/>
  <c r="V82" i="1"/>
  <c r="T82" i="1"/>
  <c r="Z82" i="1" s="1"/>
  <c r="W82" i="1" l="1"/>
  <c r="Y82" i="1"/>
  <c r="AB82" i="1"/>
  <c r="X82" i="1"/>
  <c r="S82" i="1"/>
  <c r="R82" i="1" l="1"/>
  <c r="Q83" i="1"/>
  <c r="O83" i="1"/>
  <c r="N83" i="1"/>
  <c r="P83" i="1"/>
  <c r="T83" i="1" l="1"/>
  <c r="W83" i="1" s="1"/>
  <c r="U83" i="1"/>
  <c r="AA83" i="1" s="1"/>
  <c r="V83" i="1"/>
  <c r="Y83" i="1" s="1"/>
  <c r="X83" i="1"/>
  <c r="AB83" i="1"/>
  <c r="Z83" i="1"/>
  <c r="R83" i="1" l="1"/>
  <c r="N84" i="1" s="1"/>
  <c r="S83" i="1"/>
  <c r="P84" i="1" l="1"/>
  <c r="Q84" i="1"/>
  <c r="O84" i="1"/>
  <c r="V84" i="1" l="1"/>
  <c r="T84" i="1"/>
  <c r="U84" i="1"/>
  <c r="AA84" i="1" s="1"/>
  <c r="X84" i="1" l="1"/>
  <c r="Z84" i="1"/>
  <c r="W84" i="1"/>
  <c r="AB84" i="1"/>
  <c r="Y84" i="1"/>
  <c r="R84" i="1" l="1"/>
  <c r="N85" i="1" s="1"/>
  <c r="S84" i="1"/>
  <c r="Q85" i="1" s="1"/>
  <c r="O85" i="1" l="1"/>
  <c r="P85" i="1"/>
  <c r="U85" i="1"/>
  <c r="V85" i="1"/>
  <c r="AB85" i="1" s="1"/>
  <c r="T85" i="1"/>
  <c r="W85" i="1" s="1"/>
  <c r="AA85" i="1" l="1"/>
  <c r="X85" i="1"/>
  <c r="Y85" i="1"/>
  <c r="R85" i="1" s="1"/>
  <c r="N86" i="1" s="1"/>
  <c r="Z85" i="1"/>
  <c r="S85" i="1" s="1"/>
  <c r="P86" i="1" l="1"/>
  <c r="O86" i="1"/>
  <c r="Q86" i="1"/>
  <c r="V86" i="1" l="1"/>
  <c r="Y86" i="1" s="1"/>
  <c r="U86" i="1"/>
  <c r="AA86" i="1" s="1"/>
  <c r="T86" i="1"/>
  <c r="W86" i="1" s="1"/>
  <c r="AB86" i="1" l="1"/>
  <c r="X86" i="1"/>
  <c r="R86" i="1" s="1"/>
  <c r="Z86" i="1"/>
  <c r="S86" i="1" s="1"/>
  <c r="P87" i="1" l="1"/>
  <c r="N87" i="1"/>
  <c r="O87" i="1"/>
  <c r="Q87" i="1"/>
  <c r="V87" i="1" l="1"/>
  <c r="Y87" i="1" s="1"/>
  <c r="U87" i="1"/>
  <c r="AA87" i="1" s="1"/>
  <c r="T87" i="1"/>
  <c r="Z87" i="1" s="1"/>
  <c r="X87" i="1" l="1"/>
  <c r="W87" i="1"/>
  <c r="AB87" i="1"/>
  <c r="S87" i="1" s="1"/>
  <c r="Q88" i="1" l="1"/>
  <c r="O88" i="1"/>
  <c r="R87" i="1"/>
  <c r="P88" i="1" l="1"/>
  <c r="N88" i="1"/>
  <c r="U88" i="1" l="1"/>
  <c r="AA88" i="1" s="1"/>
  <c r="V88" i="1"/>
  <c r="AB88" i="1" s="1"/>
  <c r="T88" i="1"/>
  <c r="Z88" i="1" s="1"/>
  <c r="Y88" i="1" l="1"/>
  <c r="S88" i="1"/>
  <c r="X88" i="1"/>
  <c r="W88" i="1"/>
  <c r="R88" i="1" s="1"/>
  <c r="P89" i="1" l="1"/>
  <c r="N89" i="1"/>
  <c r="Q89" i="1"/>
  <c r="O89" i="1"/>
  <c r="V89" i="1" l="1"/>
  <c r="AB89" i="1" s="1"/>
  <c r="U89" i="1"/>
  <c r="AA89" i="1" s="1"/>
  <c r="T89" i="1"/>
  <c r="Z89" i="1" s="1"/>
  <c r="Y89" i="1" l="1"/>
  <c r="X89" i="1"/>
  <c r="S89" i="1"/>
  <c r="Q90" i="1" s="1"/>
  <c r="W89" i="1"/>
  <c r="R89" i="1" s="1"/>
  <c r="O90" i="1"/>
  <c r="P90" i="1" l="1"/>
  <c r="N90" i="1"/>
  <c r="U90" i="1" l="1"/>
  <c r="AA90" i="1" s="1"/>
  <c r="V90" i="1"/>
  <c r="T90" i="1"/>
  <c r="Z90" i="1" s="1"/>
  <c r="X90" i="1" l="1"/>
  <c r="Y90" i="1"/>
  <c r="AB90" i="1"/>
  <c r="S90" i="1" s="1"/>
  <c r="W90" i="1"/>
  <c r="R90" i="1" s="1"/>
  <c r="P91" i="1" l="1"/>
  <c r="N91" i="1"/>
  <c r="Q91" i="1"/>
  <c r="O91" i="1"/>
  <c r="V91" i="1" l="1"/>
  <c r="Y91" i="1" s="1"/>
  <c r="U91" i="1"/>
  <c r="AA91" i="1" s="1"/>
  <c r="T91" i="1"/>
  <c r="W91" i="1" s="1"/>
  <c r="X91" i="1" l="1"/>
  <c r="R91" i="1" s="1"/>
  <c r="Z91" i="1"/>
  <c r="AB91" i="1"/>
  <c r="S91" i="1" l="1"/>
  <c r="P92" i="1"/>
  <c r="N92" i="1"/>
  <c r="Q92" i="1"/>
  <c r="O92" i="1"/>
  <c r="U92" i="1" l="1"/>
  <c r="X92" i="1" s="1"/>
  <c r="T92" i="1"/>
  <c r="W92" i="1" s="1"/>
  <c r="V92" i="1"/>
  <c r="Y92" i="1" s="1"/>
  <c r="AA92" i="1" l="1"/>
  <c r="R92" i="1"/>
  <c r="P93" i="1" s="1"/>
  <c r="Z92" i="1"/>
  <c r="AB92" i="1"/>
  <c r="N93" i="1" l="1"/>
  <c r="S92" i="1"/>
  <c r="Q93" i="1" l="1"/>
  <c r="O93" i="1"/>
  <c r="T93" i="1" l="1"/>
  <c r="W93" i="1" s="1"/>
  <c r="V93" i="1"/>
  <c r="Y93" i="1" s="1"/>
  <c r="U93" i="1"/>
  <c r="X93" i="1" s="1"/>
  <c r="AA93" i="1" l="1"/>
  <c r="Z93" i="1"/>
  <c r="AB93" i="1"/>
  <c r="R93" i="1"/>
  <c r="S93" i="1" l="1"/>
  <c r="P94" i="1"/>
  <c r="N94" i="1"/>
  <c r="Q94" i="1"/>
  <c r="O94" i="1"/>
  <c r="T94" i="1" l="1"/>
  <c r="Z94" i="1" s="1"/>
  <c r="V94" i="1"/>
  <c r="AB94" i="1" s="1"/>
  <c r="U94" i="1"/>
  <c r="AA94" i="1" s="1"/>
  <c r="X94" i="1" l="1"/>
  <c r="S94" i="1"/>
  <c r="W94" i="1"/>
  <c r="Y94" i="1"/>
  <c r="R94" i="1" l="1"/>
  <c r="P95" i="1" s="1"/>
  <c r="N95" i="1"/>
  <c r="Q95" i="1"/>
  <c r="O95" i="1"/>
  <c r="T95" i="1" l="1"/>
  <c r="Z95" i="1" s="1"/>
  <c r="V95" i="1"/>
  <c r="AB95" i="1" s="1"/>
  <c r="U95" i="1"/>
  <c r="AA95" i="1" s="1"/>
  <c r="Y95" i="1" l="1"/>
  <c r="S95" i="1"/>
  <c r="O96" i="1" s="1"/>
  <c r="W95" i="1"/>
  <c r="X95" i="1"/>
  <c r="Q96" i="1" l="1"/>
  <c r="R95" i="1"/>
  <c r="P96" i="1" s="1"/>
  <c r="N96" i="1" l="1"/>
  <c r="U96" i="1" s="1"/>
  <c r="AA96" i="1" s="1"/>
  <c r="V96" i="1" l="1"/>
  <c r="AB96" i="1" s="1"/>
  <c r="T96" i="1"/>
  <c r="Z96" i="1" s="1"/>
  <c r="S96" i="1" s="1"/>
  <c r="X96" i="1"/>
  <c r="Y96" i="1"/>
  <c r="W96" i="1"/>
  <c r="R96" i="1" s="1"/>
  <c r="O97" i="1" l="1"/>
  <c r="Q97" i="1"/>
  <c r="P97" i="1"/>
  <c r="N97" i="1"/>
  <c r="U97" i="1" l="1"/>
  <c r="AA97" i="1" s="1"/>
  <c r="V97" i="1"/>
  <c r="AB97" i="1" s="1"/>
  <c r="T97" i="1"/>
  <c r="X97" i="1"/>
  <c r="Y97" i="1" l="1"/>
  <c r="W97" i="1"/>
  <c r="R97" i="1" s="1"/>
  <c r="Z97" i="1"/>
  <c r="S97" i="1" s="1"/>
  <c r="Q98" i="1" l="1"/>
  <c r="O98" i="1"/>
  <c r="P98" i="1"/>
  <c r="N98" i="1"/>
  <c r="T98" i="1" l="1"/>
  <c r="Z98" i="1" s="1"/>
  <c r="V98" i="1"/>
  <c r="Y98" i="1" s="1"/>
  <c r="U98" i="1"/>
  <c r="X98" i="1" s="1"/>
  <c r="AA98" i="1" l="1"/>
  <c r="AB98" i="1"/>
  <c r="W98" i="1"/>
  <c r="R98" i="1" s="1"/>
  <c r="S98" i="1"/>
  <c r="Q99" i="1" l="1"/>
  <c r="O99" i="1"/>
  <c r="N99" i="1"/>
  <c r="P99" i="1"/>
  <c r="T99" i="1" l="1"/>
  <c r="W99" i="1" s="1"/>
  <c r="V99" i="1"/>
  <c r="Y99" i="1" s="1"/>
  <c r="U99" i="1"/>
  <c r="X99" i="1" s="1"/>
  <c r="AA99" i="1" l="1"/>
  <c r="R99" i="1"/>
  <c r="P100" i="1" s="1"/>
  <c r="AB99" i="1"/>
  <c r="Z99" i="1"/>
  <c r="S99" i="1" s="1"/>
  <c r="N100" i="1" l="1"/>
  <c r="O100" i="1"/>
  <c r="Q100" i="1"/>
  <c r="T100" i="1"/>
  <c r="W100" i="1" s="1"/>
  <c r="U100" i="1"/>
  <c r="X100" i="1" s="1"/>
  <c r="V100" i="1"/>
  <c r="Y100" i="1" s="1"/>
  <c r="AA100" i="1" l="1"/>
  <c r="R100" i="1"/>
  <c r="Z100" i="1"/>
  <c r="AB100" i="1"/>
  <c r="S100" i="1" l="1"/>
  <c r="P101" i="1"/>
  <c r="N101" i="1"/>
  <c r="O101" i="1" l="1"/>
  <c r="Q101" i="1"/>
  <c r="V101" i="1" l="1"/>
  <c r="Y101" i="1" s="1"/>
  <c r="U101" i="1"/>
  <c r="AA101" i="1" s="1"/>
  <c r="T101" i="1"/>
  <c r="W101" i="1" s="1"/>
  <c r="X101" i="1" l="1"/>
  <c r="R101" i="1" s="1"/>
  <c r="Z101" i="1"/>
  <c r="AB101" i="1"/>
  <c r="P102" i="1" l="1"/>
  <c r="N102" i="1"/>
  <c r="S101" i="1"/>
  <c r="Q102" i="1" l="1"/>
  <c r="O102" i="1"/>
  <c r="U102" i="1" l="1"/>
  <c r="X102" i="1" s="1"/>
  <c r="V102" i="1"/>
  <c r="Y102" i="1" s="1"/>
  <c r="T102" i="1"/>
  <c r="W102" i="1" s="1"/>
  <c r="AA102" i="1" l="1"/>
  <c r="R102" i="1"/>
  <c r="N103" i="1"/>
  <c r="P103" i="1"/>
  <c r="AB102" i="1"/>
  <c r="Z102" i="1"/>
  <c r="S102" i="1" l="1"/>
  <c r="O103" i="1" s="1"/>
  <c r="Q103" i="1"/>
  <c r="V103" i="1" l="1"/>
  <c r="AB103" i="1" s="1"/>
  <c r="T103" i="1"/>
  <c r="W103" i="1" s="1"/>
  <c r="U103" i="1"/>
  <c r="AA103" i="1" s="1"/>
  <c r="Y103" i="1"/>
  <c r="Z103" i="1"/>
  <c r="S103" i="1" l="1"/>
  <c r="O104" i="1" s="1"/>
  <c r="X103" i="1"/>
  <c r="R103" i="1" s="1"/>
  <c r="P104" i="1" s="1"/>
  <c r="Q104" i="1"/>
  <c r="N104" i="1" l="1"/>
  <c r="T104" i="1"/>
  <c r="Z104" i="1" s="1"/>
  <c r="V104" i="1"/>
  <c r="AB104" i="1" s="1"/>
  <c r="U104" i="1"/>
  <c r="AA104" i="1" s="1"/>
  <c r="W104" i="1"/>
  <c r="X104" i="1" l="1"/>
  <c r="Y104" i="1"/>
  <c r="S104" i="1"/>
  <c r="R104" i="1" l="1"/>
  <c r="Q105" i="1"/>
  <c r="O105" i="1"/>
  <c r="P105" i="1" l="1"/>
  <c r="N105" i="1"/>
  <c r="V105" i="1" s="1"/>
  <c r="T105" i="1" l="1"/>
  <c r="Z105" i="1" s="1"/>
  <c r="U105" i="1"/>
  <c r="AA105" i="1" s="1"/>
  <c r="AB105" i="1"/>
  <c r="Y105" i="1"/>
  <c r="W105" i="1" l="1"/>
  <c r="R105" i="1" s="1"/>
  <c r="X105" i="1"/>
  <c r="S105" i="1"/>
  <c r="P106" i="1" l="1"/>
  <c r="N106" i="1"/>
  <c r="O106" i="1"/>
  <c r="Q106" i="1"/>
  <c r="T106" i="1"/>
  <c r="U106" i="1"/>
  <c r="V106" i="1"/>
  <c r="Y106" i="1" s="1"/>
  <c r="W106" i="1"/>
  <c r="AA106" i="1" l="1"/>
  <c r="X106" i="1"/>
  <c r="R106" i="1" s="1"/>
  <c r="Z106" i="1"/>
  <c r="AB106" i="1"/>
  <c r="P107" i="1" l="1"/>
  <c r="N107" i="1"/>
  <c r="S106" i="1"/>
  <c r="Q107" i="1" l="1"/>
  <c r="O107" i="1"/>
  <c r="T107" i="1" l="1"/>
  <c r="W107" i="1" s="1"/>
  <c r="U107" i="1"/>
  <c r="X107" i="1" s="1"/>
  <c r="V107" i="1"/>
  <c r="AA107" i="1" l="1"/>
  <c r="Z107" i="1"/>
  <c r="S107" i="1" s="1"/>
  <c r="AB107" i="1"/>
  <c r="Y107" i="1"/>
  <c r="R107" i="1" s="1"/>
  <c r="P108" i="1" l="1"/>
  <c r="N108" i="1"/>
  <c r="O108" i="1"/>
  <c r="Q108" i="1"/>
  <c r="V108" i="1" l="1"/>
  <c r="AB108" i="1" s="1"/>
  <c r="U108" i="1"/>
  <c r="X108" i="1" s="1"/>
  <c r="T108" i="1"/>
  <c r="W108" i="1" s="1"/>
  <c r="Y108" i="1"/>
  <c r="AA108" i="1" l="1"/>
  <c r="Z108" i="1"/>
  <c r="S108" i="1" s="1"/>
  <c r="R108" i="1"/>
  <c r="N109" i="1" l="1"/>
  <c r="P109" i="1"/>
  <c r="Q109" i="1"/>
  <c r="O109" i="1"/>
  <c r="V109" i="1" l="1"/>
  <c r="Y109" i="1" s="1"/>
  <c r="U109" i="1"/>
  <c r="X109" i="1" s="1"/>
  <c r="T109" i="1"/>
  <c r="AA109" i="1" l="1"/>
  <c r="Z109" i="1"/>
  <c r="W109" i="1"/>
  <c r="R109" i="1" s="1"/>
  <c r="AB109" i="1"/>
  <c r="N110" i="1" l="1"/>
  <c r="P110" i="1"/>
  <c r="S109" i="1"/>
  <c r="Q110" i="1" l="1"/>
  <c r="O110" i="1"/>
  <c r="U110" i="1" l="1"/>
  <c r="X110" i="1" s="1"/>
  <c r="T110" i="1"/>
  <c r="W110" i="1" s="1"/>
  <c r="V110" i="1"/>
  <c r="Y110" i="1" s="1"/>
  <c r="AA110" i="1" l="1"/>
  <c r="R110" i="1"/>
  <c r="AB110" i="1"/>
  <c r="Z110" i="1"/>
  <c r="S110" i="1" s="1"/>
  <c r="O111" i="1" l="1"/>
  <c r="Q111" i="1"/>
  <c r="P111" i="1"/>
  <c r="N111" i="1"/>
  <c r="T111" i="1" l="1"/>
  <c r="W111" i="1" s="1"/>
  <c r="V111" i="1"/>
  <c r="Y111" i="1" s="1"/>
  <c r="U111" i="1"/>
  <c r="X111" i="1" s="1"/>
  <c r="Z111" i="1"/>
  <c r="AB111" i="1"/>
  <c r="AA111" i="1" l="1"/>
  <c r="R111" i="1"/>
  <c r="P112" i="1" s="1"/>
  <c r="S111" i="1"/>
  <c r="N112" i="1" l="1"/>
  <c r="O112" i="1"/>
  <c r="Q112" i="1"/>
  <c r="V112" i="1" l="1"/>
  <c r="U112" i="1"/>
  <c r="AA112" i="1" s="1"/>
  <c r="T112" i="1"/>
  <c r="X112" i="1" l="1"/>
  <c r="Z112" i="1"/>
  <c r="W112" i="1"/>
  <c r="AB112" i="1"/>
  <c r="Y112" i="1"/>
  <c r="R112" i="1" l="1"/>
  <c r="P113" i="1" s="1"/>
  <c r="N113" i="1"/>
  <c r="S112" i="1"/>
  <c r="O113" i="1" l="1"/>
  <c r="Q113" i="1"/>
  <c r="T113" i="1" l="1"/>
  <c r="V113" i="1"/>
  <c r="Y113" i="1" s="1"/>
  <c r="U113" i="1"/>
  <c r="AA113" i="1" s="1"/>
  <c r="X113" i="1" l="1"/>
  <c r="Z113" i="1"/>
  <c r="W113" i="1"/>
  <c r="R113" i="1" s="1"/>
  <c r="AB113" i="1"/>
  <c r="S113" i="1" s="1"/>
  <c r="O114" i="1" l="1"/>
  <c r="Q114" i="1"/>
  <c r="N114" i="1"/>
  <c r="P114" i="1"/>
  <c r="T114" i="1" l="1"/>
  <c r="Z114" i="1" s="1"/>
  <c r="U114" i="1"/>
  <c r="AA114" i="1" s="1"/>
  <c r="V114" i="1"/>
  <c r="AB114" i="1" s="1"/>
  <c r="W114" i="1"/>
  <c r="Y114" i="1" l="1"/>
  <c r="X114" i="1"/>
  <c r="R114" i="1" s="1"/>
  <c r="S114" i="1"/>
  <c r="Q115" i="1" l="1"/>
  <c r="O115" i="1"/>
  <c r="P115" i="1"/>
  <c r="N115" i="1"/>
  <c r="U115" i="1" l="1"/>
  <c r="X115" i="1" s="1"/>
  <c r="T115" i="1"/>
  <c r="W115" i="1" s="1"/>
  <c r="V115" i="1"/>
  <c r="Y115" i="1" s="1"/>
  <c r="Z115" i="1"/>
  <c r="AA115" i="1" l="1"/>
  <c r="AB115" i="1"/>
  <c r="R115" i="1"/>
  <c r="S115" i="1"/>
  <c r="O116" i="1" l="1"/>
  <c r="Q116" i="1"/>
  <c r="N116" i="1"/>
  <c r="P116" i="1"/>
  <c r="U116" i="1" l="1"/>
  <c r="X116" i="1" s="1"/>
  <c r="T116" i="1"/>
  <c r="W116" i="1" s="1"/>
  <c r="V116" i="1"/>
  <c r="Y116" i="1" s="1"/>
  <c r="AA116" i="1" l="1"/>
  <c r="Z116" i="1"/>
  <c r="AB116" i="1"/>
  <c r="S116" i="1" s="1"/>
  <c r="R116" i="1"/>
  <c r="Q117" i="1" l="1"/>
  <c r="O117" i="1"/>
  <c r="N117" i="1"/>
  <c r="P117" i="1"/>
  <c r="V117" i="1" l="1"/>
  <c r="AB117" i="1" s="1"/>
  <c r="T117" i="1"/>
  <c r="Z117" i="1" s="1"/>
  <c r="U117" i="1"/>
  <c r="AA117" i="1" s="1"/>
  <c r="Y117" i="1" l="1"/>
  <c r="W117" i="1"/>
  <c r="R117" i="1" s="1"/>
  <c r="X117" i="1"/>
  <c r="S117" i="1"/>
  <c r="Q118" i="1" l="1"/>
  <c r="O118" i="1"/>
  <c r="P118" i="1"/>
  <c r="N118" i="1"/>
  <c r="U118" i="1" l="1"/>
  <c r="AA118" i="1" s="1"/>
  <c r="T118" i="1"/>
  <c r="Z118" i="1" s="1"/>
  <c r="X118" i="1"/>
  <c r="V118" i="1"/>
  <c r="AB118" i="1" s="1"/>
  <c r="W118" i="1" l="1"/>
  <c r="S118" i="1"/>
  <c r="Y118" i="1"/>
  <c r="R118" i="1" s="1"/>
  <c r="P119" i="1" l="1"/>
  <c r="N119" i="1"/>
  <c r="Q119" i="1"/>
  <c r="O119" i="1"/>
  <c r="V119" i="1" l="1"/>
  <c r="AB119" i="1" s="1"/>
  <c r="U119" i="1"/>
  <c r="AA119" i="1" s="1"/>
  <c r="T119" i="1"/>
  <c r="Z119" i="1" s="1"/>
  <c r="Y119" i="1"/>
  <c r="S119" i="1" l="1"/>
  <c r="Q120" i="1" s="1"/>
  <c r="O120" i="1"/>
  <c r="W119" i="1"/>
  <c r="X119" i="1"/>
  <c r="R119" i="1" l="1"/>
  <c r="P120" i="1" s="1"/>
  <c r="N120" i="1" l="1"/>
  <c r="V120" i="1" s="1"/>
  <c r="U120" i="1"/>
  <c r="AA120" i="1" s="1"/>
  <c r="T120" i="1"/>
  <c r="Z120" i="1" s="1"/>
  <c r="AB120" i="1" l="1"/>
  <c r="Y120" i="1"/>
  <c r="S120" i="1"/>
  <c r="O121" i="1" s="1"/>
  <c r="W120" i="1"/>
  <c r="X120" i="1"/>
  <c r="Q121" i="1" l="1"/>
  <c r="R120" i="1"/>
  <c r="P121" i="1" l="1"/>
  <c r="N121" i="1"/>
  <c r="T121" i="1" l="1"/>
  <c r="V121" i="1"/>
  <c r="AB121" i="1" s="1"/>
  <c r="U121" i="1"/>
  <c r="AA121" i="1" s="1"/>
  <c r="X121" i="1" l="1"/>
  <c r="W121" i="1"/>
  <c r="Z121" i="1"/>
  <c r="S121" i="1" s="1"/>
  <c r="Y121" i="1"/>
  <c r="R121" i="1" l="1"/>
  <c r="O122" i="1"/>
  <c r="Q122" i="1"/>
  <c r="P122" i="1" l="1"/>
  <c r="N122" i="1"/>
  <c r="T122" i="1" l="1"/>
  <c r="Z122" i="1" s="1"/>
  <c r="V122" i="1"/>
  <c r="AB122" i="1" s="1"/>
  <c r="U122" i="1"/>
  <c r="AA122" i="1" s="1"/>
  <c r="Y122" i="1" l="1"/>
  <c r="W122" i="1"/>
  <c r="S122" i="1"/>
  <c r="X122" i="1"/>
  <c r="R122" i="1" l="1"/>
  <c r="P123" i="1" s="1"/>
  <c r="Q123" i="1"/>
  <c r="O123" i="1"/>
  <c r="N123" i="1" l="1"/>
  <c r="U123" i="1" s="1"/>
  <c r="AA123" i="1" s="1"/>
  <c r="T123" i="1" l="1"/>
  <c r="Z123" i="1" s="1"/>
  <c r="V123" i="1"/>
  <c r="AB123" i="1" s="1"/>
  <c r="S123" i="1" s="1"/>
  <c r="X123" i="1"/>
  <c r="Y123" i="1"/>
  <c r="W123" i="1"/>
  <c r="R123" i="1" l="1"/>
  <c r="Q124" i="1"/>
  <c r="O124" i="1"/>
  <c r="P124" i="1"/>
  <c r="N124" i="1"/>
  <c r="V124" i="1" l="1"/>
  <c r="AB124" i="1" s="1"/>
  <c r="T124" i="1"/>
  <c r="Z124" i="1" s="1"/>
  <c r="Y124" i="1"/>
  <c r="U124" i="1"/>
  <c r="AA124" i="1" s="1"/>
  <c r="W124" i="1" l="1"/>
  <c r="X124" i="1"/>
  <c r="R124" i="1" s="1"/>
  <c r="S124" i="1"/>
  <c r="Q125" i="1" l="1"/>
  <c r="O125" i="1"/>
  <c r="N125" i="1"/>
  <c r="P125" i="1"/>
  <c r="U125" i="1" l="1"/>
  <c r="X125" i="1" s="1"/>
  <c r="V125" i="1"/>
  <c r="Y125" i="1" s="1"/>
  <c r="T125" i="1"/>
  <c r="W125" i="1" s="1"/>
  <c r="AA125" i="1" l="1"/>
  <c r="R125" i="1"/>
  <c r="P126" i="1" s="1"/>
  <c r="Z125" i="1"/>
  <c r="AB125" i="1"/>
  <c r="N126" i="1" l="1"/>
  <c r="S125" i="1"/>
  <c r="O126" i="1" l="1"/>
  <c r="Q126" i="1"/>
  <c r="T126" i="1" l="1"/>
  <c r="W126" i="1" s="1"/>
  <c r="V126" i="1"/>
  <c r="Y126" i="1" s="1"/>
  <c r="U126" i="1"/>
  <c r="X126" i="1" s="1"/>
  <c r="AA126" i="1" l="1"/>
  <c r="R126" i="1"/>
  <c r="Z126" i="1"/>
  <c r="AB126" i="1"/>
  <c r="P127" i="1" l="1"/>
  <c r="N127" i="1"/>
  <c r="S126" i="1"/>
  <c r="Q127" i="1" l="1"/>
  <c r="O127" i="1"/>
  <c r="U127" i="1" l="1"/>
  <c r="AA127" i="1" s="1"/>
  <c r="V127" i="1"/>
  <c r="Y127" i="1" s="1"/>
  <c r="T127" i="1"/>
  <c r="W127" i="1" s="1"/>
  <c r="AB127" i="1" l="1"/>
  <c r="X127" i="1"/>
  <c r="R127" i="1" s="1"/>
  <c r="Z127" i="1"/>
  <c r="S127" i="1" s="1"/>
  <c r="N128" i="1" l="1"/>
  <c r="P128" i="1"/>
  <c r="Q128" i="1"/>
  <c r="O128" i="1"/>
  <c r="V128" i="1" l="1"/>
  <c r="AB128" i="1" s="1"/>
  <c r="U128" i="1"/>
  <c r="AA128" i="1" s="1"/>
  <c r="T128" i="1"/>
  <c r="Z128" i="1" s="1"/>
  <c r="S128" i="1" l="1"/>
  <c r="Q129" i="1" s="1"/>
  <c r="Y128" i="1"/>
  <c r="X128" i="1"/>
  <c r="W128" i="1"/>
  <c r="R128" i="1" s="1"/>
  <c r="P129" i="1" s="1"/>
  <c r="O129" i="1"/>
  <c r="N129" i="1" l="1"/>
  <c r="T129" i="1" s="1"/>
  <c r="V129" i="1" l="1"/>
  <c r="AB129" i="1" s="1"/>
  <c r="U129" i="1"/>
  <c r="AA129" i="1" s="1"/>
  <c r="Z129" i="1"/>
  <c r="W129" i="1"/>
  <c r="X129" i="1"/>
  <c r="Y129" i="1"/>
  <c r="R129" i="1" s="1"/>
  <c r="S129" i="1"/>
  <c r="P130" i="1" l="1"/>
  <c r="N130" i="1"/>
  <c r="Q130" i="1"/>
  <c r="O130" i="1"/>
  <c r="T130" i="1" l="1"/>
  <c r="W130" i="1" s="1"/>
  <c r="V130" i="1"/>
  <c r="Y130" i="1" s="1"/>
  <c r="U130" i="1"/>
  <c r="X130" i="1" s="1"/>
  <c r="AA130" i="1" l="1"/>
  <c r="Z130" i="1"/>
  <c r="R130" i="1"/>
  <c r="AB130" i="1"/>
  <c r="P131" i="1" l="1"/>
  <c r="N131" i="1"/>
  <c r="S130" i="1"/>
  <c r="Q131" i="1" l="1"/>
  <c r="O131" i="1"/>
  <c r="T131" i="1" l="1"/>
  <c r="W131" i="1" s="1"/>
  <c r="U131" i="1"/>
  <c r="X131" i="1" s="1"/>
  <c r="R131" i="1" s="1"/>
  <c r="V131" i="1"/>
  <c r="Y131" i="1" s="1"/>
  <c r="Z131" i="1"/>
  <c r="AA131" i="1" l="1"/>
  <c r="AB131" i="1"/>
  <c r="S131" i="1"/>
  <c r="N132" i="1"/>
  <c r="P132" i="1"/>
  <c r="Q132" i="1" l="1"/>
  <c r="O132" i="1"/>
  <c r="V132" i="1" l="1"/>
  <c r="Y132" i="1" s="1"/>
  <c r="U132" i="1"/>
  <c r="X132" i="1" s="1"/>
  <c r="T132" i="1"/>
  <c r="W132" i="1" s="1"/>
  <c r="AA132" i="1" l="1"/>
  <c r="R132" i="1"/>
  <c r="P133" i="1" s="1"/>
  <c r="Z132" i="1"/>
  <c r="AB132" i="1"/>
  <c r="N133" i="1" l="1"/>
  <c r="S132" i="1"/>
  <c r="O133" i="1" s="1"/>
  <c r="Q133" i="1"/>
  <c r="T133" i="1" l="1"/>
  <c r="W133" i="1" s="1"/>
  <c r="V133" i="1"/>
  <c r="Y133" i="1" s="1"/>
  <c r="U133" i="1"/>
  <c r="X133" i="1" s="1"/>
  <c r="R133" i="1" s="1"/>
  <c r="AB133" i="1"/>
  <c r="Z133" i="1"/>
  <c r="AA133" i="1" l="1"/>
  <c r="S133" i="1" s="1"/>
  <c r="P134" i="1"/>
  <c r="N134" i="1"/>
  <c r="Q134" i="1" l="1"/>
  <c r="O134" i="1"/>
  <c r="U134" i="1"/>
  <c r="X134" i="1" s="1"/>
  <c r="V134" i="1"/>
  <c r="Y134" i="1" s="1"/>
  <c r="AA134" i="1" l="1"/>
  <c r="T134" i="1"/>
  <c r="W134" i="1" s="1"/>
  <c r="R134" i="1" s="1"/>
  <c r="AB134" i="1"/>
  <c r="Z134" i="1" l="1"/>
  <c r="S134" i="1" s="1"/>
  <c r="P135" i="1"/>
  <c r="N135" i="1"/>
  <c r="Q135" i="1" l="1"/>
  <c r="O135" i="1"/>
  <c r="T135" i="1"/>
  <c r="W135" i="1" s="1"/>
  <c r="V135" i="1"/>
  <c r="Y135" i="1" s="1"/>
  <c r="U135" i="1"/>
  <c r="X135" i="1" s="1"/>
  <c r="Z135" i="1"/>
  <c r="AB135" i="1"/>
  <c r="AA135" i="1" l="1"/>
  <c r="S135" i="1"/>
  <c r="R135" i="1"/>
  <c r="P136" i="1" l="1"/>
  <c r="N136" i="1"/>
  <c r="Q136" i="1"/>
  <c r="O136" i="1"/>
  <c r="U136" i="1" l="1"/>
  <c r="X136" i="1" s="1"/>
  <c r="V136" i="1"/>
  <c r="Y136" i="1" s="1"/>
  <c r="T136" i="1"/>
  <c r="W136" i="1" s="1"/>
  <c r="AA136" i="1" l="1"/>
  <c r="R136" i="1"/>
  <c r="P137" i="1" s="1"/>
  <c r="Z136" i="1"/>
  <c r="AB136" i="1"/>
  <c r="N137" i="1" l="1"/>
  <c r="S136" i="1"/>
  <c r="Q137" i="1" l="1"/>
  <c r="O137" i="1"/>
  <c r="T137" i="1" l="1"/>
  <c r="W137" i="1" s="1"/>
  <c r="V137" i="1"/>
  <c r="Y137" i="1" s="1"/>
  <c r="U137" i="1"/>
  <c r="X137" i="1" s="1"/>
  <c r="AA137" i="1" l="1"/>
  <c r="R137" i="1"/>
  <c r="AB137" i="1"/>
  <c r="Z137" i="1"/>
  <c r="S137" i="1" s="1"/>
  <c r="P138" i="1" l="1"/>
  <c r="N138" i="1"/>
  <c r="O138" i="1"/>
  <c r="Q138" i="1"/>
  <c r="U138" i="1" l="1"/>
  <c r="X138" i="1" s="1"/>
  <c r="V138" i="1"/>
  <c r="Y138" i="1" s="1"/>
  <c r="T138" i="1"/>
  <c r="W138" i="1" s="1"/>
  <c r="AB138" i="1"/>
  <c r="AA138" i="1" l="1"/>
  <c r="R138" i="1"/>
  <c r="Z138" i="1"/>
  <c r="S138" i="1" s="1"/>
  <c r="N139" i="1"/>
  <c r="P139" i="1"/>
  <c r="O139" i="1" l="1"/>
  <c r="Q139" i="1"/>
  <c r="T139" i="1"/>
  <c r="U139" i="1"/>
  <c r="V139" i="1"/>
  <c r="AA139" i="1" l="1"/>
  <c r="Y139" i="1"/>
  <c r="AB139" i="1"/>
  <c r="X139" i="1"/>
  <c r="W139" i="1"/>
  <c r="R139" i="1" s="1"/>
  <c r="Z139" i="1"/>
  <c r="S139" i="1" s="1"/>
  <c r="P140" i="1" l="1"/>
  <c r="N140" i="1"/>
  <c r="Q140" i="1"/>
  <c r="O140" i="1"/>
  <c r="V140" i="1" l="1"/>
  <c r="Y140" i="1" s="1"/>
  <c r="T140" i="1"/>
  <c r="W140" i="1" s="1"/>
  <c r="U140" i="1"/>
  <c r="X140" i="1" s="1"/>
  <c r="AB140" i="1"/>
  <c r="Z140" i="1"/>
  <c r="AA140" i="1" l="1"/>
  <c r="S140" i="1" s="1"/>
  <c r="R140" i="1"/>
  <c r="N141" i="1" l="1"/>
  <c r="P141" i="1"/>
  <c r="O141" i="1"/>
  <c r="Q141" i="1"/>
  <c r="V141" i="1" l="1"/>
  <c r="AB141" i="1" s="1"/>
  <c r="U141" i="1"/>
  <c r="X141" i="1" s="1"/>
  <c r="T141" i="1"/>
  <c r="Z141" i="1" s="1"/>
  <c r="AA141" i="1" l="1"/>
  <c r="W141" i="1"/>
  <c r="Y141" i="1"/>
  <c r="S141" i="1"/>
  <c r="Q142" i="1" l="1"/>
  <c r="O142" i="1"/>
  <c r="R141" i="1"/>
  <c r="P142" i="1" l="1"/>
  <c r="N142" i="1"/>
  <c r="T142" i="1" l="1"/>
  <c r="V142" i="1"/>
  <c r="AB142" i="1" s="1"/>
  <c r="U142" i="1"/>
  <c r="AA142" i="1" s="1"/>
  <c r="X142" i="1" l="1"/>
  <c r="Y142" i="1"/>
  <c r="W142" i="1"/>
  <c r="Z142" i="1"/>
  <c r="S142" i="1" s="1"/>
  <c r="Q143" i="1" l="1"/>
  <c r="O143" i="1"/>
  <c r="R142" i="1"/>
  <c r="P143" i="1" l="1"/>
  <c r="N143" i="1"/>
  <c r="V143" i="1" l="1"/>
  <c r="U143" i="1"/>
  <c r="AA143" i="1" s="1"/>
  <c r="T143" i="1"/>
  <c r="X143" i="1" l="1"/>
  <c r="W143" i="1"/>
  <c r="Z143" i="1"/>
  <c r="Y143" i="1"/>
  <c r="AB143" i="1"/>
  <c r="S143" i="1" l="1"/>
  <c r="O144" i="1" s="1"/>
  <c r="R143" i="1"/>
  <c r="Q144" i="1" l="1"/>
  <c r="N144" i="1"/>
  <c r="P144" i="1"/>
  <c r="V144" i="1" l="1"/>
  <c r="AB144" i="1" s="1"/>
  <c r="U144" i="1"/>
  <c r="AA144" i="1" s="1"/>
  <c r="T144" i="1"/>
  <c r="Z144" i="1" s="1"/>
  <c r="S144" i="1" l="1"/>
  <c r="Q145" i="1"/>
  <c r="O145" i="1"/>
  <c r="Y144" i="1"/>
  <c r="W144" i="1"/>
  <c r="X144" i="1"/>
  <c r="R144" i="1" l="1"/>
  <c r="P145" i="1" l="1"/>
  <c r="N145" i="1"/>
  <c r="U145" i="1" l="1"/>
  <c r="AA145" i="1" s="1"/>
  <c r="V145" i="1"/>
  <c r="AB145" i="1" s="1"/>
  <c r="T145" i="1"/>
  <c r="Z145" i="1" s="1"/>
  <c r="X145" i="1"/>
  <c r="S145" i="1" l="1"/>
  <c r="O146" i="1"/>
  <c r="Q146" i="1"/>
  <c r="W145" i="1"/>
  <c r="Y145" i="1"/>
  <c r="R145" i="1" l="1"/>
  <c r="P146" i="1" s="1"/>
  <c r="N146" i="1"/>
  <c r="T146" i="1" l="1"/>
  <c r="U146" i="1"/>
  <c r="AA146" i="1" s="1"/>
  <c r="V146" i="1"/>
  <c r="X146" i="1" l="1"/>
  <c r="Y146" i="1"/>
  <c r="AB146" i="1"/>
  <c r="W146" i="1"/>
  <c r="R146" i="1" s="1"/>
  <c r="Z146" i="1"/>
  <c r="S146" i="1" l="1"/>
  <c r="Q147" i="1" s="1"/>
  <c r="O147" i="1"/>
  <c r="P147" i="1"/>
  <c r="N147" i="1"/>
  <c r="T147" i="1" l="1"/>
  <c r="Z147" i="1" s="1"/>
  <c r="U147" i="1"/>
  <c r="AA147" i="1" s="1"/>
  <c r="V147" i="1"/>
  <c r="Y147" i="1" s="1"/>
  <c r="W147" i="1"/>
  <c r="AB147" i="1" l="1"/>
  <c r="S147" i="1" s="1"/>
  <c r="O148" i="1" s="1"/>
  <c r="X147" i="1"/>
  <c r="R147" i="1" s="1"/>
  <c r="Q148" i="1" l="1"/>
  <c r="P148" i="1"/>
  <c r="N148" i="1"/>
  <c r="U148" i="1" l="1"/>
  <c r="AA148" i="1" s="1"/>
  <c r="T148" i="1"/>
  <c r="Z148" i="1" s="1"/>
  <c r="V148" i="1"/>
  <c r="W148" i="1" l="1"/>
  <c r="Y148" i="1"/>
  <c r="AB148" i="1"/>
  <c r="S148" i="1" s="1"/>
  <c r="X148" i="1"/>
  <c r="Q149" i="1" l="1"/>
  <c r="O149" i="1"/>
  <c r="R148" i="1"/>
  <c r="P149" i="1" l="1"/>
  <c r="N149" i="1"/>
  <c r="V149" i="1" l="1"/>
  <c r="U149" i="1"/>
  <c r="AA149" i="1" s="1"/>
  <c r="T149" i="1"/>
  <c r="Z149" i="1" s="1"/>
  <c r="X149" i="1" l="1"/>
  <c r="W149" i="1"/>
  <c r="Y149" i="1"/>
  <c r="AB149" i="1"/>
  <c r="S149" i="1" s="1"/>
  <c r="Q150" i="1" l="1"/>
  <c r="O150" i="1"/>
  <c r="R149" i="1"/>
  <c r="N150" i="1" l="1"/>
  <c r="P150" i="1"/>
  <c r="U150" i="1" l="1"/>
  <c r="AA150" i="1" s="1"/>
  <c r="T150" i="1"/>
  <c r="V150" i="1"/>
  <c r="W150" i="1" l="1"/>
  <c r="Z150" i="1"/>
  <c r="Y150" i="1"/>
  <c r="AB150" i="1"/>
  <c r="X150" i="1"/>
  <c r="S150" i="1" l="1"/>
  <c r="R150" i="1"/>
  <c r="N151" i="1" l="1"/>
  <c r="P151" i="1"/>
  <c r="Q151" i="1"/>
  <c r="O151" i="1"/>
  <c r="T151" i="1" l="1"/>
  <c r="Z151" i="1" s="1"/>
  <c r="U151" i="1"/>
  <c r="AA151" i="1" s="1"/>
  <c r="V151" i="1"/>
  <c r="AB151" i="1" s="1"/>
  <c r="W151" i="1"/>
  <c r="X151" i="1"/>
  <c r="S151" i="1" l="1"/>
  <c r="Y151" i="1"/>
  <c r="R151" i="1" s="1"/>
  <c r="N152" i="1" l="1"/>
  <c r="P152" i="1"/>
  <c r="O152" i="1"/>
  <c r="Q152" i="1"/>
  <c r="V152" i="1" l="1"/>
  <c r="Y152" i="1" s="1"/>
  <c r="T152" i="1"/>
  <c r="Z152" i="1" s="1"/>
  <c r="U152" i="1"/>
  <c r="X152" i="1" s="1"/>
  <c r="AA152" i="1" l="1"/>
  <c r="W152" i="1"/>
  <c r="R152" i="1" s="1"/>
  <c r="AB152" i="1"/>
  <c r="S152" i="1" l="1"/>
  <c r="O153" i="1"/>
  <c r="Q153" i="1"/>
  <c r="P153" i="1"/>
  <c r="N153" i="1"/>
  <c r="T153" i="1" l="1"/>
  <c r="W153" i="1" s="1"/>
  <c r="U153" i="1"/>
  <c r="AA153" i="1" s="1"/>
  <c r="V153" i="1"/>
  <c r="Y153" i="1" s="1"/>
  <c r="Z153" i="1" l="1"/>
  <c r="AB153" i="1"/>
  <c r="S153" i="1" s="1"/>
  <c r="Q154" i="1" s="1"/>
  <c r="X153" i="1"/>
  <c r="R153" i="1" s="1"/>
  <c r="O154" i="1" l="1"/>
  <c r="P154" i="1"/>
  <c r="N154" i="1"/>
  <c r="V154" i="1" l="1"/>
  <c r="T154" i="1"/>
  <c r="Z154" i="1" s="1"/>
  <c r="U154" i="1"/>
  <c r="AA154" i="1" s="1"/>
  <c r="W154" i="1" l="1"/>
  <c r="X154" i="1"/>
  <c r="Y154" i="1"/>
  <c r="AB154" i="1"/>
  <c r="S154" i="1" l="1"/>
  <c r="Q155" i="1" s="1"/>
  <c r="R154" i="1"/>
  <c r="O155" i="1" l="1"/>
  <c r="P155" i="1"/>
  <c r="N155" i="1"/>
  <c r="U155" i="1" l="1"/>
  <c r="AA155" i="1" s="1"/>
  <c r="T155" i="1"/>
  <c r="Z155" i="1" s="1"/>
  <c r="X155" i="1"/>
  <c r="V155" i="1"/>
  <c r="AB155" i="1" s="1"/>
  <c r="W155" i="1" l="1"/>
  <c r="S155" i="1"/>
  <c r="Y155" i="1"/>
  <c r="R155" i="1" l="1"/>
  <c r="P156" i="1"/>
  <c r="N156" i="1"/>
  <c r="O156" i="1"/>
  <c r="Q156" i="1"/>
  <c r="T156" i="1" l="1"/>
  <c r="Z156" i="1" s="1"/>
  <c r="U156" i="1"/>
  <c r="AA156" i="1" s="1"/>
  <c r="W156" i="1"/>
  <c r="V156" i="1"/>
  <c r="AB156" i="1" s="1"/>
  <c r="X156" i="1" l="1"/>
  <c r="Y156" i="1"/>
  <c r="R156" i="1" s="1"/>
  <c r="S156" i="1"/>
  <c r="O157" i="1" l="1"/>
  <c r="Q157" i="1"/>
  <c r="P157" i="1"/>
  <c r="N157" i="1"/>
  <c r="T157" i="1" l="1"/>
  <c r="Z157" i="1" s="1"/>
  <c r="V157" i="1"/>
  <c r="AB157" i="1" s="1"/>
  <c r="W157" i="1"/>
  <c r="U157" i="1"/>
  <c r="AA157" i="1" s="1"/>
  <c r="Y157" i="1" l="1"/>
  <c r="X157" i="1"/>
  <c r="R157" i="1" s="1"/>
  <c r="S157" i="1"/>
  <c r="P158" i="1" l="1"/>
  <c r="N158" i="1"/>
  <c r="O158" i="1"/>
  <c r="Q158" i="1"/>
  <c r="U158" i="1" l="1"/>
  <c r="AA158" i="1" s="1"/>
  <c r="V158" i="1"/>
  <c r="AB158" i="1" s="1"/>
  <c r="T158" i="1"/>
  <c r="Z158" i="1" s="1"/>
  <c r="Y158" i="1" l="1"/>
  <c r="X158" i="1"/>
  <c r="W158" i="1"/>
  <c r="S158" i="1"/>
  <c r="R158" i="1" l="1"/>
  <c r="N159" i="1" s="1"/>
  <c r="P159" i="1"/>
  <c r="Q159" i="1"/>
  <c r="O159" i="1"/>
  <c r="T159" i="1" l="1"/>
  <c r="V159" i="1"/>
  <c r="U159" i="1"/>
  <c r="AA159" i="1" s="1"/>
  <c r="X159" i="1" l="1"/>
  <c r="Z159" i="1"/>
  <c r="W159" i="1"/>
  <c r="AB159" i="1"/>
  <c r="Y159" i="1"/>
  <c r="R159" i="1" l="1"/>
  <c r="S159" i="1"/>
  <c r="O160" i="1" l="1"/>
  <c r="Q160" i="1"/>
  <c r="P160" i="1"/>
  <c r="N160" i="1"/>
  <c r="U160" i="1" l="1"/>
  <c r="AA160" i="1" s="1"/>
  <c r="T160" i="1"/>
  <c r="W160" i="1" s="1"/>
  <c r="X160" i="1"/>
  <c r="V160" i="1"/>
  <c r="Y160" i="1" s="1"/>
  <c r="Z160" i="1"/>
  <c r="AB160" i="1" l="1"/>
  <c r="S160" i="1" s="1"/>
  <c r="R160" i="1"/>
  <c r="P161" i="1" l="1"/>
  <c r="N161" i="1"/>
  <c r="Q161" i="1"/>
  <c r="O161" i="1"/>
  <c r="V161" i="1" l="1"/>
  <c r="Y161" i="1" s="1"/>
  <c r="T161" i="1"/>
  <c r="Z161" i="1" s="1"/>
  <c r="U161" i="1"/>
  <c r="X161" i="1" s="1"/>
  <c r="AA161" i="1" l="1"/>
  <c r="W161" i="1"/>
  <c r="AB161" i="1"/>
  <c r="S161" i="1" s="1"/>
  <c r="R161" i="1"/>
  <c r="N162" i="1" s="1"/>
  <c r="P162" i="1" l="1"/>
  <c r="Q162" i="1"/>
  <c r="O162" i="1"/>
  <c r="V162" i="1" l="1"/>
  <c r="U162" i="1"/>
  <c r="AA162" i="1" s="1"/>
  <c r="T162" i="1"/>
  <c r="X162" i="1" l="1"/>
  <c r="Z162" i="1"/>
  <c r="W162" i="1"/>
  <c r="AB162" i="1"/>
  <c r="Y162" i="1"/>
  <c r="R162" i="1" l="1"/>
  <c r="P163" i="1" s="1"/>
  <c r="N163" i="1"/>
  <c r="S162" i="1"/>
  <c r="O163" i="1" l="1"/>
  <c r="Q163" i="1"/>
  <c r="T163" i="1"/>
  <c r="Z163" i="1" s="1"/>
  <c r="U163" i="1" l="1"/>
  <c r="AA163" i="1" s="1"/>
  <c r="S163" i="1" s="1"/>
  <c r="V163" i="1"/>
  <c r="AB163" i="1" s="1"/>
  <c r="X163" i="1"/>
  <c r="W163" i="1"/>
  <c r="O164" i="1" l="1"/>
  <c r="Q164" i="1"/>
  <c r="Y163" i="1"/>
  <c r="R163" i="1" s="1"/>
  <c r="P164" i="1" s="1"/>
  <c r="N164" i="1" l="1"/>
  <c r="U164" i="1" s="1"/>
  <c r="AA164" i="1" s="1"/>
  <c r="T164" i="1" l="1"/>
  <c r="Z164" i="1" s="1"/>
  <c r="V164" i="1"/>
  <c r="AB164" i="1" s="1"/>
  <c r="X164" i="1"/>
  <c r="Y164" i="1"/>
  <c r="W164" i="1"/>
  <c r="R164" i="1" s="1"/>
  <c r="S164" i="1"/>
  <c r="Q165" i="1" s="1"/>
  <c r="O165" i="1"/>
  <c r="P165" i="1" l="1"/>
  <c r="N165" i="1"/>
  <c r="U165" i="1" l="1"/>
  <c r="AA165" i="1" s="1"/>
  <c r="V165" i="1"/>
  <c r="T165" i="1"/>
  <c r="Y165" i="1" l="1"/>
  <c r="AB165" i="1"/>
  <c r="W165" i="1"/>
  <c r="Z165" i="1"/>
  <c r="X165" i="1"/>
  <c r="S165" i="1" l="1"/>
  <c r="O166" i="1" s="1"/>
  <c r="Q166" i="1"/>
  <c r="R165" i="1"/>
  <c r="N166" i="1" l="1"/>
  <c r="P166" i="1"/>
  <c r="V166" i="1" l="1"/>
  <c r="U166" i="1"/>
  <c r="AA166" i="1" s="1"/>
  <c r="T166" i="1"/>
  <c r="X166" i="1" l="1"/>
  <c r="W166" i="1"/>
  <c r="Z166" i="1"/>
  <c r="Y166" i="1"/>
  <c r="AB166" i="1"/>
  <c r="S166" i="1" l="1"/>
  <c r="O167" i="1" s="1"/>
  <c r="R166" i="1"/>
  <c r="Q167" i="1" l="1"/>
  <c r="P167" i="1"/>
  <c r="N167" i="1"/>
  <c r="V167" i="1" l="1"/>
  <c r="T167" i="1"/>
  <c r="U167" i="1"/>
  <c r="AA167" i="1" s="1"/>
  <c r="X167" i="1" l="1"/>
  <c r="W167" i="1"/>
  <c r="Z167" i="1"/>
  <c r="Y167" i="1"/>
  <c r="AB167" i="1"/>
  <c r="S167" i="1" l="1"/>
  <c r="O168" i="1" s="1"/>
  <c r="R167" i="1"/>
  <c r="P168" i="1" s="1"/>
  <c r="N168" i="1" l="1"/>
  <c r="T168" i="1" s="1"/>
  <c r="W168" i="1" s="1"/>
  <c r="Q168" i="1"/>
  <c r="V168" i="1" l="1"/>
  <c r="AB168" i="1" s="1"/>
  <c r="U168" i="1"/>
  <c r="AA168" i="1" s="1"/>
  <c r="Y168" i="1"/>
  <c r="Z168" i="1"/>
  <c r="S168" i="1" l="1"/>
  <c r="X168" i="1"/>
  <c r="R168" i="1" s="1"/>
  <c r="Q169" i="1"/>
  <c r="O169" i="1"/>
  <c r="N169" i="1" l="1"/>
  <c r="P169" i="1"/>
  <c r="U169" i="1"/>
  <c r="X169" i="1" s="1"/>
  <c r="T169" i="1"/>
  <c r="W169" i="1" s="1"/>
  <c r="V169" i="1"/>
  <c r="Y169" i="1" s="1"/>
  <c r="AA169" i="1" l="1"/>
  <c r="R169" i="1"/>
  <c r="Z169" i="1"/>
  <c r="AB169" i="1"/>
  <c r="S169" i="1" l="1"/>
  <c r="P170" i="1"/>
  <c r="N170" i="1"/>
  <c r="O170" i="1" l="1"/>
  <c r="Q170" i="1"/>
  <c r="U170" i="1" l="1"/>
  <c r="X170" i="1" s="1"/>
  <c r="V170" i="1"/>
  <c r="Y170" i="1" s="1"/>
  <c r="T170" i="1"/>
  <c r="W170" i="1" s="1"/>
  <c r="AA170" i="1" l="1"/>
  <c r="AB170" i="1"/>
  <c r="R170" i="1"/>
  <c r="Z170" i="1"/>
  <c r="N171" i="1" l="1"/>
  <c r="P171" i="1"/>
  <c r="S170" i="1"/>
  <c r="Q171" i="1" l="1"/>
  <c r="O171" i="1"/>
  <c r="U171" i="1" l="1"/>
  <c r="X171" i="1" s="1"/>
  <c r="T171" i="1"/>
  <c r="W171" i="1" s="1"/>
  <c r="V171" i="1"/>
  <c r="Y171" i="1" s="1"/>
  <c r="AA171" i="1" l="1"/>
  <c r="R171" i="1"/>
  <c r="Z171" i="1"/>
  <c r="AB171" i="1"/>
  <c r="S171" i="1" l="1"/>
  <c r="P172" i="1"/>
  <c r="N172" i="1"/>
  <c r="O172" i="1" l="1"/>
  <c r="Q172" i="1"/>
  <c r="V172" i="1" l="1"/>
  <c r="Y172" i="1" s="1"/>
  <c r="U172" i="1"/>
  <c r="AA172" i="1" s="1"/>
  <c r="T172" i="1"/>
  <c r="W172" i="1" s="1"/>
  <c r="X172" i="1" l="1"/>
  <c r="R172" i="1" s="1"/>
  <c r="AB172" i="1"/>
  <c r="Z172" i="1"/>
  <c r="S172" i="1" l="1"/>
  <c r="O173" i="1" s="1"/>
  <c r="N173" i="1"/>
  <c r="P173" i="1"/>
  <c r="Q173" i="1" l="1"/>
  <c r="V173" i="1"/>
  <c r="Y173" i="1" s="1"/>
  <c r="T173" i="1"/>
  <c r="W173" i="1" s="1"/>
  <c r="U173" i="1"/>
  <c r="X173" i="1" s="1"/>
  <c r="AA173" i="1" l="1"/>
  <c r="R173" i="1"/>
  <c r="P174" i="1" s="1"/>
  <c r="N174" i="1"/>
  <c r="Z173" i="1"/>
  <c r="AB173" i="1"/>
  <c r="S173" i="1" l="1"/>
  <c r="Q174" i="1" l="1"/>
  <c r="O174" i="1"/>
  <c r="T174" i="1" l="1"/>
  <c r="W174" i="1" s="1"/>
  <c r="V174" i="1"/>
  <c r="Y174" i="1" s="1"/>
  <c r="U174" i="1"/>
  <c r="X174" i="1" s="1"/>
  <c r="AA174" i="1" l="1"/>
  <c r="Z174" i="1"/>
  <c r="R174" i="1"/>
  <c r="AB174" i="1"/>
  <c r="P175" i="1" l="1"/>
  <c r="N175" i="1"/>
  <c r="S174" i="1"/>
  <c r="O175" i="1" l="1"/>
  <c r="Q175" i="1"/>
  <c r="U175" i="1" l="1"/>
  <c r="AA175" i="1" s="1"/>
  <c r="T175" i="1"/>
  <c r="W175" i="1" s="1"/>
  <c r="V175" i="1"/>
  <c r="Y175" i="1" s="1"/>
  <c r="X175" i="1" l="1"/>
  <c r="R175" i="1"/>
  <c r="Z175" i="1"/>
  <c r="AB175" i="1"/>
  <c r="S175" i="1" l="1"/>
  <c r="N176" i="1"/>
  <c r="P176" i="1"/>
  <c r="Q176" i="1" l="1"/>
  <c r="O176" i="1"/>
  <c r="V176" i="1" l="1"/>
  <c r="Y176" i="1" s="1"/>
  <c r="U176" i="1"/>
  <c r="X176" i="1" s="1"/>
  <c r="T176" i="1"/>
  <c r="W176" i="1" s="1"/>
  <c r="AA176" i="1" l="1"/>
  <c r="R176" i="1"/>
  <c r="Z176" i="1"/>
  <c r="AB176" i="1"/>
  <c r="S176" i="1" l="1"/>
  <c r="P177" i="1"/>
  <c r="N177" i="1"/>
  <c r="O177" i="1" l="1"/>
  <c r="Q177" i="1"/>
  <c r="V177" i="1" l="1"/>
  <c r="Y177" i="1" s="1"/>
  <c r="U177" i="1"/>
  <c r="AA177" i="1" s="1"/>
  <c r="T177" i="1"/>
  <c r="W177" i="1" s="1"/>
  <c r="X177" i="1" l="1"/>
  <c r="R177" i="1" s="1"/>
  <c r="AB177" i="1"/>
  <c r="Z177" i="1"/>
  <c r="S177" i="1" l="1"/>
  <c r="Q178" i="1" s="1"/>
  <c r="N178" i="1"/>
  <c r="P178" i="1"/>
  <c r="O178" i="1" l="1"/>
  <c r="T178" i="1" l="1"/>
  <c r="W178" i="1" s="1"/>
  <c r="V178" i="1"/>
  <c r="Y178" i="1" s="1"/>
  <c r="U178" i="1"/>
  <c r="X178" i="1" s="1"/>
  <c r="Z178" i="1"/>
  <c r="AA178" i="1" l="1"/>
  <c r="R178" i="1"/>
  <c r="N179" i="1" s="1"/>
  <c r="AB178" i="1"/>
  <c r="S178" i="1" s="1"/>
  <c r="P179" i="1" l="1"/>
  <c r="Q179" i="1"/>
  <c r="O179" i="1"/>
  <c r="V179" i="1" l="1"/>
  <c r="Y179" i="1" s="1"/>
  <c r="T179" i="1"/>
  <c r="W179" i="1" s="1"/>
  <c r="U179" i="1"/>
  <c r="X179" i="1" s="1"/>
  <c r="AA179" i="1" l="1"/>
  <c r="R179" i="1"/>
  <c r="P180" i="1" s="1"/>
  <c r="Z179" i="1"/>
  <c r="AB179" i="1"/>
  <c r="N180" i="1" l="1"/>
  <c r="S179" i="1"/>
  <c r="O180" i="1" l="1"/>
  <c r="Q180" i="1"/>
  <c r="V180" i="1" l="1"/>
  <c r="Y180" i="1" s="1"/>
  <c r="U180" i="1"/>
  <c r="X180" i="1" s="1"/>
  <c r="T180" i="1"/>
  <c r="W180" i="1" s="1"/>
  <c r="AA180" i="1" l="1"/>
  <c r="R180" i="1"/>
  <c r="N181" i="1" s="1"/>
  <c r="AB180" i="1"/>
  <c r="Z180" i="1"/>
  <c r="P181" i="1" l="1"/>
  <c r="S180" i="1"/>
  <c r="Q181" i="1" s="1"/>
  <c r="O181" i="1" l="1"/>
  <c r="T181" i="1" l="1"/>
  <c r="W181" i="1" s="1"/>
  <c r="V181" i="1"/>
  <c r="Y181" i="1" s="1"/>
  <c r="U181" i="1"/>
  <c r="X181" i="1" s="1"/>
  <c r="AA181" i="1" l="1"/>
  <c r="Z181" i="1"/>
  <c r="AB181" i="1"/>
  <c r="R181" i="1"/>
  <c r="P182" i="1" s="1"/>
  <c r="S181" i="1"/>
  <c r="N182" i="1" l="1"/>
  <c r="O182" i="1"/>
  <c r="Q182" i="1"/>
  <c r="U182" i="1"/>
  <c r="V182" i="1" l="1"/>
  <c r="Y182" i="1" s="1"/>
  <c r="AA182" i="1"/>
  <c r="T182" i="1"/>
  <c r="W182" i="1" s="1"/>
  <c r="AB182" i="1"/>
  <c r="X182" i="1"/>
  <c r="Z182" i="1"/>
  <c r="R182" i="1" l="1"/>
  <c r="S182" i="1"/>
  <c r="P183" i="1"/>
  <c r="N183" i="1"/>
  <c r="Q183" i="1" l="1"/>
  <c r="O183" i="1"/>
  <c r="V183" i="1" l="1"/>
  <c r="AB183" i="1" s="1"/>
  <c r="T183" i="1"/>
  <c r="U183" i="1"/>
  <c r="AA183" i="1" s="1"/>
  <c r="Y183" i="1" l="1"/>
  <c r="X183" i="1"/>
  <c r="Z183" i="1"/>
  <c r="W183" i="1"/>
  <c r="R183" i="1" l="1"/>
  <c r="N184" i="1" s="1"/>
  <c r="S183" i="1"/>
  <c r="Q184" i="1" s="1"/>
  <c r="P184" i="1"/>
  <c r="O184" i="1" l="1"/>
  <c r="T184" i="1" l="1"/>
  <c r="W184" i="1" s="1"/>
  <c r="U184" i="1"/>
  <c r="AA184" i="1" s="1"/>
  <c r="V184" i="1"/>
  <c r="Y184" i="1" s="1"/>
  <c r="Z184" i="1"/>
  <c r="AB184" i="1" l="1"/>
  <c r="X184" i="1"/>
  <c r="R184" i="1" s="1"/>
  <c r="S184" i="1" l="1"/>
  <c r="Q185" i="1"/>
  <c r="O185" i="1"/>
  <c r="P185" i="1"/>
  <c r="N185" i="1"/>
  <c r="U185" i="1" s="1"/>
  <c r="X185" i="1" s="1"/>
  <c r="AA185" i="1" l="1"/>
  <c r="T185" i="1"/>
  <c r="W185" i="1" s="1"/>
  <c r="V185" i="1"/>
  <c r="Y185" i="1" s="1"/>
  <c r="AB185" i="1" l="1"/>
  <c r="Z185" i="1"/>
  <c r="R185" i="1"/>
  <c r="N186" i="1" s="1"/>
  <c r="P186" i="1"/>
  <c r="S185" i="1"/>
  <c r="Q186" i="1" s="1"/>
  <c r="O186" i="1" l="1"/>
  <c r="U186" i="1" l="1"/>
  <c r="X186" i="1" s="1"/>
  <c r="T186" i="1"/>
  <c r="W186" i="1" s="1"/>
  <c r="V186" i="1"/>
  <c r="Y186" i="1" s="1"/>
  <c r="AA186" i="1" l="1"/>
  <c r="R186" i="1"/>
  <c r="P187" i="1" s="1"/>
  <c r="AB186" i="1"/>
  <c r="Z186" i="1"/>
  <c r="S186" i="1" s="1"/>
  <c r="Q187" i="1" s="1"/>
  <c r="N187" i="1" l="1"/>
  <c r="O187" i="1"/>
  <c r="U187" i="1" l="1"/>
  <c r="X187" i="1" s="1"/>
  <c r="V187" i="1"/>
  <c r="AB187" i="1" s="1"/>
  <c r="T187" i="1"/>
  <c r="W187" i="1" s="1"/>
  <c r="AA187" i="1" l="1"/>
  <c r="S187" i="1" s="1"/>
  <c r="O188" i="1" s="1"/>
  <c r="Z187" i="1"/>
  <c r="Y187" i="1"/>
  <c r="R187" i="1" s="1"/>
  <c r="P188" i="1" l="1"/>
  <c r="N188" i="1"/>
  <c r="Q188" i="1"/>
  <c r="V188" i="1"/>
  <c r="Y188" i="1" s="1"/>
  <c r="U188" i="1"/>
  <c r="AA188" i="1" s="1"/>
  <c r="T188" i="1"/>
  <c r="AB188" i="1"/>
  <c r="X188" i="1" l="1"/>
  <c r="W188" i="1"/>
  <c r="R188" i="1" s="1"/>
  <c r="Z188" i="1"/>
  <c r="S188" i="1" s="1"/>
  <c r="Q189" i="1" s="1"/>
  <c r="O189" i="1" l="1"/>
  <c r="P189" i="1"/>
  <c r="N189" i="1"/>
  <c r="T189" i="1" s="1"/>
  <c r="W189" i="1" s="1"/>
  <c r="U189" i="1" l="1"/>
  <c r="X189" i="1" s="1"/>
  <c r="V189" i="1"/>
  <c r="Y189" i="1" s="1"/>
  <c r="R189" i="1" s="1"/>
  <c r="Z189" i="1"/>
  <c r="AA189" i="1" l="1"/>
  <c r="AB189" i="1"/>
  <c r="P190" i="1"/>
  <c r="N190" i="1"/>
  <c r="S189" i="1"/>
  <c r="Q190" i="1" s="1"/>
  <c r="O190" i="1" l="1"/>
  <c r="U190" i="1" s="1"/>
  <c r="X190" i="1" s="1"/>
  <c r="T190" i="1"/>
  <c r="W190" i="1" s="1"/>
  <c r="AA190" i="1" l="1"/>
  <c r="V190" i="1"/>
  <c r="Y190" i="1" s="1"/>
  <c r="R190" i="1" s="1"/>
  <c r="Z190" i="1"/>
  <c r="AB190" i="1"/>
  <c r="P191" i="1" l="1"/>
  <c r="N191" i="1"/>
  <c r="S190" i="1"/>
  <c r="Q191" i="1"/>
  <c r="O191" i="1"/>
  <c r="U191" i="1" l="1"/>
  <c r="X191" i="1" s="1"/>
  <c r="T191" i="1"/>
  <c r="W191" i="1" s="1"/>
  <c r="V191" i="1"/>
  <c r="Y191" i="1" s="1"/>
  <c r="AA191" i="1" l="1"/>
  <c r="Z191" i="1"/>
  <c r="R191" i="1"/>
  <c r="P192" i="1" s="1"/>
  <c r="AB191" i="1"/>
  <c r="S191" i="1"/>
  <c r="N192" i="1"/>
  <c r="O192" i="1" l="1"/>
  <c r="Q192" i="1"/>
  <c r="U192" i="1" l="1"/>
  <c r="X192" i="1" s="1"/>
  <c r="V192" i="1"/>
  <c r="AB192" i="1" s="1"/>
  <c r="T192" i="1"/>
  <c r="AA192" i="1" l="1"/>
  <c r="Y192" i="1"/>
  <c r="Z192" i="1"/>
  <c r="S192" i="1" s="1"/>
  <c r="W192" i="1"/>
  <c r="R192" i="1" s="1"/>
  <c r="Q193" i="1" l="1"/>
  <c r="O193" i="1"/>
  <c r="N193" i="1"/>
  <c r="P193" i="1"/>
  <c r="T193" i="1" l="1"/>
  <c r="Z193" i="1" s="1"/>
  <c r="V193" i="1"/>
  <c r="Y193" i="1" s="1"/>
  <c r="U193" i="1"/>
  <c r="X193" i="1" s="1"/>
  <c r="AB193" i="1"/>
  <c r="AA193" i="1" l="1"/>
  <c r="S193" i="1"/>
  <c r="W193" i="1"/>
  <c r="R193" i="1" s="1"/>
  <c r="O194" i="1" l="1"/>
  <c r="Q194" i="1"/>
  <c r="P194" i="1"/>
  <c r="N194" i="1"/>
  <c r="U194" i="1" l="1"/>
  <c r="AA194" i="1" s="1"/>
  <c r="T194" i="1"/>
  <c r="W194" i="1" s="1"/>
  <c r="V194" i="1"/>
  <c r="Y194" i="1" s="1"/>
  <c r="X194" i="1" l="1"/>
  <c r="R194" i="1"/>
  <c r="AB194" i="1"/>
  <c r="Z194" i="1"/>
  <c r="S194" i="1" l="1"/>
  <c r="O195" i="1"/>
  <c r="Q195" i="1"/>
  <c r="P195" i="1"/>
  <c r="N195" i="1"/>
  <c r="V195" i="1" l="1"/>
  <c r="Y195" i="1" s="1"/>
  <c r="T195" i="1"/>
  <c r="W195" i="1" s="1"/>
  <c r="U195" i="1"/>
  <c r="AA195" i="1" s="1"/>
  <c r="X195" i="1" l="1"/>
  <c r="R195" i="1" s="1"/>
  <c r="P196" i="1" s="1"/>
  <c r="AB195" i="1"/>
  <c r="N196" i="1"/>
  <c r="Z195" i="1"/>
  <c r="S195" i="1" l="1"/>
  <c r="Q196" i="1" s="1"/>
  <c r="O196" i="1"/>
  <c r="T196" i="1" l="1"/>
  <c r="Z196" i="1" s="1"/>
  <c r="U196" i="1"/>
  <c r="X196" i="1" s="1"/>
  <c r="W196" i="1"/>
  <c r="V196" i="1"/>
  <c r="Y196" i="1" s="1"/>
  <c r="AA196" i="1" l="1"/>
  <c r="AB196" i="1"/>
  <c r="S196" i="1" s="1"/>
  <c r="R196" i="1"/>
  <c r="P197" i="1" l="1"/>
  <c r="N197" i="1"/>
  <c r="O197" i="1"/>
  <c r="Q197" i="1"/>
  <c r="T197" i="1" l="1"/>
  <c r="W197" i="1" s="1"/>
  <c r="V197" i="1"/>
  <c r="Y197" i="1" s="1"/>
  <c r="U197" i="1"/>
  <c r="X197" i="1" s="1"/>
  <c r="AA197" i="1" l="1"/>
  <c r="R197" i="1"/>
  <c r="P198" i="1" s="1"/>
  <c r="N198" i="1"/>
  <c r="AB197" i="1"/>
  <c r="Z197" i="1"/>
  <c r="S197" i="1" l="1"/>
  <c r="Q198" i="1" s="1"/>
  <c r="O198" i="1" l="1"/>
  <c r="U198" i="1"/>
  <c r="X198" i="1" s="1"/>
  <c r="T198" i="1"/>
  <c r="W198" i="1" s="1"/>
  <c r="AA198" i="1" l="1"/>
  <c r="V198" i="1"/>
  <c r="Z198" i="1"/>
  <c r="Y198" i="1" l="1"/>
  <c r="R198" i="1" s="1"/>
  <c r="AB198" i="1"/>
  <c r="S198" i="1" s="1"/>
  <c r="Q199" i="1" l="1"/>
  <c r="O199" i="1"/>
  <c r="P199" i="1"/>
  <c r="N199" i="1"/>
  <c r="T199" i="1" s="1"/>
  <c r="W199" i="1" s="1"/>
  <c r="U199" i="1" l="1"/>
  <c r="X199" i="1" s="1"/>
  <c r="V199" i="1"/>
  <c r="AA199" i="1"/>
  <c r="Z199" i="1"/>
  <c r="Y199" i="1" l="1"/>
  <c r="R199" i="1" s="1"/>
  <c r="AB199" i="1"/>
  <c r="S199" i="1" s="1"/>
  <c r="Q200" i="1" l="1"/>
  <c r="O200" i="1"/>
  <c r="P200" i="1"/>
  <c r="N200" i="1"/>
  <c r="U200" i="1" s="1"/>
  <c r="X200" i="1" s="1"/>
  <c r="V200" i="1" l="1"/>
  <c r="T200" i="1"/>
  <c r="Z200" i="1" s="1"/>
  <c r="AA200" i="1"/>
  <c r="AB200" i="1"/>
  <c r="Y200" i="1"/>
  <c r="S200" i="1" l="1"/>
  <c r="W200" i="1"/>
  <c r="R200" i="1" s="1"/>
  <c r="P201" i="1" l="1"/>
  <c r="N201" i="1"/>
  <c r="Q201" i="1"/>
  <c r="O201" i="1"/>
  <c r="T201" i="1" l="1"/>
  <c r="U201" i="1"/>
  <c r="X201" i="1" s="1"/>
  <c r="V201" i="1"/>
  <c r="Y201" i="1" l="1"/>
  <c r="AB201" i="1"/>
  <c r="W201" i="1"/>
  <c r="R201" i="1" s="1"/>
  <c r="Z201" i="1"/>
  <c r="AA201" i="1"/>
  <c r="S201" i="1" l="1"/>
  <c r="N202" i="1"/>
  <c r="P202" i="1"/>
  <c r="O202" i="1" l="1"/>
  <c r="Q202" i="1"/>
  <c r="U202" i="1" l="1"/>
  <c r="X202" i="1" s="1"/>
  <c r="T202" i="1"/>
  <c r="V202" i="1"/>
  <c r="Y202" i="1" l="1"/>
  <c r="AB202" i="1"/>
  <c r="W202" i="1"/>
  <c r="R202" i="1" s="1"/>
  <c r="Z202" i="1"/>
  <c r="AA202" i="1"/>
  <c r="S202" i="1" l="1"/>
  <c r="N203" i="1"/>
  <c r="P203" i="1"/>
  <c r="Q203" i="1" l="1"/>
  <c r="O203" i="1"/>
  <c r="V203" i="1" l="1"/>
  <c r="Y203" i="1" s="1"/>
  <c r="U203" i="1"/>
  <c r="X203" i="1" s="1"/>
  <c r="T203" i="1"/>
  <c r="W203" i="1" l="1"/>
  <c r="R203" i="1" s="1"/>
  <c r="Z203" i="1"/>
  <c r="AA203" i="1"/>
  <c r="AB203" i="1"/>
  <c r="S203" i="1" l="1"/>
  <c r="P204" i="1"/>
  <c r="N204" i="1"/>
  <c r="O204" i="1" l="1"/>
  <c r="Q204" i="1"/>
  <c r="V204" i="1" l="1"/>
  <c r="U204" i="1"/>
  <c r="X204" i="1" s="1"/>
  <c r="T204" i="1"/>
  <c r="W204" i="1" l="1"/>
  <c r="Z204" i="1"/>
  <c r="Y204" i="1"/>
  <c r="R204" i="1" s="1"/>
  <c r="AB204" i="1"/>
  <c r="AA204" i="1"/>
  <c r="S204" i="1" l="1"/>
  <c r="N205" i="1"/>
  <c r="P205" i="1"/>
  <c r="Q205" i="1" l="1"/>
  <c r="O205" i="1"/>
  <c r="U205" i="1" l="1"/>
  <c r="X205" i="1" s="1"/>
  <c r="T205" i="1"/>
  <c r="W205" i="1" s="1"/>
  <c r="R205" i="1" s="1"/>
  <c r="V205" i="1"/>
  <c r="Y205" i="1" s="1"/>
  <c r="N206" i="1" l="1"/>
  <c r="P206" i="1"/>
  <c r="Z205" i="1"/>
  <c r="AB205" i="1"/>
  <c r="AA205" i="1"/>
  <c r="S205" i="1" l="1"/>
  <c r="Q206" i="1" l="1"/>
  <c r="O206" i="1"/>
  <c r="T206" i="1" l="1"/>
  <c r="V206" i="1"/>
  <c r="U206" i="1"/>
  <c r="X206" i="1" s="1"/>
  <c r="AB206" i="1" l="1"/>
  <c r="Y206" i="1"/>
  <c r="Z206" i="1"/>
  <c r="W206" i="1"/>
  <c r="AA206" i="1"/>
  <c r="R206" i="1" l="1"/>
  <c r="S206" i="1"/>
  <c r="O207" i="1" l="1"/>
  <c r="Q207" i="1"/>
  <c r="P207" i="1"/>
  <c r="N207" i="1"/>
  <c r="V207" i="1" l="1"/>
  <c r="U207" i="1"/>
  <c r="T207" i="1"/>
  <c r="W207" i="1"/>
  <c r="R207" i="1" s="1"/>
  <c r="N208" i="1" s="1"/>
  <c r="X207" i="1"/>
  <c r="Y207" i="1"/>
  <c r="P208" i="1"/>
  <c r="AA207" i="1"/>
  <c r="AB207" i="1"/>
  <c r="Z207" i="1"/>
  <c r="S207" i="1" s="1"/>
  <c r="O208" i="1" s="1"/>
  <c r="V208" i="1" l="1"/>
  <c r="T208" i="1"/>
  <c r="U208" i="1"/>
  <c r="X208" i="1"/>
  <c r="Y208" i="1"/>
  <c r="W208" i="1"/>
  <c r="AA208" i="1"/>
  <c r="Q208" i="1"/>
  <c r="AB208" i="1"/>
  <c r="Z208" i="1"/>
  <c r="S208" i="1" s="1"/>
  <c r="R208" i="1"/>
  <c r="N209" i="1" l="1"/>
  <c r="P209" i="1"/>
  <c r="Q209" i="1"/>
  <c r="O209" i="1"/>
  <c r="U209" i="1" l="1"/>
  <c r="AA209" i="1" s="1"/>
  <c r="T209" i="1"/>
  <c r="Z209" i="1" s="1"/>
  <c r="V209" i="1"/>
  <c r="Y209" i="1" s="1"/>
  <c r="W209" i="1" l="1"/>
  <c r="X209" i="1"/>
  <c r="R209" i="1" s="1"/>
  <c r="AB209" i="1"/>
  <c r="S209" i="1" s="1"/>
  <c r="Q210" i="1" l="1"/>
  <c r="O210" i="1"/>
  <c r="P210" i="1"/>
  <c r="N210" i="1"/>
  <c r="U210" i="1" l="1"/>
  <c r="AA210" i="1" s="1"/>
  <c r="V210" i="1"/>
  <c r="AB210" i="1" s="1"/>
  <c r="T210" i="1"/>
  <c r="Z210" i="1" s="1"/>
  <c r="X210" i="1"/>
  <c r="S210" i="1" l="1"/>
  <c r="O211" i="1" s="1"/>
  <c r="Y210" i="1"/>
  <c r="W210" i="1"/>
  <c r="Q211" i="1"/>
  <c r="R210" i="1" l="1"/>
  <c r="N211" i="1" s="1"/>
  <c r="P211" i="1" l="1"/>
  <c r="V211" i="1"/>
  <c r="AB211" i="1" s="1"/>
  <c r="U211" i="1"/>
  <c r="AA211" i="1" s="1"/>
  <c r="T211" i="1"/>
  <c r="Z211" i="1" s="1"/>
  <c r="X211" i="1"/>
  <c r="Y211" i="1"/>
  <c r="S211" i="1" l="1"/>
  <c r="O212" i="1"/>
  <c r="Q212" i="1"/>
  <c r="W211" i="1"/>
  <c r="R211" i="1" s="1"/>
  <c r="P212" i="1" l="1"/>
  <c r="N212" i="1"/>
  <c r="V212" i="1" l="1"/>
  <c r="T212" i="1"/>
  <c r="Z212" i="1" s="1"/>
  <c r="U212" i="1"/>
  <c r="AA212" i="1" s="1"/>
  <c r="W212" i="1" l="1"/>
  <c r="X212" i="1"/>
  <c r="Y212" i="1"/>
  <c r="AB212" i="1"/>
  <c r="S212" i="1" l="1"/>
  <c r="R212" i="1"/>
  <c r="P213" i="1" l="1"/>
  <c r="N213" i="1"/>
  <c r="O213" i="1"/>
  <c r="Q213" i="1"/>
  <c r="U213" i="1" l="1"/>
  <c r="AA213" i="1" s="1"/>
  <c r="T213" i="1"/>
  <c r="Z213" i="1" s="1"/>
  <c r="V213" i="1"/>
  <c r="Y213" i="1" s="1"/>
  <c r="W213" i="1" l="1"/>
  <c r="X213" i="1"/>
  <c r="AB213" i="1"/>
  <c r="S213" i="1" s="1"/>
  <c r="O214" i="1" l="1"/>
  <c r="Q214" i="1"/>
  <c r="R213" i="1"/>
  <c r="N214" i="1" l="1"/>
  <c r="P214" i="1"/>
  <c r="T214" i="1" l="1"/>
  <c r="V214" i="1"/>
  <c r="U214" i="1"/>
  <c r="AA214" i="1" s="1"/>
  <c r="Y214" i="1" l="1"/>
  <c r="AB214" i="1"/>
  <c r="X214" i="1"/>
  <c r="W214" i="1"/>
  <c r="R214" i="1" s="1"/>
  <c r="Z214" i="1"/>
  <c r="S214" i="1" s="1"/>
  <c r="P215" i="1" l="1"/>
  <c r="N215" i="1"/>
  <c r="Q215" i="1"/>
  <c r="O215" i="1"/>
  <c r="T215" i="1" l="1"/>
  <c r="W215" i="1" s="1"/>
  <c r="U215" i="1"/>
  <c r="X215" i="1" s="1"/>
  <c r="V215" i="1"/>
  <c r="Y215" i="1" s="1"/>
  <c r="AA215" i="1" l="1"/>
  <c r="AB215" i="1"/>
  <c r="Z215" i="1"/>
  <c r="R215" i="1"/>
  <c r="P216" i="1" l="1"/>
  <c r="N216" i="1"/>
  <c r="S215" i="1"/>
  <c r="Q216" i="1" l="1"/>
  <c r="O216" i="1"/>
  <c r="V216" i="1" l="1"/>
  <c r="Y216" i="1" s="1"/>
  <c r="T216" i="1"/>
  <c r="W216" i="1" s="1"/>
  <c r="U216" i="1"/>
  <c r="X216" i="1" s="1"/>
  <c r="AA216" i="1" l="1"/>
  <c r="AB216" i="1"/>
  <c r="Z216" i="1"/>
  <c r="S216" i="1" s="1"/>
  <c r="R216" i="1"/>
  <c r="O217" i="1" l="1"/>
  <c r="Q217" i="1"/>
  <c r="P217" i="1"/>
  <c r="N217" i="1"/>
  <c r="T217" i="1" l="1"/>
  <c r="W217" i="1" s="1"/>
  <c r="U217" i="1"/>
  <c r="X217" i="1" s="1"/>
  <c r="V217" i="1"/>
  <c r="Y217" i="1" s="1"/>
  <c r="Z217" i="1"/>
  <c r="AA217" i="1" l="1"/>
  <c r="AB217" i="1"/>
  <c r="S217" i="1"/>
  <c r="R217" i="1"/>
  <c r="N218" i="1" l="1"/>
  <c r="P218" i="1"/>
  <c r="Q218" i="1"/>
  <c r="O218" i="1"/>
  <c r="T218" i="1" l="1"/>
  <c r="W218" i="1" s="1"/>
  <c r="V218" i="1"/>
  <c r="Y218" i="1" s="1"/>
  <c r="U218" i="1"/>
  <c r="X218" i="1" s="1"/>
  <c r="AA218" i="1" l="1"/>
  <c r="R218" i="1"/>
  <c r="AB218" i="1"/>
  <c r="Z218" i="1"/>
  <c r="S218" i="1" l="1"/>
  <c r="Q219" i="1" s="1"/>
  <c r="P219" i="1"/>
  <c r="N219" i="1"/>
  <c r="O219" i="1" l="1"/>
  <c r="T219" i="1" l="1"/>
  <c r="W219" i="1" s="1"/>
  <c r="V219" i="1"/>
  <c r="Y219" i="1" s="1"/>
  <c r="U219" i="1"/>
  <c r="X219" i="1" s="1"/>
  <c r="Z219" i="1"/>
  <c r="R219" i="1" l="1"/>
  <c r="AA219" i="1"/>
  <c r="AB219" i="1"/>
  <c r="P220" i="1"/>
  <c r="N220" i="1"/>
  <c r="S219" i="1"/>
  <c r="Q220" i="1" l="1"/>
  <c r="O220" i="1"/>
  <c r="V220" i="1" l="1"/>
  <c r="Y220" i="1" s="1"/>
  <c r="T220" i="1"/>
  <c r="W220" i="1" s="1"/>
  <c r="U220" i="1"/>
  <c r="X220" i="1" s="1"/>
  <c r="AA220" i="1" l="1"/>
  <c r="R220" i="1"/>
  <c r="AB220" i="1"/>
  <c r="Z220" i="1"/>
  <c r="S220" i="1" l="1"/>
  <c r="Q221" i="1" s="1"/>
  <c r="O221" i="1"/>
  <c r="N221" i="1"/>
  <c r="P221" i="1"/>
  <c r="T221" i="1" l="1"/>
  <c r="W221" i="1" s="1"/>
  <c r="V221" i="1"/>
  <c r="Y221" i="1" s="1"/>
  <c r="U221" i="1"/>
  <c r="X221" i="1" s="1"/>
  <c r="AA221" i="1" l="1"/>
  <c r="R221" i="1"/>
  <c r="P222" i="1" s="1"/>
  <c r="AB221" i="1"/>
  <c r="Z221" i="1"/>
  <c r="N222" i="1" l="1"/>
  <c r="S221" i="1"/>
  <c r="O222" i="1" s="1"/>
  <c r="V222" i="1" l="1"/>
  <c r="Y222" i="1" s="1"/>
  <c r="T222" i="1"/>
  <c r="W222" i="1" s="1"/>
  <c r="U222" i="1"/>
  <c r="X222" i="1" s="1"/>
  <c r="Q222" i="1"/>
  <c r="Z222" i="1"/>
  <c r="AA222" i="1" l="1"/>
  <c r="R222" i="1"/>
  <c r="AB222" i="1"/>
  <c r="P223" i="1"/>
  <c r="N223" i="1"/>
  <c r="S222" i="1" l="1"/>
  <c r="Q223" i="1" s="1"/>
  <c r="O223" i="1" l="1"/>
  <c r="T223" i="1"/>
  <c r="W223" i="1" s="1"/>
  <c r="V223" i="1"/>
  <c r="Y223" i="1" s="1"/>
  <c r="U223" i="1" l="1"/>
  <c r="X223" i="1" s="1"/>
  <c r="R223" i="1" s="1"/>
  <c r="Z223" i="1"/>
  <c r="AB223" i="1"/>
  <c r="AA223" i="1" l="1"/>
  <c r="S223" i="1"/>
  <c r="O224" i="1" s="1"/>
  <c r="Q224" i="1"/>
  <c r="N224" i="1"/>
  <c r="P224" i="1"/>
  <c r="T224" i="1" l="1"/>
  <c r="U224" i="1"/>
  <c r="AA224" i="1" s="1"/>
  <c r="V224" i="1"/>
  <c r="Y224" i="1" s="1"/>
  <c r="W224" i="1"/>
  <c r="X224" i="1"/>
  <c r="Z224" i="1"/>
  <c r="AB224" i="1" l="1"/>
  <c r="S224" i="1" s="1"/>
  <c r="R224" i="1"/>
  <c r="N225" i="1" l="1"/>
  <c r="P225" i="1"/>
  <c r="O225" i="1"/>
  <c r="Q225" i="1"/>
  <c r="T225" i="1" l="1"/>
  <c r="Z225" i="1" s="1"/>
  <c r="V225" i="1"/>
  <c r="AB225" i="1" s="1"/>
  <c r="U225" i="1"/>
  <c r="AA225" i="1" s="1"/>
  <c r="X225" i="1" l="1"/>
  <c r="Y225" i="1"/>
  <c r="W225" i="1"/>
  <c r="S225" i="1"/>
  <c r="R225" i="1" l="1"/>
  <c r="P226" i="1" s="1"/>
  <c r="O226" i="1"/>
  <c r="Q226" i="1"/>
  <c r="N226" i="1" l="1"/>
  <c r="V226" i="1" s="1"/>
  <c r="Y226" i="1" s="1"/>
  <c r="U226" i="1" l="1"/>
  <c r="AA226" i="1" s="1"/>
  <c r="T226" i="1"/>
  <c r="Z226" i="1" s="1"/>
  <c r="AB226" i="1"/>
  <c r="X226" i="1" l="1"/>
  <c r="W226" i="1"/>
  <c r="R226" i="1" s="1"/>
  <c r="N227" i="1" s="1"/>
  <c r="S226" i="1"/>
  <c r="O227" i="1"/>
  <c r="Q227" i="1"/>
  <c r="P227" i="1" l="1"/>
  <c r="V227" i="1"/>
  <c r="Y227" i="1" s="1"/>
  <c r="U227" i="1"/>
  <c r="X227" i="1" s="1"/>
  <c r="T227" i="1"/>
  <c r="AA227" i="1" l="1"/>
  <c r="Z227" i="1"/>
  <c r="W227" i="1"/>
  <c r="R227" i="1" s="1"/>
  <c r="AB227" i="1"/>
  <c r="S227" i="1" l="1"/>
  <c r="Q228" i="1" s="1"/>
  <c r="O228" i="1"/>
  <c r="N228" i="1"/>
  <c r="P228" i="1"/>
  <c r="U228" i="1" l="1"/>
  <c r="X228" i="1" s="1"/>
  <c r="T228" i="1"/>
  <c r="W228" i="1" s="1"/>
  <c r="V228" i="1"/>
  <c r="Y228" i="1" s="1"/>
  <c r="AA228" i="1" l="1"/>
  <c r="Z228" i="1"/>
  <c r="AB228" i="1"/>
  <c r="R228" i="1"/>
  <c r="S228" i="1" l="1"/>
  <c r="N229" i="1"/>
  <c r="P229" i="1"/>
  <c r="O229" i="1"/>
  <c r="Q229" i="1"/>
  <c r="V229" i="1" l="1"/>
  <c r="Y229" i="1" s="1"/>
  <c r="T229" i="1"/>
  <c r="W229" i="1" s="1"/>
  <c r="U229" i="1"/>
  <c r="X229" i="1" s="1"/>
  <c r="AA229" i="1" l="1"/>
  <c r="R229" i="1"/>
  <c r="P230" i="1" s="1"/>
  <c r="AB229" i="1"/>
  <c r="Z229" i="1"/>
  <c r="N230" i="1" l="1"/>
  <c r="S229" i="1"/>
  <c r="O230" i="1" s="1"/>
  <c r="T230" i="1" l="1"/>
  <c r="V230" i="1"/>
  <c r="AB230" i="1" s="1"/>
  <c r="Q230" i="1"/>
  <c r="U230" i="1"/>
  <c r="AA230" i="1" s="1"/>
  <c r="Z230" i="1"/>
  <c r="W230" i="1"/>
  <c r="Y230" i="1"/>
  <c r="S230" i="1" l="1"/>
  <c r="Q231" i="1" s="1"/>
  <c r="X230" i="1"/>
  <c r="R230" i="1" s="1"/>
  <c r="O231" i="1"/>
  <c r="P231" i="1" l="1"/>
  <c r="N231" i="1"/>
  <c r="U231" i="1"/>
  <c r="AA231" i="1" s="1"/>
  <c r="T231" i="1"/>
  <c r="W231" i="1" s="1"/>
  <c r="V231" i="1"/>
  <c r="AB231" i="1" s="1"/>
  <c r="X231" i="1"/>
  <c r="Z231" i="1" l="1"/>
  <c r="S231" i="1" s="1"/>
  <c r="Y231" i="1"/>
  <c r="R231" i="1" s="1"/>
  <c r="Q232" i="1" l="1"/>
  <c r="O232" i="1"/>
  <c r="P232" i="1"/>
  <c r="N232" i="1"/>
  <c r="V232" i="1" l="1"/>
  <c r="U232" i="1"/>
  <c r="AA232" i="1" s="1"/>
  <c r="T232" i="1"/>
  <c r="X232" i="1" l="1"/>
  <c r="W232" i="1"/>
  <c r="Z232" i="1"/>
  <c r="Y232" i="1"/>
  <c r="AB232" i="1"/>
  <c r="S232" i="1" l="1"/>
  <c r="Q233" i="1" s="1"/>
  <c r="R232" i="1"/>
  <c r="O233" i="1" l="1"/>
  <c r="P233" i="1"/>
  <c r="N233" i="1"/>
  <c r="T233" i="1" s="1"/>
  <c r="W233" i="1" s="1"/>
  <c r="Z233" i="1" l="1"/>
  <c r="V233" i="1"/>
  <c r="U233" i="1"/>
  <c r="AA233" i="1" s="1"/>
  <c r="X233" i="1" l="1"/>
  <c r="Y233" i="1"/>
  <c r="AB233" i="1"/>
  <c r="S233" i="1" l="1"/>
  <c r="R233" i="1"/>
  <c r="P234" i="1" l="1"/>
  <c r="N234" i="1"/>
  <c r="Q234" i="1"/>
  <c r="O234" i="1"/>
  <c r="V234" i="1" l="1"/>
  <c r="Y234" i="1" s="1"/>
  <c r="U234" i="1"/>
  <c r="X234" i="1" s="1"/>
  <c r="T234" i="1"/>
  <c r="W234" i="1" s="1"/>
  <c r="AA234" i="1" l="1"/>
  <c r="R234" i="1"/>
  <c r="N235" i="1" s="1"/>
  <c r="AB234" i="1"/>
  <c r="Z234" i="1"/>
  <c r="P235" i="1" l="1"/>
  <c r="S234" i="1"/>
  <c r="Q235" i="1" l="1"/>
  <c r="O235" i="1"/>
  <c r="T235" i="1" l="1"/>
  <c r="W235" i="1" s="1"/>
  <c r="V235" i="1"/>
  <c r="Y235" i="1" s="1"/>
  <c r="U235" i="1"/>
  <c r="X235" i="1" s="1"/>
  <c r="AA235" i="1" l="1"/>
  <c r="Z235" i="1"/>
  <c r="R235" i="1"/>
  <c r="P236" i="1" s="1"/>
  <c r="AB235" i="1"/>
  <c r="N236" i="1"/>
  <c r="S235" i="1"/>
  <c r="O236" i="1" l="1"/>
  <c r="Q236" i="1"/>
  <c r="V236" i="1"/>
  <c r="Y236" i="1" s="1"/>
  <c r="U236" i="1"/>
  <c r="X236" i="1" s="1"/>
  <c r="T236" i="1"/>
  <c r="W236" i="1" s="1"/>
  <c r="AA236" i="1" l="1"/>
  <c r="R236" i="1"/>
  <c r="P237" i="1" s="1"/>
  <c r="Z236" i="1"/>
  <c r="AB236" i="1"/>
  <c r="N237" i="1" l="1"/>
  <c r="S236" i="1"/>
  <c r="O237" i="1" l="1"/>
  <c r="Q237" i="1"/>
  <c r="U237" i="1" l="1"/>
  <c r="X237" i="1" s="1"/>
  <c r="V237" i="1"/>
  <c r="Y237" i="1" s="1"/>
  <c r="T237" i="1"/>
  <c r="W237" i="1" s="1"/>
  <c r="AA237" i="1" l="1"/>
  <c r="Z237" i="1"/>
  <c r="R237" i="1"/>
  <c r="AB237" i="1"/>
  <c r="P238" i="1" l="1"/>
  <c r="N238" i="1"/>
  <c r="S237" i="1"/>
  <c r="Q238" i="1" l="1"/>
  <c r="O238" i="1"/>
  <c r="U238" i="1" l="1"/>
  <c r="AA238" i="1" s="1"/>
  <c r="V238" i="1"/>
  <c r="Y238" i="1" s="1"/>
  <c r="T238" i="1"/>
  <c r="W238" i="1" s="1"/>
  <c r="X238" i="1" l="1"/>
  <c r="Z238" i="1"/>
  <c r="AB238" i="1"/>
  <c r="R238" i="1"/>
  <c r="N239" i="1" l="1"/>
  <c r="P239" i="1"/>
  <c r="S238" i="1"/>
  <c r="O239" i="1" l="1"/>
  <c r="Q239" i="1"/>
  <c r="U239" i="1" l="1"/>
  <c r="X239" i="1" s="1"/>
  <c r="V239" i="1"/>
  <c r="Y239" i="1" s="1"/>
  <c r="T239" i="1"/>
  <c r="W239" i="1" s="1"/>
  <c r="R239" i="1" s="1"/>
  <c r="AB239" i="1"/>
  <c r="AA239" i="1" l="1"/>
  <c r="P240" i="1"/>
  <c r="N240" i="1"/>
  <c r="Z239" i="1"/>
  <c r="S239" i="1" s="1"/>
  <c r="Q240" i="1" l="1"/>
  <c r="O240" i="1"/>
  <c r="V240" i="1" l="1"/>
  <c r="Y240" i="1" s="1"/>
  <c r="T240" i="1"/>
  <c r="W240" i="1" s="1"/>
  <c r="U240" i="1"/>
  <c r="AA240" i="1" s="1"/>
  <c r="X240" i="1" l="1"/>
  <c r="R240" i="1" s="1"/>
  <c r="AB240" i="1"/>
  <c r="Z240" i="1"/>
  <c r="S240" i="1" l="1"/>
  <c r="P241" i="1"/>
  <c r="N241" i="1"/>
  <c r="Q241" i="1"/>
  <c r="O241" i="1"/>
  <c r="U241" i="1" l="1"/>
  <c r="X241" i="1" s="1"/>
  <c r="V241" i="1"/>
  <c r="Y241" i="1" s="1"/>
  <c r="T241" i="1"/>
  <c r="W241" i="1" s="1"/>
  <c r="AB241" i="1"/>
  <c r="AA241" i="1" l="1"/>
  <c r="R241" i="1"/>
  <c r="N242" i="1" s="1"/>
  <c r="Z241" i="1"/>
  <c r="S241" i="1" s="1"/>
  <c r="P242" i="1" l="1"/>
  <c r="O242" i="1"/>
  <c r="Q242" i="1"/>
  <c r="V242" i="1" l="1"/>
  <c r="Y242" i="1" s="1"/>
  <c r="U242" i="1"/>
  <c r="X242" i="1" s="1"/>
  <c r="T242" i="1"/>
  <c r="W242" i="1" s="1"/>
  <c r="AA242" i="1" l="1"/>
  <c r="R242" i="1"/>
  <c r="Z242" i="1"/>
  <c r="AB242" i="1"/>
  <c r="S242" i="1" l="1"/>
  <c r="Q243" i="1" s="1"/>
  <c r="O243" i="1"/>
  <c r="P243" i="1"/>
  <c r="N243" i="1"/>
  <c r="T243" i="1" l="1"/>
  <c r="W243" i="1" s="1"/>
  <c r="U243" i="1"/>
  <c r="X243" i="1" s="1"/>
  <c r="V243" i="1"/>
  <c r="Y243" i="1" s="1"/>
  <c r="Z243" i="1"/>
  <c r="AA243" i="1" l="1"/>
  <c r="AB243" i="1"/>
  <c r="S243" i="1" s="1"/>
  <c r="R243" i="1"/>
  <c r="O244" i="1" l="1"/>
  <c r="Q244" i="1"/>
  <c r="P244" i="1"/>
  <c r="N244" i="1"/>
  <c r="U244" i="1" l="1"/>
  <c r="X244" i="1" s="1"/>
  <c r="V244" i="1"/>
  <c r="Y244" i="1" s="1"/>
  <c r="T244" i="1"/>
  <c r="W244" i="1" s="1"/>
  <c r="AA244" i="1" l="1"/>
  <c r="AB244" i="1"/>
  <c r="Z244" i="1"/>
  <c r="S244" i="1" s="1"/>
  <c r="R244" i="1"/>
  <c r="P245" i="1" s="1"/>
  <c r="N245" i="1" l="1"/>
  <c r="Q245" i="1"/>
  <c r="O245" i="1"/>
  <c r="V245" i="1" l="1"/>
  <c r="Y245" i="1" s="1"/>
  <c r="U245" i="1"/>
  <c r="X245" i="1" s="1"/>
  <c r="T245" i="1"/>
  <c r="W245" i="1" s="1"/>
  <c r="R245" i="1" s="1"/>
  <c r="AA245" i="1" l="1"/>
  <c r="AB245" i="1"/>
  <c r="P246" i="1"/>
  <c r="N246" i="1"/>
  <c r="Z245" i="1"/>
  <c r="S245" i="1" l="1"/>
  <c r="O246" i="1" l="1"/>
  <c r="Q246" i="1"/>
  <c r="T246" i="1" l="1"/>
  <c r="W246" i="1" s="1"/>
  <c r="U246" i="1"/>
  <c r="X246" i="1" s="1"/>
  <c r="V246" i="1"/>
  <c r="Y246" i="1" s="1"/>
  <c r="AA246" i="1" l="1"/>
  <c r="R246" i="1"/>
  <c r="AB246" i="1"/>
  <c r="Z246" i="1"/>
  <c r="S246" i="1" l="1"/>
  <c r="N247" i="1"/>
  <c r="P247" i="1"/>
  <c r="Q247" i="1" l="1"/>
  <c r="O247" i="1"/>
  <c r="U247" i="1" l="1"/>
  <c r="X247" i="1" s="1"/>
  <c r="V247" i="1"/>
  <c r="Y247" i="1" s="1"/>
  <c r="T247" i="1"/>
  <c r="W247" i="1" s="1"/>
  <c r="AA247" i="1" l="1"/>
  <c r="R247" i="1"/>
  <c r="P248" i="1" s="1"/>
  <c r="N248" i="1"/>
  <c r="Z247" i="1"/>
  <c r="AB247" i="1"/>
  <c r="S247" i="1" l="1"/>
  <c r="O248" i="1" l="1"/>
  <c r="Q248" i="1"/>
  <c r="U248" i="1" l="1"/>
  <c r="X248" i="1" s="1"/>
  <c r="V248" i="1"/>
  <c r="Y248" i="1" s="1"/>
  <c r="T248" i="1"/>
  <c r="W248" i="1" s="1"/>
  <c r="AA248" i="1" l="1"/>
  <c r="R248" i="1"/>
  <c r="N249" i="1"/>
  <c r="P249" i="1"/>
  <c r="AB248" i="1"/>
  <c r="Z248" i="1"/>
  <c r="S248" i="1" l="1"/>
  <c r="Q249" i="1" l="1"/>
  <c r="O249" i="1"/>
  <c r="U249" i="1" l="1"/>
  <c r="X249" i="1" s="1"/>
  <c r="V249" i="1"/>
  <c r="Y249" i="1" s="1"/>
  <c r="T249" i="1"/>
  <c r="W249" i="1" s="1"/>
  <c r="AA249" i="1" l="1"/>
  <c r="Z249" i="1"/>
  <c r="R249" i="1"/>
  <c r="AB249" i="1"/>
  <c r="P250" i="1" l="1"/>
  <c r="N250" i="1"/>
  <c r="S249" i="1"/>
  <c r="O250" i="1" l="1"/>
  <c r="Q250" i="1"/>
  <c r="T250" i="1"/>
  <c r="W250" i="1" s="1"/>
  <c r="U250" i="1"/>
  <c r="X250" i="1" s="1"/>
  <c r="V250" i="1"/>
  <c r="Y250" i="1" s="1"/>
  <c r="AA250" i="1" l="1"/>
  <c r="R250" i="1"/>
  <c r="P251" i="1" s="1"/>
  <c r="Z250" i="1"/>
  <c r="AB250" i="1"/>
  <c r="N251" i="1" l="1"/>
  <c r="S250" i="1"/>
  <c r="Q251" i="1" l="1"/>
  <c r="O251" i="1"/>
  <c r="T251" i="1" l="1"/>
  <c r="W251" i="1" s="1"/>
  <c r="V251" i="1"/>
  <c r="Y251" i="1" s="1"/>
  <c r="U251" i="1"/>
  <c r="AA251" i="1" s="1"/>
  <c r="X251" i="1" l="1"/>
  <c r="R251" i="1" s="1"/>
  <c r="Z251" i="1"/>
  <c r="AB251" i="1"/>
  <c r="N252" i="1" l="1"/>
  <c r="P252" i="1"/>
  <c r="S251" i="1"/>
  <c r="Q252" i="1" l="1"/>
  <c r="O252" i="1"/>
  <c r="V252" i="1" l="1"/>
  <c r="Y252" i="1" s="1"/>
  <c r="T252" i="1"/>
  <c r="W252" i="1" s="1"/>
  <c r="U252" i="1"/>
  <c r="X252" i="1" s="1"/>
  <c r="R252" i="1" s="1"/>
  <c r="AB252" i="1"/>
  <c r="Z252" i="1"/>
  <c r="AA252" i="1" l="1"/>
  <c r="P253" i="1"/>
  <c r="N253" i="1"/>
  <c r="S252" i="1"/>
  <c r="Q253" i="1" l="1"/>
  <c r="O253" i="1"/>
  <c r="U253" i="1" l="1"/>
  <c r="X253" i="1" s="1"/>
  <c r="T253" i="1"/>
  <c r="W253" i="1" s="1"/>
  <c r="V253" i="1"/>
  <c r="Y253" i="1" s="1"/>
  <c r="AA253" i="1" l="1"/>
  <c r="R253" i="1"/>
  <c r="P254" i="1" s="1"/>
  <c r="AB253" i="1"/>
  <c r="Z253" i="1"/>
  <c r="S253" i="1" s="1"/>
  <c r="N254" i="1" l="1"/>
  <c r="Q254" i="1"/>
  <c r="O254" i="1"/>
  <c r="U254" i="1" l="1"/>
  <c r="X254" i="1" s="1"/>
  <c r="T254" i="1"/>
  <c r="W254" i="1" s="1"/>
  <c r="V254" i="1"/>
  <c r="Y254" i="1" s="1"/>
  <c r="AA254" i="1" l="1"/>
  <c r="R254" i="1"/>
  <c r="Z254" i="1"/>
  <c r="AB254" i="1"/>
  <c r="S254" i="1" l="1"/>
  <c r="N255" i="1"/>
  <c r="P255" i="1"/>
  <c r="O255" i="1" l="1"/>
  <c r="Q255" i="1"/>
  <c r="U255" i="1" l="1"/>
  <c r="X255" i="1" s="1"/>
  <c r="T255" i="1"/>
  <c r="V255" i="1"/>
  <c r="Y255" i="1" s="1"/>
  <c r="AA255" i="1" l="1"/>
  <c r="Z255" i="1"/>
  <c r="W255" i="1"/>
  <c r="R255" i="1" s="1"/>
  <c r="AB255" i="1"/>
  <c r="P256" i="1" l="1"/>
  <c r="N256" i="1"/>
  <c r="S255" i="1"/>
  <c r="Q256" i="1" l="1"/>
  <c r="O256" i="1"/>
  <c r="V256" i="1" l="1"/>
  <c r="Y256" i="1" s="1"/>
  <c r="T256" i="1"/>
  <c r="W256" i="1" s="1"/>
  <c r="U256" i="1"/>
  <c r="X256" i="1" s="1"/>
  <c r="AA256" i="1" l="1"/>
  <c r="R256" i="1"/>
  <c r="P257" i="1" s="1"/>
  <c r="N257" i="1"/>
  <c r="AB256" i="1"/>
  <c r="Z256" i="1"/>
  <c r="S256" i="1" l="1"/>
  <c r="O257" i="1" s="1"/>
  <c r="Q257" i="1"/>
  <c r="V257" i="1" l="1"/>
  <c r="Y257" i="1" s="1"/>
  <c r="T257" i="1"/>
  <c r="W257" i="1" s="1"/>
  <c r="U257" i="1"/>
  <c r="X257" i="1" s="1"/>
  <c r="Z257" i="1"/>
  <c r="AB257" i="1"/>
  <c r="R257" i="1" l="1"/>
  <c r="P258" i="1" s="1"/>
  <c r="AA257" i="1"/>
  <c r="N258" i="1"/>
  <c r="S257" i="1"/>
  <c r="Q258" i="1" l="1"/>
  <c r="O258" i="1"/>
  <c r="T258" i="1" l="1"/>
  <c r="W258" i="1" s="1"/>
  <c r="U258" i="1"/>
  <c r="X258" i="1" s="1"/>
  <c r="V258" i="1"/>
  <c r="Y258" i="1" s="1"/>
  <c r="AA258" i="1" l="1"/>
  <c r="R258" i="1"/>
  <c r="P259" i="1" s="1"/>
  <c r="Z258" i="1"/>
  <c r="AB258" i="1"/>
  <c r="N259" i="1" l="1"/>
  <c r="S258" i="1"/>
  <c r="O259" i="1" l="1"/>
  <c r="Q259" i="1"/>
  <c r="V259" i="1" l="1"/>
  <c r="Y259" i="1" s="1"/>
  <c r="U259" i="1"/>
  <c r="X259" i="1" s="1"/>
  <c r="T259" i="1"/>
  <c r="W259" i="1" s="1"/>
  <c r="AA259" i="1" l="1"/>
  <c r="R259" i="1"/>
  <c r="N260" i="1" s="1"/>
  <c r="AB259" i="1"/>
  <c r="Z259" i="1"/>
  <c r="P260" i="1" l="1"/>
  <c r="S259" i="1"/>
  <c r="Q260" i="1" s="1"/>
  <c r="O260" i="1" l="1"/>
  <c r="U260" i="1" l="1"/>
  <c r="AA260" i="1" s="1"/>
  <c r="V260" i="1"/>
  <c r="T260" i="1"/>
  <c r="W260" i="1" s="1"/>
  <c r="X260" i="1"/>
  <c r="AB260" i="1"/>
  <c r="Y260" i="1"/>
  <c r="R260" i="1" l="1"/>
  <c r="Z260" i="1"/>
  <c r="S260" i="1" s="1"/>
  <c r="P261" i="1"/>
  <c r="N261" i="1"/>
  <c r="O261" i="1"/>
  <c r="Q261" i="1"/>
  <c r="T261" i="1" l="1"/>
  <c r="Z261" i="1" s="1"/>
  <c r="V261" i="1"/>
  <c r="Y261" i="1" s="1"/>
  <c r="U261" i="1"/>
  <c r="X261" i="1" s="1"/>
  <c r="W261" i="1"/>
  <c r="AA261" i="1" l="1"/>
  <c r="R261" i="1"/>
  <c r="N262" i="1" s="1"/>
  <c r="AB261" i="1"/>
  <c r="S261" i="1"/>
  <c r="P262" i="1" l="1"/>
  <c r="O262" i="1"/>
  <c r="Q262" i="1"/>
  <c r="T262" i="1" l="1"/>
  <c r="W262" i="1" s="1"/>
  <c r="U262" i="1"/>
  <c r="X262" i="1" s="1"/>
  <c r="V262" i="1"/>
  <c r="Y262" i="1" s="1"/>
  <c r="AA262" i="1" l="1"/>
  <c r="R262" i="1"/>
  <c r="N263" i="1" s="1"/>
  <c r="AB262" i="1"/>
  <c r="Z262" i="1"/>
  <c r="P263" i="1" l="1"/>
  <c r="S262" i="1"/>
  <c r="Q263" i="1" l="1"/>
  <c r="O263" i="1"/>
  <c r="T263" i="1" l="1"/>
  <c r="W263" i="1" s="1"/>
  <c r="U263" i="1"/>
  <c r="X263" i="1" s="1"/>
  <c r="V263" i="1"/>
  <c r="Y263" i="1" s="1"/>
  <c r="AA263" i="1" l="1"/>
  <c r="Z263" i="1"/>
  <c r="R263" i="1"/>
  <c r="N264" i="1" s="1"/>
  <c r="AB263" i="1"/>
  <c r="S263" i="1" s="1"/>
  <c r="P264" i="1" l="1"/>
  <c r="O264" i="1"/>
  <c r="Q264" i="1"/>
  <c r="U264" i="1" l="1"/>
  <c r="X264" i="1" s="1"/>
  <c r="T264" i="1"/>
  <c r="W264" i="1" s="1"/>
  <c r="V264" i="1"/>
  <c r="Y264" i="1" s="1"/>
  <c r="AB264" i="1" l="1"/>
  <c r="AA264" i="1"/>
  <c r="R264" i="1"/>
  <c r="P265" i="1" s="1"/>
  <c r="Z264" i="1"/>
  <c r="S264" i="1" s="1"/>
  <c r="O265" i="1" s="1"/>
  <c r="N265" i="1" l="1"/>
  <c r="U265" i="1" s="1"/>
  <c r="AA265" i="1" s="1"/>
  <c r="Q265" i="1"/>
  <c r="V265" i="1" l="1"/>
  <c r="Y265" i="1" s="1"/>
  <c r="X265" i="1"/>
  <c r="AB265" i="1"/>
  <c r="T265" i="1"/>
  <c r="W265" i="1" l="1"/>
  <c r="R265" i="1" s="1"/>
  <c r="Z265" i="1"/>
  <c r="S265" i="1" s="1"/>
  <c r="O266" i="1" s="1"/>
  <c r="Q266" i="1" l="1"/>
  <c r="P266" i="1"/>
  <c r="N266" i="1"/>
  <c r="U266" i="1" s="1"/>
  <c r="AA266" i="1" s="1"/>
  <c r="X266" i="1" l="1"/>
  <c r="T266" i="1"/>
  <c r="W266" i="1" s="1"/>
  <c r="R266" i="1" s="1"/>
  <c r="N267" i="1" s="1"/>
  <c r="V266" i="1"/>
  <c r="Y266" i="1" s="1"/>
  <c r="Z266" i="1" l="1"/>
  <c r="AB266" i="1"/>
  <c r="S266" i="1" s="1"/>
  <c r="P267" i="1"/>
  <c r="O267" i="1" l="1"/>
  <c r="Q267" i="1"/>
  <c r="T267" i="1"/>
  <c r="W267" i="1" s="1"/>
  <c r="V267" i="1"/>
  <c r="Y267" i="1" s="1"/>
  <c r="U267" i="1"/>
  <c r="X267" i="1" s="1"/>
  <c r="R267" i="1" s="1"/>
  <c r="Z267" i="1"/>
  <c r="AB267" i="1"/>
  <c r="AA267" i="1" l="1"/>
  <c r="P268" i="1"/>
  <c r="N268" i="1"/>
  <c r="S267" i="1"/>
  <c r="Q268" i="1" l="1"/>
  <c r="O268" i="1"/>
  <c r="T268" i="1" l="1"/>
  <c r="V268" i="1"/>
  <c r="U268" i="1"/>
  <c r="AA268" i="1" s="1"/>
  <c r="AB268" i="1" l="1"/>
  <c r="Y268" i="1"/>
  <c r="X268" i="1"/>
  <c r="Z268" i="1"/>
  <c r="S268" i="1" s="1"/>
  <c r="W268" i="1"/>
  <c r="R268" i="1" l="1"/>
  <c r="O269" i="1"/>
  <c r="Q269" i="1"/>
  <c r="P269" i="1"/>
  <c r="N269" i="1"/>
  <c r="T269" i="1" l="1"/>
  <c r="Z269" i="1" s="1"/>
  <c r="U269" i="1"/>
  <c r="X269" i="1" s="1"/>
  <c r="V269" i="1"/>
  <c r="Y269" i="1" s="1"/>
  <c r="AA269" i="1" l="1"/>
  <c r="W269" i="1"/>
  <c r="AB269" i="1"/>
  <c r="S269" i="1" s="1"/>
  <c r="R269" i="1"/>
  <c r="Q270" i="1" l="1"/>
  <c r="O270" i="1"/>
  <c r="P270" i="1"/>
  <c r="N270" i="1"/>
  <c r="T270" i="1" l="1"/>
  <c r="V270" i="1"/>
  <c r="U270" i="1"/>
  <c r="AA270" i="1" s="1"/>
  <c r="Y270" i="1" l="1"/>
  <c r="AB270" i="1"/>
  <c r="X270" i="1"/>
  <c r="W270" i="1"/>
  <c r="Z270" i="1"/>
  <c r="S270" i="1" s="1"/>
  <c r="R270" i="1" l="1"/>
  <c r="N271" i="1" s="1"/>
  <c r="Q271" i="1"/>
  <c r="O271" i="1"/>
  <c r="P271" i="1" l="1"/>
  <c r="U271" i="1"/>
  <c r="AA271" i="1" s="1"/>
  <c r="V271" i="1"/>
  <c r="Y271" i="1" s="1"/>
  <c r="T271" i="1"/>
  <c r="W271" i="1" s="1"/>
  <c r="X271" i="1" l="1"/>
  <c r="R271" i="1" s="1"/>
  <c r="AB271" i="1"/>
  <c r="Z271" i="1"/>
  <c r="S271" i="1" l="1"/>
  <c r="O272" i="1"/>
  <c r="Q272" i="1"/>
  <c r="P272" i="1"/>
  <c r="N272" i="1"/>
  <c r="T272" i="1" l="1"/>
  <c r="W272" i="1" s="1"/>
  <c r="V272" i="1"/>
  <c r="Y272" i="1" s="1"/>
  <c r="U272" i="1"/>
  <c r="X272" i="1" s="1"/>
  <c r="Z272" i="1"/>
  <c r="AA272" i="1" l="1"/>
  <c r="AB272" i="1"/>
  <c r="S272" i="1"/>
  <c r="R272" i="1"/>
  <c r="O273" i="1" l="1"/>
  <c r="Q273" i="1"/>
  <c r="N273" i="1"/>
  <c r="P273" i="1"/>
  <c r="T273" i="1" l="1"/>
  <c r="W273" i="1" s="1"/>
  <c r="V273" i="1"/>
  <c r="Y273" i="1" s="1"/>
  <c r="U273" i="1"/>
  <c r="X273" i="1" s="1"/>
  <c r="Z273" i="1"/>
  <c r="AA273" i="1" l="1"/>
  <c r="AB273" i="1"/>
  <c r="S273" i="1"/>
  <c r="Q274" i="1" s="1"/>
  <c r="R273" i="1"/>
  <c r="O274" i="1" l="1"/>
  <c r="N274" i="1"/>
  <c r="P274" i="1"/>
  <c r="V274" i="1" l="1"/>
  <c r="U274" i="1"/>
  <c r="AA274" i="1" s="1"/>
  <c r="T274" i="1"/>
  <c r="X274" i="1" l="1"/>
  <c r="W274" i="1"/>
  <c r="Z274" i="1"/>
  <c r="Y274" i="1"/>
  <c r="AB274" i="1"/>
  <c r="S274" i="1" l="1"/>
  <c r="Q275" i="1" s="1"/>
  <c r="O275" i="1"/>
  <c r="R274" i="1"/>
  <c r="P275" i="1" l="1"/>
  <c r="N275" i="1"/>
  <c r="T275" i="1" s="1"/>
  <c r="W275" i="1" s="1"/>
  <c r="Z275" i="1" l="1"/>
  <c r="V275" i="1"/>
  <c r="U275" i="1"/>
  <c r="AA275" i="1" s="1"/>
  <c r="Y275" i="1" l="1"/>
  <c r="AB275" i="1"/>
  <c r="S275" i="1" s="1"/>
  <c r="X275" i="1"/>
  <c r="Q276" i="1" l="1"/>
  <c r="O276" i="1"/>
  <c r="R275" i="1"/>
  <c r="P276" i="1" l="1"/>
  <c r="N276" i="1"/>
  <c r="T276" i="1" s="1"/>
  <c r="W276" i="1" l="1"/>
  <c r="Z276" i="1"/>
  <c r="U276" i="1"/>
  <c r="AA276" i="1" s="1"/>
  <c r="V276" i="1"/>
  <c r="Y276" i="1" l="1"/>
  <c r="AB276" i="1"/>
  <c r="S276" i="1" s="1"/>
  <c r="X276" i="1"/>
  <c r="R276" i="1" l="1"/>
  <c r="Q277" i="1"/>
  <c r="O277" i="1"/>
  <c r="N277" i="1"/>
  <c r="P277" i="1"/>
  <c r="V277" i="1" l="1"/>
  <c r="Y277" i="1" s="1"/>
  <c r="T277" i="1"/>
  <c r="W277" i="1" s="1"/>
  <c r="U277" i="1"/>
  <c r="X277" i="1" s="1"/>
  <c r="AA277" i="1" l="1"/>
  <c r="AB277" i="1"/>
  <c r="Z277" i="1"/>
  <c r="R277" i="1"/>
  <c r="S277" i="1" l="1"/>
  <c r="O278" i="1"/>
  <c r="Q278" i="1"/>
  <c r="N278" i="1"/>
  <c r="P278" i="1"/>
  <c r="U278" i="1" l="1"/>
  <c r="X278" i="1" s="1"/>
  <c r="T278" i="1"/>
  <c r="W278" i="1" s="1"/>
  <c r="V278" i="1"/>
  <c r="AB278" i="1" s="1"/>
  <c r="Z278" i="1"/>
  <c r="AA278" i="1" l="1"/>
  <c r="Y278" i="1"/>
  <c r="R278" i="1" s="1"/>
  <c r="S278" i="1"/>
  <c r="P279" i="1" l="1"/>
  <c r="N279" i="1"/>
  <c r="O279" i="1"/>
  <c r="Q279" i="1"/>
  <c r="U279" i="1" l="1"/>
  <c r="X279" i="1" s="1"/>
  <c r="T279" i="1"/>
  <c r="V279" i="1"/>
  <c r="AA279" i="1" l="1"/>
  <c r="AB279" i="1"/>
  <c r="Y279" i="1"/>
  <c r="Z279" i="1"/>
  <c r="W279" i="1"/>
  <c r="R279" i="1" s="1"/>
  <c r="S279" i="1"/>
  <c r="Q280" i="1" l="1"/>
  <c r="O280" i="1"/>
  <c r="P280" i="1"/>
  <c r="N280" i="1"/>
  <c r="T280" i="1" l="1"/>
  <c r="W280" i="1" s="1"/>
  <c r="V280" i="1"/>
  <c r="AB280" i="1" s="1"/>
  <c r="U280" i="1"/>
  <c r="X280" i="1" s="1"/>
  <c r="Z280" i="1"/>
  <c r="AA280" i="1" l="1"/>
  <c r="S280" i="1"/>
  <c r="Y280" i="1"/>
  <c r="R280" i="1" s="1"/>
  <c r="O281" i="1" l="1"/>
  <c r="Q281" i="1"/>
  <c r="P281" i="1"/>
  <c r="N281" i="1"/>
  <c r="T281" i="1" l="1"/>
  <c r="Z281" i="1" s="1"/>
  <c r="U281" i="1"/>
  <c r="AA281" i="1" s="1"/>
  <c r="V281" i="1"/>
  <c r="Y281" i="1" s="1"/>
  <c r="W281" i="1"/>
  <c r="AB281" i="1" l="1"/>
  <c r="S281" i="1" s="1"/>
  <c r="Q282" i="1" s="1"/>
  <c r="X281" i="1"/>
  <c r="R281" i="1" s="1"/>
  <c r="O282" i="1" l="1"/>
  <c r="P282" i="1"/>
  <c r="N282" i="1"/>
  <c r="U282" i="1" l="1"/>
  <c r="AA282" i="1" s="1"/>
  <c r="T282" i="1"/>
  <c r="V282" i="1"/>
  <c r="AB282" i="1" s="1"/>
  <c r="Y282" i="1" l="1"/>
  <c r="W282" i="1"/>
  <c r="Z282" i="1"/>
  <c r="X282" i="1"/>
  <c r="R282" i="1" l="1"/>
  <c r="N283" i="1" s="1"/>
  <c r="S282" i="1"/>
  <c r="P283" i="1" l="1"/>
  <c r="Q283" i="1"/>
  <c r="O283" i="1"/>
  <c r="U283" i="1" l="1"/>
  <c r="X283" i="1" s="1"/>
  <c r="T283" i="1"/>
  <c r="W283" i="1" s="1"/>
  <c r="V283" i="1"/>
  <c r="Y283" i="1" s="1"/>
  <c r="AA283" i="1" l="1"/>
  <c r="AB283" i="1"/>
  <c r="R283" i="1"/>
  <c r="Z283" i="1"/>
  <c r="S283" i="1" s="1"/>
  <c r="P284" i="1" l="1"/>
  <c r="N284" i="1"/>
  <c r="O284" i="1"/>
  <c r="Q284" i="1"/>
  <c r="V284" i="1" l="1"/>
  <c r="AB284" i="1" s="1"/>
  <c r="T284" i="1"/>
  <c r="Z284" i="1" s="1"/>
  <c r="U284" i="1"/>
  <c r="AA284" i="1" s="1"/>
  <c r="W284" i="1" l="1"/>
  <c r="X284" i="1"/>
  <c r="S284" i="1"/>
  <c r="O285" i="1" s="1"/>
  <c r="Y284" i="1"/>
  <c r="R284" i="1" s="1"/>
  <c r="Q285" i="1"/>
  <c r="N285" i="1" l="1"/>
  <c r="V285" i="1" s="1"/>
  <c r="Y285" i="1" s="1"/>
  <c r="P285" i="1"/>
  <c r="U285" i="1" l="1"/>
  <c r="AA285" i="1" s="1"/>
  <c r="T285" i="1"/>
  <c r="X285" i="1"/>
  <c r="Z285" i="1"/>
  <c r="W285" i="1"/>
  <c r="AB285" i="1"/>
  <c r="S285" i="1" s="1"/>
  <c r="R285" i="1" l="1"/>
  <c r="O286" i="1"/>
  <c r="Q286" i="1"/>
  <c r="P286" i="1"/>
  <c r="N286" i="1"/>
  <c r="T286" i="1" l="1"/>
  <c r="Z286" i="1" s="1"/>
  <c r="U286" i="1"/>
  <c r="AA286" i="1" s="1"/>
  <c r="V286" i="1"/>
  <c r="AB286" i="1" s="1"/>
  <c r="X286" i="1" l="1"/>
  <c r="W286" i="1"/>
  <c r="Y286" i="1"/>
  <c r="S286" i="1"/>
  <c r="R286" i="1" l="1"/>
  <c r="Q287" i="1"/>
  <c r="O287" i="1"/>
  <c r="N287" i="1"/>
  <c r="P287" i="1"/>
  <c r="V287" i="1" l="1"/>
  <c r="Y287" i="1" s="1"/>
  <c r="U287" i="1"/>
  <c r="AA287" i="1" s="1"/>
  <c r="T287" i="1"/>
  <c r="W287" i="1" s="1"/>
  <c r="X287" i="1" l="1"/>
  <c r="R287" i="1" s="1"/>
  <c r="P288" i="1" s="1"/>
  <c r="Z287" i="1"/>
  <c r="AB287" i="1"/>
  <c r="N288" i="1" l="1"/>
  <c r="S287" i="1"/>
  <c r="O288" i="1" l="1"/>
  <c r="Q288" i="1"/>
  <c r="AA288" i="1" l="1"/>
  <c r="T288" i="1"/>
  <c r="V288" i="1"/>
  <c r="U288" i="1"/>
  <c r="AB288" i="1" l="1"/>
  <c r="Y288" i="1"/>
  <c r="X288" i="1"/>
  <c r="Z288" i="1"/>
  <c r="W288" i="1"/>
  <c r="R288" i="1" l="1"/>
  <c r="S288" i="1"/>
  <c r="Q289" i="1" s="1"/>
  <c r="O289" i="1"/>
  <c r="P289" i="1"/>
  <c r="N289" i="1"/>
  <c r="V289" i="1" l="1"/>
  <c r="AB289" i="1" s="1"/>
  <c r="U289" i="1"/>
  <c r="AA289" i="1" s="1"/>
  <c r="T289" i="1"/>
  <c r="Z289" i="1" s="1"/>
  <c r="Y289" i="1" l="1"/>
  <c r="S289" i="1"/>
  <c r="O290" i="1" s="1"/>
  <c r="X289" i="1"/>
  <c r="W289" i="1"/>
  <c r="Q290" i="1"/>
  <c r="R289" i="1" l="1"/>
  <c r="P290" i="1" s="1"/>
  <c r="N290" i="1"/>
  <c r="T290" i="1" l="1"/>
  <c r="Z290" i="1" s="1"/>
  <c r="U290" i="1"/>
  <c r="AA290" i="1" s="1"/>
  <c r="W290" i="1"/>
  <c r="V290" i="1"/>
  <c r="AB290" i="1" s="1"/>
  <c r="X290" i="1" l="1"/>
  <c r="Y290" i="1"/>
  <c r="R290" i="1" s="1"/>
  <c r="S290" i="1"/>
  <c r="N291" i="1" l="1"/>
  <c r="P291" i="1"/>
  <c r="Q291" i="1"/>
  <c r="O291" i="1"/>
  <c r="U291" i="1" l="1"/>
  <c r="AA291" i="1" s="1"/>
  <c r="T291" i="1"/>
  <c r="W291" i="1" s="1"/>
  <c r="V291" i="1"/>
  <c r="Y291" i="1" s="1"/>
  <c r="X291" i="1" l="1"/>
  <c r="R291" i="1" s="1"/>
  <c r="AB291" i="1"/>
  <c r="Z291" i="1"/>
  <c r="S291" i="1" l="1"/>
  <c r="N292" i="1"/>
  <c r="P292" i="1"/>
  <c r="Q292" i="1"/>
  <c r="O292" i="1"/>
  <c r="U292" i="1" l="1"/>
  <c r="AA292" i="1" s="1"/>
  <c r="V292" i="1"/>
  <c r="Y292" i="1" s="1"/>
  <c r="T292" i="1"/>
  <c r="W292" i="1" s="1"/>
  <c r="X292" i="1"/>
  <c r="R292" i="1" l="1"/>
  <c r="P293" i="1" s="1"/>
  <c r="N293" i="1"/>
  <c r="Z292" i="1"/>
  <c r="AB292" i="1"/>
  <c r="S292" i="1" l="1"/>
  <c r="Q293" i="1" s="1"/>
  <c r="O293" i="1" l="1"/>
  <c r="U293" i="1" s="1"/>
  <c r="X293" i="1" s="1"/>
  <c r="V293" i="1" l="1"/>
  <c r="Y293" i="1" s="1"/>
  <c r="AA293" i="1"/>
  <c r="T293" i="1"/>
  <c r="AB293" i="1"/>
  <c r="W293" i="1" l="1"/>
  <c r="R293" i="1" s="1"/>
  <c r="Z293" i="1"/>
  <c r="S293" i="1" s="1"/>
  <c r="Q294" i="1" l="1"/>
  <c r="O294" i="1"/>
  <c r="N294" i="1"/>
  <c r="T294" i="1" s="1"/>
  <c r="W294" i="1" s="1"/>
  <c r="P294" i="1"/>
  <c r="U294" i="1" l="1"/>
  <c r="X294" i="1" s="1"/>
  <c r="V294" i="1"/>
  <c r="Y294" i="1" s="1"/>
  <c r="R294" i="1" s="1"/>
  <c r="Z294" i="1"/>
  <c r="AB294" i="1"/>
  <c r="AA294" i="1" l="1"/>
  <c r="P295" i="1"/>
  <c r="N295" i="1"/>
  <c r="S294" i="1"/>
  <c r="O295" i="1" l="1"/>
  <c r="Q295" i="1"/>
  <c r="T295" i="1"/>
  <c r="W295" i="1" s="1"/>
  <c r="V295" i="1"/>
  <c r="Y295" i="1" s="1"/>
  <c r="U295" i="1"/>
  <c r="X295" i="1" s="1"/>
  <c r="AA295" i="1" l="1"/>
  <c r="R295" i="1"/>
  <c r="Z295" i="1"/>
  <c r="AB295" i="1"/>
  <c r="S295" i="1" l="1"/>
  <c r="Q296" i="1" s="1"/>
  <c r="O296" i="1"/>
  <c r="N296" i="1"/>
  <c r="P296" i="1"/>
  <c r="V296" i="1" l="1"/>
  <c r="T296" i="1"/>
  <c r="U296" i="1"/>
  <c r="AA296" i="1" s="1"/>
  <c r="X296" i="1" l="1"/>
  <c r="W296" i="1"/>
  <c r="Z296" i="1"/>
  <c r="Y296" i="1"/>
  <c r="AB296" i="1"/>
  <c r="R296" i="1" l="1"/>
  <c r="P297" i="1"/>
  <c r="N297" i="1"/>
  <c r="S296" i="1"/>
  <c r="Q297" i="1" l="1"/>
  <c r="O297" i="1"/>
  <c r="U297" i="1" l="1"/>
  <c r="AA297" i="1" s="1"/>
  <c r="T297" i="1"/>
  <c r="Z297" i="1" s="1"/>
  <c r="V297" i="1"/>
  <c r="X297" i="1" l="1"/>
  <c r="W297" i="1"/>
  <c r="AB297" i="1"/>
  <c r="S297" i="1" s="1"/>
  <c r="Y297" i="1"/>
  <c r="R297" i="1" s="1"/>
  <c r="N298" i="1" l="1"/>
  <c r="P298" i="1"/>
  <c r="O298" i="1"/>
  <c r="Q298" i="1"/>
  <c r="V298" i="1" l="1"/>
  <c r="Y298" i="1" s="1"/>
  <c r="T298" i="1"/>
  <c r="Z298" i="1" s="1"/>
  <c r="U298" i="1"/>
  <c r="X298" i="1" s="1"/>
  <c r="AA298" i="1" l="1"/>
  <c r="W298" i="1"/>
  <c r="R298" i="1" s="1"/>
  <c r="P299" i="1" s="1"/>
  <c r="AB298" i="1"/>
  <c r="N299" i="1" l="1"/>
  <c r="S298" i="1"/>
  <c r="O299" i="1" s="1"/>
  <c r="V299" i="1" l="1"/>
  <c r="Y299" i="1" s="1"/>
  <c r="Q299" i="1"/>
  <c r="T299" i="1"/>
  <c r="W299" i="1" s="1"/>
  <c r="U299" i="1"/>
  <c r="X299" i="1" s="1"/>
  <c r="AB299" i="1"/>
  <c r="AA299" i="1" l="1"/>
  <c r="Z299" i="1"/>
  <c r="R299" i="1"/>
  <c r="P300" i="1" s="1"/>
  <c r="N300" i="1"/>
  <c r="S299" i="1"/>
  <c r="O300" i="1" l="1"/>
  <c r="Q300" i="1"/>
  <c r="V300" i="1" l="1"/>
  <c r="T300" i="1"/>
  <c r="U300" i="1"/>
  <c r="AA300" i="1" s="1"/>
  <c r="X300" i="1" l="1"/>
  <c r="AB300" i="1"/>
  <c r="Y300" i="1"/>
  <c r="Z300" i="1"/>
  <c r="W300" i="1"/>
  <c r="R300" i="1" s="1"/>
  <c r="S300" i="1" l="1"/>
  <c r="Q301" i="1"/>
  <c r="O301" i="1"/>
  <c r="P301" i="1"/>
  <c r="N301" i="1"/>
  <c r="U301" i="1" l="1"/>
  <c r="AA301" i="1" s="1"/>
  <c r="T301" i="1"/>
  <c r="Z301" i="1" s="1"/>
  <c r="X301" i="1"/>
  <c r="V301" i="1"/>
  <c r="AB301" i="1" s="1"/>
  <c r="W301" i="1" l="1"/>
  <c r="Y301" i="1"/>
  <c r="R301" i="1" s="1"/>
  <c r="S301" i="1"/>
  <c r="N302" i="1" l="1"/>
  <c r="P302" i="1"/>
  <c r="O302" i="1"/>
  <c r="Q302" i="1"/>
  <c r="T302" i="1" l="1"/>
  <c r="Z302" i="1" s="1"/>
  <c r="U302" i="1"/>
  <c r="AA302" i="1" s="1"/>
  <c r="V302" i="1"/>
  <c r="AB302" i="1" s="1"/>
  <c r="W302" i="1"/>
  <c r="X302" i="1" l="1"/>
  <c r="Y302" i="1"/>
  <c r="R302" i="1" s="1"/>
  <c r="P303" i="1" s="1"/>
  <c r="S302" i="1"/>
  <c r="O303" i="1" s="1"/>
  <c r="N303" i="1" l="1"/>
  <c r="Q303" i="1"/>
  <c r="T303" i="1"/>
  <c r="W303" i="1" s="1"/>
  <c r="U303" i="1"/>
  <c r="AA303" i="1" s="1"/>
  <c r="V303" i="1"/>
  <c r="AB303" i="1" s="1"/>
  <c r="Z303" i="1" l="1"/>
  <c r="S303" i="1"/>
  <c r="Q304" i="1" s="1"/>
  <c r="X303" i="1"/>
  <c r="Y303" i="1"/>
  <c r="O304" i="1"/>
  <c r="R303" i="1" l="1"/>
  <c r="P304" i="1" s="1"/>
  <c r="N304" i="1"/>
  <c r="T304" i="1" s="1"/>
  <c r="V304" i="1" l="1"/>
  <c r="AB304" i="1" s="1"/>
  <c r="U304" i="1"/>
  <c r="AA304" i="1" s="1"/>
  <c r="Z304" i="1"/>
  <c r="W304" i="1"/>
  <c r="Y304" i="1"/>
  <c r="X304" i="1"/>
  <c r="R304" i="1" s="1"/>
  <c r="S304" i="1"/>
  <c r="Q305" i="1" l="1"/>
  <c r="O305" i="1"/>
  <c r="N305" i="1"/>
  <c r="P305" i="1"/>
  <c r="T305" i="1" l="1"/>
  <c r="Z305" i="1" s="1"/>
  <c r="U305" i="1"/>
  <c r="AA305" i="1" s="1"/>
  <c r="V305" i="1"/>
  <c r="AB305" i="1" s="1"/>
  <c r="W305" i="1"/>
  <c r="X305" i="1"/>
  <c r="S305" i="1" l="1"/>
  <c r="Q306" i="1" s="1"/>
  <c r="O306" i="1"/>
  <c r="Y305" i="1"/>
  <c r="R305" i="1" s="1"/>
  <c r="P306" i="1" l="1"/>
  <c r="N306" i="1"/>
  <c r="V306" i="1" s="1"/>
  <c r="AB306" i="1" s="1"/>
  <c r="T306" i="1" l="1"/>
  <c r="Z306" i="1" s="1"/>
  <c r="Y306" i="1"/>
  <c r="U306" i="1"/>
  <c r="AA306" i="1" s="1"/>
  <c r="S306" i="1" l="1"/>
  <c r="W306" i="1"/>
  <c r="X306" i="1"/>
  <c r="O307" i="1"/>
  <c r="Q307" i="1"/>
  <c r="R306" i="1" l="1"/>
  <c r="P307" i="1" s="1"/>
  <c r="N307" i="1" l="1"/>
  <c r="V307" i="1" s="1"/>
  <c r="T307" i="1"/>
  <c r="Z307" i="1" s="1"/>
  <c r="U307" i="1"/>
  <c r="AA307" i="1" s="1"/>
  <c r="AB307" i="1" l="1"/>
  <c r="Y307" i="1"/>
  <c r="X307" i="1"/>
  <c r="W307" i="1"/>
  <c r="S307" i="1"/>
  <c r="R307" i="1" l="1"/>
  <c r="P308" i="1"/>
  <c r="N308" i="1"/>
  <c r="Q308" i="1"/>
  <c r="O308" i="1"/>
  <c r="T308" i="1" l="1"/>
  <c r="V308" i="1"/>
  <c r="Y308" i="1" s="1"/>
  <c r="U308" i="1"/>
  <c r="AA308" i="1" s="1"/>
  <c r="W308" i="1"/>
  <c r="Z308" i="1"/>
  <c r="AB308" i="1" l="1"/>
  <c r="X308" i="1"/>
  <c r="R308" i="1" s="1"/>
  <c r="S308" i="1"/>
  <c r="N309" i="1" l="1"/>
  <c r="P309" i="1"/>
  <c r="Q309" i="1"/>
  <c r="O309" i="1"/>
  <c r="V309" i="1" l="1"/>
  <c r="AB309" i="1" s="1"/>
  <c r="U309" i="1"/>
  <c r="AA309" i="1" s="1"/>
  <c r="Y309" i="1"/>
  <c r="T309" i="1"/>
  <c r="W309" i="1" s="1"/>
  <c r="X309" i="1"/>
  <c r="R309" i="1" l="1"/>
  <c r="Z309" i="1"/>
  <c r="S309" i="1" s="1"/>
  <c r="Q310" i="1" l="1"/>
  <c r="O310" i="1"/>
  <c r="P310" i="1"/>
  <c r="N310" i="1"/>
  <c r="U310" i="1" l="1"/>
  <c r="AA310" i="1" s="1"/>
  <c r="T310" i="1"/>
  <c r="Z310" i="1" s="1"/>
  <c r="V310" i="1"/>
  <c r="AB310" i="1" s="1"/>
  <c r="W310" i="1" l="1"/>
  <c r="X310" i="1"/>
  <c r="S310" i="1"/>
  <c r="O311" i="1" s="1"/>
  <c r="Y310" i="1"/>
  <c r="R310" i="1" s="1"/>
  <c r="N311" i="1" s="1"/>
  <c r="Q311" i="1"/>
  <c r="P311" i="1" l="1"/>
  <c r="V311" i="1"/>
  <c r="AB311" i="1" s="1"/>
  <c r="T311" i="1"/>
  <c r="U311" i="1"/>
  <c r="AA311" i="1" s="1"/>
  <c r="Y311" i="1" l="1"/>
  <c r="Z311" i="1"/>
  <c r="W311" i="1"/>
  <c r="S311" i="1"/>
  <c r="X311" i="1"/>
  <c r="R311" i="1" l="1"/>
  <c r="N312" i="1" s="1"/>
  <c r="Q312" i="1"/>
  <c r="O312" i="1"/>
  <c r="P312" i="1" l="1"/>
  <c r="U312" i="1"/>
  <c r="AA312" i="1" s="1"/>
  <c r="V312" i="1"/>
  <c r="Y312" i="1" s="1"/>
  <c r="T312" i="1"/>
  <c r="Z312" i="1" s="1"/>
  <c r="X312" i="1"/>
  <c r="W312" i="1" l="1"/>
  <c r="R312" i="1" s="1"/>
  <c r="P313" i="1" s="1"/>
  <c r="AB312" i="1"/>
  <c r="S312" i="1" s="1"/>
  <c r="N313" i="1" l="1"/>
  <c r="Q313" i="1"/>
  <c r="O313" i="1"/>
  <c r="U313" i="1" l="1"/>
  <c r="AA313" i="1" s="1"/>
  <c r="V313" i="1"/>
  <c r="AB313" i="1" s="1"/>
  <c r="T313" i="1"/>
  <c r="Y313" i="1" l="1"/>
  <c r="X313" i="1"/>
  <c r="Z313" i="1"/>
  <c r="S313" i="1" s="1"/>
  <c r="W313" i="1"/>
  <c r="R313" i="1" s="1"/>
  <c r="P314" i="1" l="1"/>
  <c r="N314" i="1"/>
  <c r="O314" i="1"/>
  <c r="Q314" i="1"/>
  <c r="V314" i="1" l="1"/>
  <c r="AB314" i="1" s="1"/>
  <c r="U314" i="1"/>
  <c r="AA314" i="1" s="1"/>
  <c r="T314" i="1"/>
  <c r="Z314" i="1" s="1"/>
  <c r="Y314" i="1"/>
  <c r="S314" i="1" l="1"/>
  <c r="O315" i="1" s="1"/>
  <c r="X314" i="1"/>
  <c r="Q315" i="1"/>
  <c r="W314" i="1"/>
  <c r="R314" i="1" l="1"/>
  <c r="N315" i="1" s="1"/>
  <c r="P315" i="1" l="1"/>
  <c r="V315" i="1"/>
  <c r="AB315" i="1" s="1"/>
  <c r="U315" i="1"/>
  <c r="AA315" i="1" s="1"/>
  <c r="T315" i="1"/>
  <c r="Z315" i="1" s="1"/>
  <c r="Y315" i="1"/>
  <c r="X315" i="1" l="1"/>
  <c r="S315" i="1"/>
  <c r="W315" i="1"/>
  <c r="R315" i="1" s="1"/>
  <c r="Q316" i="1" l="1"/>
  <c r="O316" i="1"/>
  <c r="P316" i="1"/>
  <c r="N316" i="1"/>
  <c r="V316" i="1" l="1"/>
  <c r="Y316" i="1" s="1"/>
  <c r="U316" i="1"/>
  <c r="X316" i="1" s="1"/>
  <c r="T316" i="1"/>
  <c r="W316" i="1" s="1"/>
  <c r="AA316" i="1" l="1"/>
  <c r="R316" i="1"/>
  <c r="P317" i="1" s="1"/>
  <c r="N317" i="1"/>
  <c r="Z316" i="1"/>
  <c r="AB316" i="1"/>
  <c r="S316" i="1" l="1"/>
  <c r="O317" i="1"/>
  <c r="Q317" i="1"/>
  <c r="V317" i="1"/>
  <c r="AB317" i="1" s="1"/>
  <c r="U317" i="1" l="1"/>
  <c r="AA317" i="1" s="1"/>
  <c r="Y317" i="1"/>
  <c r="T317" i="1"/>
  <c r="W317" i="1" s="1"/>
  <c r="X317" i="1" l="1"/>
  <c r="R317" i="1" s="1"/>
  <c r="Z317" i="1"/>
  <c r="S317" i="1" s="1"/>
  <c r="N318" i="1" l="1"/>
  <c r="P318" i="1"/>
  <c r="Q318" i="1"/>
  <c r="O318" i="1"/>
  <c r="U318" i="1" l="1"/>
  <c r="AA318" i="1" s="1"/>
  <c r="V318" i="1"/>
  <c r="T318" i="1"/>
  <c r="X318" i="1" l="1"/>
  <c r="Z318" i="1"/>
  <c r="W318" i="1"/>
  <c r="AB318" i="1"/>
  <c r="Y318" i="1"/>
  <c r="R318" i="1" l="1"/>
  <c r="S318" i="1"/>
  <c r="O319" i="1" l="1"/>
  <c r="Q319" i="1"/>
  <c r="P319" i="1"/>
  <c r="N319" i="1"/>
  <c r="U319" i="1" l="1"/>
  <c r="AA319" i="1" s="1"/>
  <c r="T319" i="1"/>
  <c r="Z319" i="1" s="1"/>
  <c r="V319" i="1"/>
  <c r="Y319" i="1" s="1"/>
  <c r="X319" i="1"/>
  <c r="W319" i="1" l="1"/>
  <c r="AB319" i="1"/>
  <c r="S319" i="1" s="1"/>
  <c r="Q320" i="1" s="1"/>
  <c r="R319" i="1"/>
  <c r="P320" i="1" s="1"/>
  <c r="O320" i="1" l="1"/>
  <c r="N320" i="1"/>
  <c r="V320" i="1" s="1"/>
  <c r="T320" i="1" l="1"/>
  <c r="Z320" i="1" s="1"/>
  <c r="U320" i="1"/>
  <c r="AA320" i="1" s="1"/>
  <c r="S320" i="1" s="1"/>
  <c r="Q321" i="1" s="1"/>
  <c r="AB320" i="1"/>
  <c r="Y320" i="1"/>
  <c r="X320" i="1"/>
  <c r="W320" i="1"/>
  <c r="R320" i="1" s="1"/>
  <c r="O321" i="1" l="1"/>
  <c r="P321" i="1"/>
  <c r="N321" i="1"/>
  <c r="T321" i="1" s="1"/>
  <c r="Z321" i="1" l="1"/>
  <c r="W321" i="1"/>
  <c r="V321" i="1"/>
  <c r="AB321" i="1" s="1"/>
  <c r="U321" i="1"/>
  <c r="AA321" i="1" l="1"/>
  <c r="S321" i="1" s="1"/>
  <c r="Y321" i="1"/>
  <c r="X321" i="1"/>
  <c r="R321" i="1" s="1"/>
  <c r="P322" i="1" s="1"/>
  <c r="O322" i="1" l="1"/>
  <c r="Q322" i="1"/>
  <c r="N322" i="1"/>
  <c r="V322" i="1" s="1"/>
  <c r="AB322" i="1" s="1"/>
  <c r="Y322" i="1" l="1"/>
  <c r="U322" i="1"/>
  <c r="AA322" i="1" s="1"/>
  <c r="T322" i="1"/>
  <c r="Z322" i="1" s="1"/>
  <c r="S322" i="1" l="1"/>
  <c r="W322" i="1"/>
  <c r="X322" i="1"/>
  <c r="O323" i="1"/>
  <c r="Q323" i="1"/>
  <c r="R322" i="1" l="1"/>
  <c r="P323" i="1" l="1"/>
  <c r="N323" i="1"/>
  <c r="V323" i="1" l="1"/>
  <c r="T323" i="1"/>
  <c r="U323" i="1"/>
  <c r="AA323" i="1" s="1"/>
  <c r="Z323" i="1" l="1"/>
  <c r="W323" i="1"/>
  <c r="X323" i="1"/>
  <c r="Y323" i="1"/>
  <c r="AB323" i="1"/>
  <c r="S323" i="1" l="1"/>
  <c r="Q324" i="1" s="1"/>
  <c r="O324" i="1"/>
  <c r="R323" i="1"/>
  <c r="N324" i="1" l="1"/>
  <c r="P324" i="1"/>
  <c r="T324" i="1" l="1"/>
  <c r="Z324" i="1" s="1"/>
  <c r="U324" i="1"/>
  <c r="AA324" i="1" s="1"/>
  <c r="V324" i="1"/>
  <c r="AB324" i="1" s="1"/>
  <c r="W324" i="1"/>
  <c r="X324" i="1"/>
  <c r="Y324" i="1" l="1"/>
  <c r="R324" i="1"/>
  <c r="S324" i="1"/>
  <c r="Q325" i="1" l="1"/>
  <c r="O325" i="1"/>
  <c r="N325" i="1"/>
  <c r="P325" i="1"/>
  <c r="T325" i="1" l="1"/>
  <c r="W325" i="1" s="1"/>
  <c r="V325" i="1"/>
  <c r="Y325" i="1" s="1"/>
  <c r="U325" i="1"/>
  <c r="AA325" i="1" s="1"/>
  <c r="Z325" i="1"/>
  <c r="AB325" i="1" l="1"/>
  <c r="X325" i="1"/>
  <c r="R325" i="1" s="1"/>
  <c r="S325" i="1"/>
  <c r="Q326" i="1" l="1"/>
  <c r="O326" i="1"/>
  <c r="P326" i="1"/>
  <c r="N326" i="1"/>
  <c r="V326" i="1" l="1"/>
  <c r="T326" i="1"/>
  <c r="W326" i="1" s="1"/>
  <c r="U326" i="1"/>
  <c r="AA326" i="1" s="1"/>
  <c r="X326" i="1" l="1"/>
  <c r="Y326" i="1"/>
  <c r="AB326" i="1"/>
  <c r="R326" i="1"/>
  <c r="Z326" i="1"/>
  <c r="S326" i="1" s="1"/>
  <c r="P327" i="1" l="1"/>
  <c r="N327" i="1"/>
  <c r="Q327" i="1"/>
  <c r="O327" i="1"/>
  <c r="U327" i="1" l="1"/>
  <c r="AA327" i="1" s="1"/>
  <c r="V327" i="1"/>
  <c r="T327" i="1"/>
  <c r="Y327" i="1" l="1"/>
  <c r="AB327" i="1"/>
  <c r="W327" i="1"/>
  <c r="Z327" i="1"/>
  <c r="X327" i="1"/>
  <c r="S327" i="1" l="1"/>
  <c r="R327" i="1"/>
  <c r="N328" i="1" l="1"/>
  <c r="P328" i="1"/>
  <c r="O328" i="1"/>
  <c r="Q328" i="1"/>
  <c r="V328" i="1" l="1"/>
  <c r="U328" i="1"/>
  <c r="AA328" i="1" s="1"/>
  <c r="T328" i="1"/>
  <c r="X328" i="1" l="1"/>
  <c r="W328" i="1"/>
  <c r="Z328" i="1"/>
  <c r="Y328" i="1"/>
  <c r="AB328" i="1"/>
  <c r="S328" i="1" l="1"/>
  <c r="R328" i="1"/>
  <c r="P329" i="1" l="1"/>
  <c r="N329" i="1"/>
  <c r="O329" i="1"/>
  <c r="Q329" i="1"/>
  <c r="T329" i="1" l="1"/>
  <c r="W329" i="1" s="1"/>
  <c r="U329" i="1"/>
  <c r="AA329" i="1" s="1"/>
  <c r="V329" i="1"/>
  <c r="Y329" i="1" s="1"/>
  <c r="X329" i="1" l="1"/>
  <c r="R329" i="1"/>
  <c r="N330" i="1" s="1"/>
  <c r="AB329" i="1"/>
  <c r="Z329" i="1"/>
  <c r="S329" i="1" s="1"/>
  <c r="P330" i="1" l="1"/>
  <c r="Q330" i="1"/>
  <c r="O330" i="1"/>
  <c r="V330" i="1" l="1"/>
  <c r="U330" i="1"/>
  <c r="AA330" i="1" s="1"/>
  <c r="T330" i="1"/>
  <c r="X330" i="1" l="1"/>
  <c r="W330" i="1"/>
  <c r="Z330" i="1"/>
  <c r="AB330" i="1"/>
  <c r="Y330" i="1"/>
  <c r="S330" i="1" l="1"/>
  <c r="R330" i="1"/>
  <c r="Q331" i="1" l="1"/>
  <c r="O331" i="1"/>
  <c r="P331" i="1"/>
  <c r="N331" i="1"/>
  <c r="U331" i="1" l="1"/>
  <c r="AA331" i="1" s="1"/>
  <c r="T331" i="1"/>
  <c r="V331" i="1"/>
  <c r="AB331" i="1" l="1"/>
  <c r="Y331" i="1"/>
  <c r="Z331" i="1"/>
  <c r="S331" i="1" s="1"/>
  <c r="W331" i="1"/>
  <c r="X331" i="1"/>
  <c r="R331" i="1" l="1"/>
  <c r="O332" i="1"/>
  <c r="Q332" i="1"/>
  <c r="P332" i="1" l="1"/>
  <c r="N332" i="1"/>
  <c r="U332" i="1" l="1"/>
  <c r="AA332" i="1" s="1"/>
  <c r="T332" i="1"/>
  <c r="Z332" i="1" s="1"/>
  <c r="V332" i="1"/>
  <c r="AB332" i="1" s="1"/>
  <c r="X332" i="1"/>
  <c r="W332" i="1"/>
  <c r="S332" i="1" l="1"/>
  <c r="Y332" i="1"/>
  <c r="R332" i="1" s="1"/>
  <c r="P333" i="1" l="1"/>
  <c r="N333" i="1"/>
  <c r="Q333" i="1"/>
  <c r="O333" i="1"/>
  <c r="T333" i="1" l="1"/>
  <c r="Z333" i="1" s="1"/>
  <c r="U333" i="1"/>
  <c r="AA333" i="1" s="1"/>
  <c r="V333" i="1"/>
  <c r="AB333" i="1" s="1"/>
  <c r="W333" i="1" l="1"/>
  <c r="X333" i="1"/>
  <c r="Y333" i="1"/>
  <c r="R333" i="1" s="1"/>
  <c r="S333" i="1"/>
  <c r="N334" i="1" l="1"/>
  <c r="P334" i="1"/>
  <c r="O334" i="1"/>
  <c r="Q334" i="1"/>
  <c r="U334" i="1" l="1"/>
  <c r="AA334" i="1" s="1"/>
  <c r="V334" i="1"/>
  <c r="AB334" i="1" s="1"/>
  <c r="T334" i="1"/>
  <c r="Z334" i="1" s="1"/>
  <c r="X334" i="1"/>
  <c r="S334" i="1" l="1"/>
  <c r="Y334" i="1"/>
  <c r="W334" i="1"/>
  <c r="O335" i="1"/>
  <c r="Q335" i="1"/>
  <c r="R334" i="1"/>
  <c r="P335" i="1" l="1"/>
  <c r="N335" i="1"/>
  <c r="U335" i="1" l="1"/>
  <c r="AA335" i="1" s="1"/>
  <c r="V335" i="1"/>
  <c r="X335" i="1"/>
  <c r="T335" i="1"/>
  <c r="W335" i="1" l="1"/>
  <c r="Z335" i="1"/>
  <c r="Y335" i="1"/>
  <c r="AB335" i="1"/>
  <c r="S335" i="1" l="1"/>
  <c r="R335" i="1"/>
  <c r="N336" i="1" l="1"/>
  <c r="P336" i="1"/>
  <c r="O336" i="1"/>
  <c r="Q336" i="1"/>
  <c r="V336" i="1" l="1"/>
  <c r="AB336" i="1" s="1"/>
  <c r="T336" i="1"/>
  <c r="Z336" i="1" s="1"/>
  <c r="U336" i="1"/>
  <c r="AA336" i="1" s="1"/>
  <c r="Y336" i="1"/>
  <c r="W336" i="1"/>
  <c r="S336" i="1" l="1"/>
  <c r="X336" i="1"/>
  <c r="R336" i="1" s="1"/>
  <c r="P337" i="1" l="1"/>
  <c r="N337" i="1"/>
  <c r="Q337" i="1"/>
  <c r="O337" i="1"/>
  <c r="V337" i="1" l="1"/>
  <c r="AB337" i="1" s="1"/>
  <c r="U337" i="1"/>
  <c r="AA337" i="1" s="1"/>
  <c r="T337" i="1"/>
  <c r="Z337" i="1" s="1"/>
  <c r="Y337" i="1"/>
  <c r="S337" i="1" l="1"/>
  <c r="O338" i="1"/>
  <c r="Q338" i="1"/>
  <c r="W337" i="1"/>
  <c r="X337" i="1"/>
  <c r="R337" i="1" l="1"/>
  <c r="P338" i="1" l="1"/>
  <c r="N338" i="1"/>
  <c r="V338" i="1" l="1"/>
  <c r="U338" i="1"/>
  <c r="AA338" i="1" s="1"/>
  <c r="T338" i="1"/>
  <c r="W338" i="1" l="1"/>
  <c r="Z338" i="1"/>
  <c r="X338" i="1"/>
  <c r="Y338" i="1"/>
  <c r="AB338" i="1"/>
  <c r="S338" i="1" l="1"/>
  <c r="R338" i="1"/>
  <c r="N339" i="1" l="1"/>
  <c r="P339" i="1"/>
  <c r="Q339" i="1"/>
  <c r="O339" i="1"/>
  <c r="U339" i="1" l="1"/>
  <c r="AA339" i="1" s="1"/>
  <c r="T339" i="1"/>
  <c r="W339" i="1" s="1"/>
  <c r="X339" i="1"/>
  <c r="V339" i="1"/>
  <c r="Y339" i="1" s="1"/>
  <c r="R339" i="1" l="1"/>
  <c r="N340" i="1"/>
  <c r="P340" i="1"/>
  <c r="Z339" i="1"/>
  <c r="AB339" i="1"/>
  <c r="S339" i="1" l="1"/>
  <c r="O340" i="1" l="1"/>
  <c r="Q340" i="1"/>
  <c r="U340" i="1" l="1"/>
  <c r="AA340" i="1" s="1"/>
  <c r="V340" i="1"/>
  <c r="T340" i="1"/>
  <c r="Z340" i="1" l="1"/>
  <c r="W340" i="1"/>
  <c r="X340" i="1"/>
  <c r="AB340" i="1"/>
  <c r="Y340" i="1"/>
  <c r="R340" i="1" l="1"/>
  <c r="S340" i="1"/>
  <c r="Q341" i="1" l="1"/>
  <c r="O341" i="1"/>
  <c r="P341" i="1"/>
  <c r="N341" i="1"/>
  <c r="U341" i="1" l="1"/>
  <c r="AA341" i="1" s="1"/>
  <c r="T341" i="1"/>
  <c r="Z341" i="1" s="1"/>
  <c r="V341" i="1"/>
  <c r="AB341" i="1" s="1"/>
  <c r="X341" i="1"/>
  <c r="W341" i="1" l="1"/>
  <c r="Y341" i="1"/>
  <c r="S341" i="1"/>
  <c r="O342" i="1" l="1"/>
  <c r="Q342" i="1"/>
  <c r="R341" i="1"/>
  <c r="N342" i="1" l="1"/>
  <c r="P342" i="1"/>
  <c r="T342" i="1" l="1"/>
  <c r="Z342" i="1" s="1"/>
  <c r="U342" i="1"/>
  <c r="AA342" i="1" s="1"/>
  <c r="V342" i="1"/>
  <c r="W342" i="1"/>
  <c r="X342" i="1"/>
  <c r="Y342" i="1" l="1"/>
  <c r="AB342" i="1"/>
  <c r="S342" i="1" s="1"/>
  <c r="R342" i="1"/>
  <c r="Q343" i="1" l="1"/>
  <c r="O343" i="1"/>
  <c r="P343" i="1"/>
  <c r="N343" i="1"/>
  <c r="T343" i="1" l="1"/>
  <c r="Z343" i="1" s="1"/>
  <c r="V343" i="1"/>
  <c r="AB343" i="1" s="1"/>
  <c r="U343" i="1"/>
  <c r="AA343" i="1" s="1"/>
  <c r="W343" i="1"/>
  <c r="Y343" i="1"/>
  <c r="X343" i="1" l="1"/>
  <c r="S343" i="1"/>
  <c r="R343" i="1"/>
  <c r="P344" i="1" l="1"/>
  <c r="N344" i="1"/>
  <c r="O344" i="1"/>
  <c r="Q344" i="1"/>
  <c r="T344" i="1" l="1"/>
  <c r="Z344" i="1" s="1"/>
  <c r="V344" i="1"/>
  <c r="AB344" i="1" s="1"/>
  <c r="U344" i="1"/>
  <c r="AA344" i="1" s="1"/>
  <c r="Y344" i="1"/>
  <c r="W344" i="1"/>
  <c r="X344" i="1" l="1"/>
  <c r="R344" i="1" s="1"/>
  <c r="S344" i="1"/>
  <c r="N345" i="1" l="1"/>
  <c r="P345" i="1"/>
  <c r="O345" i="1"/>
  <c r="Q345" i="1"/>
  <c r="T345" i="1" l="1"/>
  <c r="Z345" i="1" s="1"/>
  <c r="U345" i="1"/>
  <c r="AA345" i="1" s="1"/>
  <c r="V345" i="1"/>
  <c r="AB345" i="1" s="1"/>
  <c r="X345" i="1"/>
  <c r="W345" i="1"/>
  <c r="Y345" i="1" l="1"/>
  <c r="R345" i="1"/>
  <c r="S345" i="1"/>
  <c r="Q346" i="1" l="1"/>
  <c r="O346" i="1"/>
  <c r="P346" i="1"/>
  <c r="N346" i="1"/>
  <c r="U346" i="1" l="1"/>
  <c r="AA346" i="1" s="1"/>
  <c r="T346" i="1"/>
  <c r="W346" i="1" s="1"/>
  <c r="V346" i="1"/>
  <c r="AB346" i="1" s="1"/>
  <c r="X346" i="1"/>
  <c r="Y346" i="1" l="1"/>
  <c r="R346" i="1" s="1"/>
  <c r="Z346" i="1"/>
  <c r="S346" i="1" s="1"/>
  <c r="N347" i="1" l="1"/>
  <c r="P347" i="1"/>
  <c r="Q347" i="1"/>
  <c r="O347" i="1"/>
  <c r="V347" i="1" l="1"/>
  <c r="Y347" i="1" s="1"/>
  <c r="T347" i="1"/>
  <c r="W347" i="1" s="1"/>
  <c r="U347" i="1"/>
  <c r="AA347" i="1" s="1"/>
  <c r="X347" i="1" l="1"/>
  <c r="R347" i="1" s="1"/>
  <c r="Z347" i="1"/>
  <c r="AB347" i="1"/>
  <c r="S347" i="1" l="1"/>
  <c r="P348" i="1"/>
  <c r="N348" i="1"/>
  <c r="O348" i="1" l="1"/>
  <c r="Q348" i="1"/>
  <c r="V348" i="1" l="1"/>
  <c r="U348" i="1"/>
  <c r="AA348" i="1" s="1"/>
  <c r="T348" i="1"/>
  <c r="Z348" i="1" l="1"/>
  <c r="W348" i="1"/>
  <c r="AB348" i="1"/>
  <c r="Y348" i="1"/>
  <c r="X348" i="1"/>
  <c r="R348" i="1" l="1"/>
  <c r="S348" i="1"/>
  <c r="Q349" i="1" l="1"/>
  <c r="O349" i="1"/>
  <c r="N349" i="1"/>
  <c r="P349" i="1"/>
  <c r="V349" i="1" l="1"/>
  <c r="AB349" i="1" s="1"/>
  <c r="T349" i="1"/>
  <c r="Z349" i="1" s="1"/>
  <c r="U349" i="1"/>
  <c r="AA349" i="1" s="1"/>
  <c r="X349" i="1" l="1"/>
  <c r="W349" i="1"/>
  <c r="S349" i="1"/>
  <c r="Y349" i="1"/>
  <c r="R349" i="1" l="1"/>
  <c r="P350" i="1" s="1"/>
  <c r="N350" i="1"/>
  <c r="O350" i="1"/>
  <c r="Q350" i="1"/>
  <c r="T350" i="1" l="1"/>
  <c r="W350" i="1" s="1"/>
  <c r="U350" i="1"/>
  <c r="X350" i="1" s="1"/>
  <c r="V350" i="1"/>
  <c r="Y350" i="1" s="1"/>
  <c r="Z350" i="1"/>
  <c r="AA350" i="1" l="1"/>
  <c r="AB350" i="1"/>
  <c r="S350" i="1" s="1"/>
  <c r="R350" i="1"/>
  <c r="N351" i="1" l="1"/>
  <c r="P351" i="1"/>
  <c r="Q351" i="1"/>
  <c r="O351" i="1"/>
  <c r="U351" i="1" l="1"/>
  <c r="X351" i="1" s="1"/>
  <c r="V351" i="1"/>
  <c r="Y351" i="1" s="1"/>
  <c r="T351" i="1"/>
  <c r="W351" i="1" s="1"/>
  <c r="R351" i="1" s="1"/>
  <c r="P352" i="1" s="1"/>
  <c r="AA351" i="1" l="1"/>
  <c r="N352" i="1"/>
  <c r="AB351" i="1"/>
  <c r="Z351" i="1"/>
  <c r="S351" i="1" l="1"/>
  <c r="Q352" i="1" l="1"/>
  <c r="O352" i="1"/>
  <c r="T352" i="1" l="1"/>
  <c r="W352" i="1" s="1"/>
  <c r="U352" i="1"/>
  <c r="X352" i="1" s="1"/>
  <c r="V352" i="1"/>
  <c r="Y352" i="1" s="1"/>
  <c r="AA352" i="1" l="1"/>
  <c r="AB352" i="1"/>
  <c r="Z352" i="1"/>
  <c r="S352" i="1" s="1"/>
  <c r="R352" i="1"/>
  <c r="O353" i="1" l="1"/>
  <c r="Q353" i="1"/>
  <c r="P353" i="1"/>
  <c r="N353" i="1"/>
  <c r="V353" i="1" l="1"/>
  <c r="Y353" i="1" s="1"/>
  <c r="U353" i="1"/>
  <c r="X353" i="1" s="1"/>
  <c r="T353" i="1"/>
  <c r="W353" i="1" s="1"/>
  <c r="R353" i="1" s="1"/>
  <c r="P354" i="1" s="1"/>
  <c r="AB353" i="1"/>
  <c r="AA353" i="1" l="1"/>
  <c r="Z353" i="1"/>
  <c r="S353" i="1" s="1"/>
  <c r="N354" i="1"/>
  <c r="Q354" i="1" l="1"/>
  <c r="O354" i="1"/>
  <c r="U354" i="1" l="1"/>
  <c r="X354" i="1" s="1"/>
  <c r="V354" i="1"/>
  <c r="Y354" i="1" s="1"/>
  <c r="T354" i="1"/>
  <c r="W354" i="1" s="1"/>
  <c r="R354" i="1" s="1"/>
  <c r="AA354" i="1" l="1"/>
  <c r="P355" i="1"/>
  <c r="N355" i="1"/>
  <c r="AB354" i="1"/>
  <c r="Z354" i="1"/>
  <c r="S354" i="1" s="1"/>
  <c r="O355" i="1" l="1"/>
  <c r="Q355" i="1"/>
  <c r="V355" i="1"/>
  <c r="Y355" i="1" s="1"/>
  <c r="U355" i="1"/>
  <c r="X355" i="1" s="1"/>
  <c r="T355" i="1"/>
  <c r="W355" i="1" s="1"/>
  <c r="R355" i="1" s="1"/>
  <c r="N356" i="1" s="1"/>
  <c r="AA355" i="1" l="1"/>
  <c r="P356" i="1"/>
  <c r="Z355" i="1"/>
  <c r="AB355" i="1"/>
  <c r="S355" i="1" l="1"/>
  <c r="Q356" i="1" l="1"/>
  <c r="O356" i="1"/>
  <c r="U356" i="1" l="1"/>
  <c r="X356" i="1" s="1"/>
  <c r="T356" i="1"/>
  <c r="V356" i="1"/>
  <c r="Y356" i="1" s="1"/>
  <c r="AA356" i="1" l="1"/>
  <c r="Z356" i="1"/>
  <c r="W356" i="1"/>
  <c r="R356" i="1" s="1"/>
  <c r="AB356" i="1"/>
  <c r="N357" i="1" l="1"/>
  <c r="P357" i="1"/>
  <c r="S356" i="1"/>
  <c r="O357" i="1" l="1"/>
  <c r="Q357" i="1"/>
  <c r="U357" i="1"/>
  <c r="T357" i="1"/>
  <c r="W357" i="1" s="1"/>
  <c r="AA357" i="1" l="1"/>
  <c r="X357" i="1"/>
  <c r="V357" i="1"/>
  <c r="Y357" i="1" s="1"/>
  <c r="Z357" i="1"/>
  <c r="R357" i="1" l="1"/>
  <c r="P358" i="1" s="1"/>
  <c r="N358" i="1"/>
  <c r="AB357" i="1"/>
  <c r="S357" i="1" s="1"/>
  <c r="Q358" i="1" l="1"/>
  <c r="O358" i="1"/>
  <c r="T358" i="1" l="1"/>
  <c r="W358" i="1" s="1"/>
  <c r="U358" i="1"/>
  <c r="X358" i="1" s="1"/>
  <c r="V358" i="1"/>
  <c r="AB358" i="1" s="1"/>
  <c r="Z358" i="1"/>
  <c r="Y358" i="1" l="1"/>
  <c r="R358" i="1"/>
  <c r="AA358" i="1"/>
  <c r="S358" i="1" s="1"/>
  <c r="N359" i="1"/>
  <c r="P359" i="1"/>
  <c r="Q359" i="1" l="1"/>
  <c r="O359" i="1"/>
  <c r="T359" i="1"/>
  <c r="Z359" i="1" s="1"/>
  <c r="U359" i="1"/>
  <c r="AA359" i="1" l="1"/>
  <c r="V359" i="1"/>
  <c r="W359" i="1"/>
  <c r="X359" i="1"/>
  <c r="AB359" i="1" l="1"/>
  <c r="S359" i="1" s="1"/>
  <c r="Q360" i="1" s="1"/>
  <c r="Y359" i="1"/>
  <c r="R359" i="1"/>
  <c r="P360" i="1" s="1"/>
  <c r="O360" i="1"/>
  <c r="N360" i="1"/>
  <c r="V360" i="1" l="1"/>
  <c r="AB360" i="1" s="1"/>
  <c r="U360" i="1"/>
  <c r="AA360" i="1" s="1"/>
  <c r="T360" i="1"/>
  <c r="Z360" i="1" s="1"/>
  <c r="Y360" i="1"/>
  <c r="W360" i="1" l="1"/>
  <c r="S360" i="1"/>
  <c r="X360" i="1"/>
  <c r="O361" i="1"/>
  <c r="Q361" i="1"/>
  <c r="R360" i="1"/>
  <c r="N361" i="1" l="1"/>
  <c r="P361" i="1"/>
  <c r="U361" i="1" l="1"/>
  <c r="AA361" i="1" s="1"/>
  <c r="V361" i="1"/>
  <c r="AB361" i="1" s="1"/>
  <c r="T361" i="1"/>
  <c r="Z361" i="1" s="1"/>
  <c r="S361" i="1" s="1"/>
  <c r="X361" i="1"/>
  <c r="W361" i="1" l="1"/>
  <c r="Y361" i="1"/>
  <c r="Q362" i="1"/>
  <c r="O362" i="1"/>
  <c r="R361" i="1" l="1"/>
  <c r="P362" i="1" s="1"/>
  <c r="N362" i="1"/>
  <c r="T362" i="1" s="1"/>
  <c r="V362" i="1" l="1"/>
  <c r="AB362" i="1" s="1"/>
  <c r="U362" i="1"/>
  <c r="AA362" i="1" s="1"/>
  <c r="Z362" i="1"/>
  <c r="W362" i="1"/>
  <c r="Y362" i="1"/>
  <c r="R362" i="1" s="1"/>
  <c r="X362" i="1"/>
  <c r="S362" i="1"/>
  <c r="P363" i="1" l="1"/>
  <c r="N363" i="1"/>
  <c r="Q363" i="1"/>
  <c r="O363" i="1"/>
  <c r="U363" i="1" l="1"/>
  <c r="AA363" i="1" s="1"/>
  <c r="T363" i="1"/>
  <c r="Z363" i="1" s="1"/>
  <c r="V363" i="1"/>
  <c r="AB363" i="1" s="1"/>
  <c r="X363" i="1"/>
  <c r="W363" i="1"/>
  <c r="Y363" i="1"/>
  <c r="S363" i="1" l="1"/>
  <c r="R363" i="1"/>
  <c r="N364" i="1" l="1"/>
  <c r="P364" i="1"/>
  <c r="O364" i="1"/>
  <c r="Q364" i="1"/>
  <c r="U364" i="1" l="1"/>
  <c r="AA364" i="1" s="1"/>
  <c r="V364" i="1"/>
  <c r="AB364" i="1" s="1"/>
  <c r="T364" i="1"/>
  <c r="Z364" i="1" s="1"/>
  <c r="X364" i="1"/>
  <c r="S364" i="1" l="1"/>
  <c r="Q365" i="1" s="1"/>
  <c r="W364" i="1"/>
  <c r="Y364" i="1"/>
  <c r="O365" i="1"/>
  <c r="R364" i="1" l="1"/>
  <c r="P365" i="1" s="1"/>
  <c r="N365" i="1"/>
  <c r="V365" i="1" s="1"/>
  <c r="AB365" i="1" s="1"/>
  <c r="T365" i="1" l="1"/>
  <c r="Z365" i="1" s="1"/>
  <c r="U365" i="1"/>
  <c r="AA365" i="1" s="1"/>
  <c r="S365" i="1" s="1"/>
  <c r="Y365" i="1"/>
  <c r="X365" i="1" l="1"/>
  <c r="W365" i="1"/>
  <c r="R365" i="1" s="1"/>
  <c r="P366" i="1" s="1"/>
  <c r="Q366" i="1"/>
  <c r="O366" i="1"/>
  <c r="N366" i="1" l="1"/>
  <c r="U366" i="1" s="1"/>
  <c r="AA366" i="1" s="1"/>
  <c r="V366" i="1" l="1"/>
  <c r="AB366" i="1" s="1"/>
  <c r="X366" i="1"/>
  <c r="Y366" i="1"/>
  <c r="T366" i="1"/>
  <c r="Z366" i="1" l="1"/>
  <c r="S366" i="1" s="1"/>
  <c r="Q367" i="1" s="1"/>
  <c r="W366" i="1"/>
  <c r="R366" i="1" s="1"/>
  <c r="P367" i="1" s="1"/>
  <c r="O367" i="1"/>
  <c r="N367" i="1"/>
  <c r="T367" i="1" l="1"/>
  <c r="Z367" i="1" s="1"/>
  <c r="V367" i="1"/>
  <c r="AB367" i="1" s="1"/>
  <c r="U367" i="1"/>
  <c r="AA367" i="1" s="1"/>
  <c r="Y367" i="1"/>
  <c r="X367" i="1" l="1"/>
  <c r="W367" i="1"/>
  <c r="S367" i="1"/>
  <c r="O368" i="1" s="1"/>
  <c r="R367" i="1"/>
  <c r="Q368" i="1" l="1"/>
  <c r="P368" i="1"/>
  <c r="N368" i="1"/>
  <c r="V368" i="1" l="1"/>
  <c r="AB368" i="1" s="1"/>
  <c r="T368" i="1"/>
  <c r="U368" i="1"/>
  <c r="AA368" i="1" s="1"/>
  <c r="X368" i="1" l="1"/>
  <c r="W368" i="1"/>
  <c r="Z368" i="1"/>
  <c r="S368" i="1" s="1"/>
  <c r="Y368" i="1"/>
  <c r="Q369" i="1" l="1"/>
  <c r="O369" i="1"/>
  <c r="R368" i="1"/>
  <c r="N369" i="1" l="1"/>
  <c r="P369" i="1"/>
  <c r="U369" i="1" l="1"/>
  <c r="AA369" i="1" s="1"/>
  <c r="V369" i="1"/>
  <c r="AB369" i="1" s="1"/>
  <c r="T369" i="1"/>
  <c r="Z369" i="1" s="1"/>
  <c r="S369" i="1" s="1"/>
  <c r="Y369" i="1"/>
  <c r="X369" i="1"/>
  <c r="W369" i="1" l="1"/>
  <c r="R369" i="1" s="1"/>
  <c r="P370" i="1" s="1"/>
  <c r="O370" i="1"/>
  <c r="Q370" i="1"/>
  <c r="N370" i="1"/>
  <c r="V370" i="1" l="1"/>
  <c r="AB370" i="1" s="1"/>
  <c r="T370" i="1"/>
  <c r="Z370" i="1" s="1"/>
  <c r="U370" i="1"/>
  <c r="AA370" i="1" s="1"/>
  <c r="Y370" i="1"/>
  <c r="W370" i="1" l="1"/>
  <c r="X370" i="1"/>
  <c r="R370" i="1"/>
  <c r="S370" i="1"/>
  <c r="Q371" i="1" l="1"/>
  <c r="O371" i="1"/>
  <c r="P371" i="1"/>
  <c r="N371" i="1"/>
  <c r="T371" i="1" l="1"/>
  <c r="Z371" i="1" s="1"/>
  <c r="V371" i="1"/>
  <c r="AB371" i="1" s="1"/>
  <c r="U371" i="1"/>
  <c r="AA371" i="1" s="1"/>
  <c r="W371" i="1"/>
  <c r="Y371" i="1" l="1"/>
  <c r="X371" i="1"/>
  <c r="R371" i="1" s="1"/>
  <c r="S371" i="1"/>
  <c r="O372" i="1" l="1"/>
  <c r="Q372" i="1"/>
  <c r="N372" i="1"/>
  <c r="P372" i="1"/>
  <c r="V372" i="1" l="1"/>
  <c r="AB372" i="1" s="1"/>
  <c r="U372" i="1"/>
  <c r="AA372" i="1" s="1"/>
  <c r="T372" i="1"/>
  <c r="Z372" i="1" s="1"/>
  <c r="Y372" i="1"/>
  <c r="S372" i="1" l="1"/>
  <c r="Q373" i="1" s="1"/>
  <c r="X372" i="1"/>
  <c r="W372" i="1"/>
  <c r="R372" i="1" s="1"/>
  <c r="P373" i="1" s="1"/>
  <c r="O373" i="1"/>
  <c r="N373" i="1" l="1"/>
  <c r="V373" i="1" s="1"/>
  <c r="T373" i="1" l="1"/>
  <c r="Z373" i="1" s="1"/>
  <c r="U373" i="1"/>
  <c r="AA373" i="1" s="1"/>
  <c r="AB373" i="1"/>
  <c r="Y373" i="1"/>
  <c r="W373" i="1"/>
  <c r="S373" i="1" l="1"/>
  <c r="X373" i="1"/>
  <c r="R373" i="1" s="1"/>
  <c r="P374" i="1" l="1"/>
  <c r="N374" i="1"/>
  <c r="Q374" i="1"/>
  <c r="O374" i="1"/>
  <c r="V374" i="1" s="1"/>
  <c r="AB374" i="1" s="1"/>
  <c r="U374" i="1" l="1"/>
  <c r="AA374" i="1" s="1"/>
  <c r="T374" i="1"/>
  <c r="W374" i="1" s="1"/>
  <c r="X374" i="1"/>
  <c r="Y374" i="1"/>
  <c r="R374" i="1" l="1"/>
  <c r="Z374" i="1"/>
  <c r="S374" i="1" s="1"/>
  <c r="Q375" i="1" l="1"/>
  <c r="O375" i="1"/>
  <c r="P375" i="1"/>
  <c r="N375" i="1"/>
  <c r="V375" i="1" l="1"/>
  <c r="Y375" i="1" s="1"/>
  <c r="T375" i="1"/>
  <c r="U375" i="1"/>
  <c r="X375" i="1" s="1"/>
  <c r="Z375" i="1" l="1"/>
  <c r="W375" i="1"/>
  <c r="R375" i="1" s="1"/>
  <c r="AB375" i="1"/>
  <c r="AA375" i="1"/>
  <c r="P376" i="1" l="1"/>
  <c r="N376" i="1"/>
  <c r="S375" i="1"/>
  <c r="Q376" i="1" l="1"/>
  <c r="O376" i="1"/>
  <c r="T376" i="1" s="1"/>
  <c r="U376" i="1"/>
  <c r="X376" i="1" s="1"/>
  <c r="Z376" i="1" l="1"/>
  <c r="W376" i="1"/>
  <c r="AA376" i="1"/>
  <c r="V376" i="1"/>
  <c r="AB376" i="1" l="1"/>
  <c r="Y376" i="1"/>
  <c r="R376" i="1" s="1"/>
  <c r="S376" i="1"/>
  <c r="P377" i="1" l="1"/>
  <c r="N377" i="1"/>
  <c r="O377" i="1"/>
  <c r="Q377" i="1"/>
  <c r="U377" i="1" l="1"/>
  <c r="AA377" i="1" s="1"/>
  <c r="V377" i="1"/>
  <c r="AB377" i="1" s="1"/>
  <c r="T377" i="1"/>
  <c r="Z377" i="1" s="1"/>
  <c r="Y377" i="1"/>
  <c r="X377" i="1"/>
  <c r="W377" i="1" l="1"/>
  <c r="R377" i="1" s="1"/>
  <c r="S377" i="1"/>
  <c r="Q378" i="1" l="1"/>
  <c r="O378" i="1"/>
  <c r="N378" i="1"/>
  <c r="P378" i="1"/>
  <c r="T378" i="1" l="1"/>
  <c r="Z378" i="1" s="1"/>
  <c r="U378" i="1"/>
  <c r="V378" i="1"/>
  <c r="AB378" i="1" s="1"/>
  <c r="W378" i="1"/>
  <c r="X378" i="1"/>
  <c r="AA378" i="1"/>
  <c r="Y378" i="1" l="1"/>
  <c r="R378" i="1" s="1"/>
  <c r="S378" i="1"/>
  <c r="N379" i="1" l="1"/>
  <c r="P379" i="1"/>
  <c r="O379" i="1"/>
  <c r="Q379" i="1"/>
  <c r="U379" i="1" l="1"/>
  <c r="AA379" i="1" s="1"/>
  <c r="T379" i="1"/>
  <c r="W379" i="1" s="1"/>
  <c r="V379" i="1"/>
  <c r="Y379" i="1" s="1"/>
  <c r="X379" i="1" l="1"/>
  <c r="R379" i="1" s="1"/>
  <c r="AB379" i="1"/>
  <c r="Z379" i="1"/>
  <c r="S379" i="1" s="1"/>
  <c r="Q380" i="1" l="1"/>
  <c r="O380" i="1"/>
  <c r="N380" i="1"/>
  <c r="P380" i="1"/>
  <c r="U380" i="1" l="1"/>
  <c r="AA380" i="1" s="1"/>
  <c r="T380" i="1"/>
  <c r="Z380" i="1" s="1"/>
  <c r="S380" i="1" s="1"/>
  <c r="V380" i="1"/>
  <c r="AB380" i="1" s="1"/>
  <c r="X380" i="1"/>
  <c r="O381" i="1" l="1"/>
  <c r="Q381" i="1"/>
  <c r="W380" i="1"/>
  <c r="R380" i="1" s="1"/>
  <c r="Y380" i="1"/>
  <c r="P381" i="1" l="1"/>
  <c r="N381" i="1"/>
  <c r="U381" i="1" l="1"/>
  <c r="AA381" i="1" s="1"/>
  <c r="T381" i="1"/>
  <c r="Z381" i="1" s="1"/>
  <c r="V381" i="1"/>
  <c r="AB381" i="1" s="1"/>
  <c r="Y381" i="1"/>
  <c r="X381" i="1"/>
  <c r="W381" i="1"/>
  <c r="R381" i="1" s="1"/>
  <c r="N382" i="1" s="1"/>
  <c r="P382" i="1" l="1"/>
  <c r="S381" i="1"/>
  <c r="Q382" i="1" l="1"/>
  <c r="O382" i="1"/>
  <c r="U382" i="1" l="1"/>
  <c r="X382" i="1" s="1"/>
  <c r="V382" i="1"/>
  <c r="T382" i="1"/>
  <c r="W382" i="1" s="1"/>
  <c r="Z382" i="1" l="1"/>
  <c r="AB382" i="1"/>
  <c r="Y382" i="1"/>
  <c r="R382" i="1" s="1"/>
  <c r="P383" i="1" s="1"/>
  <c r="AA382" i="1"/>
  <c r="N383" i="1"/>
  <c r="S382" i="1" l="1"/>
  <c r="Q383" i="1" l="1"/>
  <c r="O383" i="1"/>
  <c r="U383" i="1" l="1"/>
  <c r="X383" i="1" s="1"/>
  <c r="V383" i="1"/>
  <c r="T383" i="1"/>
  <c r="Z383" i="1" l="1"/>
  <c r="W383" i="1"/>
  <c r="AB383" i="1"/>
  <c r="Y383" i="1"/>
  <c r="R383" i="1" s="1"/>
  <c r="AA383" i="1"/>
  <c r="P384" i="1" l="1"/>
  <c r="N384" i="1"/>
  <c r="S383" i="1"/>
  <c r="O384" i="1" l="1"/>
  <c r="V384" i="1" s="1"/>
  <c r="Q384" i="1"/>
  <c r="AB384" i="1" l="1"/>
  <c r="Y384" i="1"/>
  <c r="T384" i="1"/>
  <c r="U384" i="1"/>
  <c r="X384" i="1" s="1"/>
  <c r="AA384" i="1" l="1"/>
  <c r="Z384" i="1"/>
  <c r="W384" i="1"/>
  <c r="R384" i="1" s="1"/>
  <c r="P385" i="1" l="1"/>
  <c r="N385" i="1"/>
  <c r="S384" i="1"/>
  <c r="O385" i="1" l="1"/>
  <c r="V385" i="1" s="1"/>
  <c r="Q385" i="1"/>
  <c r="AB385" i="1" l="1"/>
  <c r="Y385" i="1"/>
  <c r="U385" i="1"/>
  <c r="X385" i="1" s="1"/>
  <c r="T385" i="1"/>
  <c r="Z385" i="1" l="1"/>
  <c r="W385" i="1"/>
  <c r="R385" i="1" s="1"/>
  <c r="AA385" i="1"/>
  <c r="N386" i="1" l="1"/>
  <c r="P386" i="1"/>
  <c r="S385" i="1"/>
  <c r="Q386" i="1" l="1"/>
  <c r="O386" i="1"/>
  <c r="V386" i="1"/>
  <c r="AB386" i="1" s="1"/>
  <c r="T386" i="1"/>
  <c r="Z386" i="1" s="1"/>
  <c r="U386" i="1"/>
  <c r="X386" i="1" s="1"/>
  <c r="Y386" i="1" l="1"/>
  <c r="AA386" i="1"/>
  <c r="S386" i="1" s="1"/>
  <c r="W386" i="1"/>
  <c r="R386" i="1" s="1"/>
  <c r="P387" i="1" l="1"/>
  <c r="N387" i="1"/>
  <c r="Q387" i="1"/>
  <c r="O387" i="1"/>
  <c r="T387" i="1" l="1"/>
  <c r="Z387" i="1" s="1"/>
  <c r="U387" i="1"/>
  <c r="V387" i="1"/>
  <c r="AB387" i="1" s="1"/>
  <c r="W387" i="1"/>
  <c r="X387" i="1"/>
  <c r="Y387" i="1"/>
  <c r="AA387" i="1"/>
  <c r="R387" i="1" l="1"/>
  <c r="S387" i="1"/>
  <c r="O388" i="1" l="1"/>
  <c r="Q388" i="1"/>
  <c r="N388" i="1"/>
  <c r="P388" i="1"/>
  <c r="V388" i="1" l="1"/>
  <c r="AB388" i="1" s="1"/>
  <c r="T388" i="1"/>
  <c r="W388" i="1" s="1"/>
  <c r="U388" i="1"/>
  <c r="X388" i="1" s="1"/>
  <c r="Y388" i="1"/>
  <c r="AA388" i="1"/>
  <c r="Z388" i="1"/>
  <c r="S388" i="1" s="1"/>
  <c r="Q389" i="1" s="1"/>
  <c r="O389" i="1" l="1"/>
  <c r="R388" i="1"/>
  <c r="P389" i="1" l="1"/>
  <c r="N389" i="1"/>
  <c r="V389" i="1" l="1"/>
  <c r="AB389" i="1" s="1"/>
  <c r="T389" i="1"/>
  <c r="Z389" i="1" s="1"/>
  <c r="S389" i="1" s="1"/>
  <c r="Y389" i="1"/>
  <c r="U389" i="1"/>
  <c r="AA389" i="1" s="1"/>
  <c r="X389" i="1"/>
  <c r="Q390" i="1" l="1"/>
  <c r="O390" i="1"/>
  <c r="W389" i="1"/>
  <c r="R389" i="1" s="1"/>
  <c r="N390" i="1" l="1"/>
  <c r="P390" i="1"/>
  <c r="U390" i="1" l="1"/>
  <c r="AA390" i="1" s="1"/>
  <c r="V390" i="1"/>
  <c r="T390" i="1"/>
  <c r="X390" i="1"/>
  <c r="W390" i="1" l="1"/>
  <c r="Z390" i="1"/>
  <c r="Y390" i="1"/>
  <c r="AB390" i="1"/>
  <c r="S390" i="1" l="1"/>
  <c r="R390" i="1"/>
  <c r="P391" i="1" l="1"/>
  <c r="N391" i="1"/>
  <c r="Q391" i="1"/>
  <c r="O391" i="1"/>
  <c r="T391" i="1" l="1"/>
  <c r="W391" i="1" s="1"/>
  <c r="V391" i="1"/>
  <c r="AB391" i="1" s="1"/>
  <c r="U391" i="1"/>
  <c r="AA391" i="1" s="1"/>
  <c r="X391" i="1" l="1"/>
  <c r="R391" i="1" s="1"/>
  <c r="Z391" i="1"/>
  <c r="S391" i="1" s="1"/>
  <c r="Y391" i="1"/>
  <c r="P392" i="1" l="1"/>
  <c r="N392" i="1"/>
  <c r="O392" i="1"/>
  <c r="Q392" i="1"/>
  <c r="U392" i="1" l="1"/>
  <c r="AA392" i="1" s="1"/>
  <c r="V392" i="1"/>
  <c r="AB392" i="1" s="1"/>
  <c r="T392" i="1"/>
  <c r="Z392" i="1" s="1"/>
  <c r="S392" i="1" s="1"/>
  <c r="Y392" i="1"/>
  <c r="W392" i="1"/>
  <c r="X392" i="1"/>
  <c r="Q393" i="1" l="1"/>
  <c r="O393" i="1"/>
  <c r="R392" i="1"/>
  <c r="P393" i="1" l="1"/>
  <c r="N393" i="1"/>
  <c r="V393" i="1" l="1"/>
  <c r="U393" i="1"/>
  <c r="T393" i="1"/>
  <c r="X393" i="1" l="1"/>
  <c r="AA393" i="1"/>
  <c r="W393" i="1"/>
  <c r="Z393" i="1"/>
  <c r="S393" i="1" s="1"/>
  <c r="O394" i="1" s="1"/>
  <c r="Y393" i="1"/>
  <c r="AB393" i="1"/>
  <c r="Q394" i="1" l="1"/>
  <c r="R393" i="1"/>
  <c r="P394" i="1" l="1"/>
  <c r="N394" i="1"/>
  <c r="U394" i="1" l="1"/>
  <c r="T394" i="1"/>
  <c r="V394" i="1"/>
  <c r="Y394" i="1" l="1"/>
  <c r="AB394" i="1"/>
  <c r="W394" i="1"/>
  <c r="Z394" i="1"/>
  <c r="X394" i="1"/>
  <c r="AA394" i="1"/>
  <c r="S394" i="1" l="1"/>
  <c r="R394" i="1"/>
  <c r="P395" i="1" l="1"/>
  <c r="N395" i="1"/>
  <c r="O395" i="1"/>
  <c r="Q395" i="1"/>
  <c r="T395" i="1" l="1"/>
  <c r="W395" i="1" s="1"/>
  <c r="V395" i="1"/>
  <c r="AB395" i="1" s="1"/>
  <c r="U395" i="1"/>
  <c r="X395" i="1" s="1"/>
  <c r="Y395" i="1"/>
  <c r="AA395" i="1"/>
  <c r="Z395" i="1"/>
  <c r="S395" i="1" s="1"/>
  <c r="Q396" i="1" s="1"/>
  <c r="R395" i="1" l="1"/>
  <c r="O396" i="1"/>
  <c r="P396" i="1" l="1"/>
  <c r="N396" i="1"/>
  <c r="V396" i="1" l="1"/>
  <c r="T396" i="1"/>
  <c r="Z396" i="1" s="1"/>
  <c r="U396" i="1"/>
  <c r="AA396" i="1" s="1"/>
  <c r="X396" i="1" l="1"/>
  <c r="W396" i="1"/>
  <c r="Y396" i="1"/>
  <c r="AB396" i="1"/>
  <c r="S396" i="1" s="1"/>
  <c r="O397" i="1" l="1"/>
  <c r="Q397" i="1"/>
  <c r="R396" i="1"/>
  <c r="P397" i="1" l="1"/>
  <c r="N397" i="1"/>
  <c r="T397" i="1" l="1"/>
  <c r="U397" i="1"/>
  <c r="V397" i="1"/>
  <c r="Y397" i="1" l="1"/>
  <c r="AB397" i="1"/>
  <c r="X397" i="1"/>
  <c r="AA397" i="1"/>
  <c r="W397" i="1"/>
  <c r="R397" i="1" s="1"/>
  <c r="Z397" i="1"/>
  <c r="S397" i="1" s="1"/>
  <c r="O398" i="1" l="1"/>
  <c r="Q398" i="1"/>
  <c r="P398" i="1"/>
  <c r="N398" i="1"/>
  <c r="V398" i="1" l="1"/>
  <c r="T398" i="1"/>
  <c r="W398" i="1" s="1"/>
  <c r="R398" i="1" s="1"/>
  <c r="P399" i="1" s="1"/>
  <c r="Y398" i="1"/>
  <c r="U398" i="1"/>
  <c r="X398" i="1" s="1"/>
  <c r="AA398" i="1"/>
  <c r="AB398" i="1"/>
  <c r="Z398" i="1"/>
  <c r="S398" i="1" s="1"/>
  <c r="Q399" i="1" s="1"/>
  <c r="O399" i="1"/>
  <c r="N399" i="1" l="1"/>
  <c r="U399" i="1" l="1"/>
  <c r="AA399" i="1" s="1"/>
  <c r="V399" i="1"/>
  <c r="AB399" i="1" s="1"/>
  <c r="T399" i="1"/>
  <c r="Z399" i="1" s="1"/>
  <c r="S399" i="1" s="1"/>
  <c r="X399" i="1"/>
  <c r="W399" i="1"/>
  <c r="O400" i="1" l="1"/>
  <c r="Q400" i="1"/>
  <c r="Y399" i="1"/>
  <c r="R399" i="1" s="1"/>
  <c r="N400" i="1" l="1"/>
  <c r="P400" i="1"/>
  <c r="U400" i="1" l="1"/>
  <c r="AA400" i="1" s="1"/>
  <c r="T400" i="1"/>
  <c r="Z400" i="1" s="1"/>
  <c r="V400" i="1"/>
  <c r="AB400" i="1" s="1"/>
  <c r="W400" i="1"/>
  <c r="Y400" i="1"/>
  <c r="X400" i="1" l="1"/>
  <c r="R400" i="1" s="1"/>
  <c r="S400" i="1"/>
  <c r="P401" i="1" l="1"/>
  <c r="N401" i="1"/>
  <c r="O401" i="1"/>
  <c r="Q401" i="1"/>
  <c r="V401" i="1" l="1"/>
  <c r="T401" i="1"/>
  <c r="U401" i="1"/>
  <c r="X401" i="1" s="1"/>
  <c r="AA401" i="1" l="1"/>
  <c r="W401" i="1"/>
  <c r="Z401" i="1"/>
  <c r="S401" i="1" s="1"/>
  <c r="O402" i="1" s="1"/>
  <c r="Y401" i="1"/>
  <c r="AB401" i="1"/>
  <c r="Q402" i="1" l="1"/>
  <c r="R401" i="1"/>
  <c r="N402" i="1" l="1"/>
  <c r="P402" i="1"/>
  <c r="V402" i="1" l="1"/>
  <c r="U402" i="1"/>
  <c r="T402" i="1"/>
  <c r="W402" i="1" l="1"/>
  <c r="Z402" i="1"/>
  <c r="X402" i="1"/>
  <c r="AA402" i="1"/>
  <c r="Y402" i="1"/>
  <c r="AB402" i="1"/>
  <c r="R402" i="1" l="1"/>
  <c r="S402" i="1"/>
  <c r="O403" i="1" l="1"/>
  <c r="Q403" i="1"/>
  <c r="N403" i="1"/>
  <c r="P403" i="1"/>
  <c r="U403" i="1" l="1"/>
  <c r="X403" i="1" s="1"/>
  <c r="T403" i="1"/>
  <c r="W403" i="1" s="1"/>
  <c r="V403" i="1"/>
  <c r="Y403" i="1" s="1"/>
  <c r="AA403" i="1"/>
  <c r="Z403" i="1"/>
  <c r="AB403" i="1"/>
  <c r="S403" i="1" l="1"/>
  <c r="R403" i="1"/>
  <c r="N404" i="1" l="1"/>
  <c r="P404" i="1"/>
  <c r="Q404" i="1"/>
  <c r="O404" i="1"/>
  <c r="T404" i="1" l="1"/>
  <c r="W404" i="1" s="1"/>
  <c r="R404" i="1" s="1"/>
  <c r="N405" i="1" s="1"/>
  <c r="V404" i="1"/>
  <c r="Y404" i="1" s="1"/>
  <c r="U404" i="1"/>
  <c r="X404" i="1" s="1"/>
  <c r="P405" i="1" l="1"/>
  <c r="Z404" i="1"/>
  <c r="AB404" i="1"/>
  <c r="AA404" i="1"/>
  <c r="S404" i="1" l="1"/>
  <c r="Q405" i="1" l="1"/>
  <c r="O405" i="1"/>
  <c r="V405" i="1" l="1"/>
  <c r="Y405" i="1" s="1"/>
  <c r="T405" i="1"/>
  <c r="U405" i="1"/>
  <c r="X405" i="1" s="1"/>
  <c r="Z405" i="1" l="1"/>
  <c r="W405" i="1"/>
  <c r="R405" i="1" s="1"/>
  <c r="AB405" i="1"/>
  <c r="AA405" i="1"/>
  <c r="P406" i="1" l="1"/>
  <c r="N406" i="1"/>
  <c r="S405" i="1"/>
  <c r="O406" i="1" l="1"/>
  <c r="U406" i="1" s="1"/>
  <c r="X406" i="1" s="1"/>
  <c r="Q406" i="1"/>
  <c r="AA406" i="1" l="1"/>
  <c r="V406" i="1"/>
  <c r="Y406" i="1" s="1"/>
  <c r="T406" i="1"/>
  <c r="W406" i="1" s="1"/>
  <c r="AB406" i="1" l="1"/>
  <c r="R406" i="1"/>
  <c r="Z406" i="1"/>
  <c r="S406" i="1" s="1"/>
  <c r="N407" i="1" l="1"/>
  <c r="P407" i="1"/>
  <c r="Q407" i="1"/>
  <c r="O407" i="1"/>
  <c r="V407" i="1" l="1"/>
  <c r="AB407" i="1" s="1"/>
  <c r="U407" i="1"/>
  <c r="AA407" i="1" s="1"/>
  <c r="T407" i="1"/>
  <c r="W407" i="1" s="1"/>
  <c r="Y407" i="1"/>
  <c r="X407" i="1" l="1"/>
  <c r="R407" i="1"/>
  <c r="Z407" i="1"/>
  <c r="S407" i="1" s="1"/>
  <c r="P408" i="1" l="1"/>
  <c r="N408" i="1"/>
  <c r="Q408" i="1"/>
  <c r="O408" i="1"/>
  <c r="T408" i="1" l="1"/>
  <c r="Z408" i="1" s="1"/>
  <c r="V408" i="1"/>
  <c r="AB408" i="1" s="1"/>
  <c r="U408" i="1"/>
  <c r="AA408" i="1" s="1"/>
  <c r="S408" i="1" l="1"/>
  <c r="Y408" i="1"/>
  <c r="X408" i="1"/>
  <c r="W408" i="1"/>
  <c r="R408" i="1" s="1"/>
  <c r="N409" i="1" l="1"/>
  <c r="P409" i="1"/>
  <c r="O409" i="1"/>
  <c r="Q409" i="1"/>
  <c r="T409" i="1" l="1"/>
  <c r="Z409" i="1" s="1"/>
  <c r="U409" i="1"/>
  <c r="X409" i="1" s="1"/>
  <c r="V409" i="1"/>
  <c r="AB409" i="1" s="1"/>
  <c r="W409" i="1"/>
  <c r="Y409" i="1" l="1"/>
  <c r="AA409" i="1"/>
  <c r="S409" i="1" s="1"/>
  <c r="R409" i="1"/>
  <c r="Q410" i="1" l="1"/>
  <c r="O410" i="1"/>
  <c r="N410" i="1"/>
  <c r="P410" i="1"/>
  <c r="U410" i="1" l="1"/>
  <c r="AA410" i="1" s="1"/>
  <c r="V410" i="1"/>
  <c r="AB410" i="1" s="1"/>
  <c r="S410" i="1" s="1"/>
  <c r="T410" i="1"/>
  <c r="Z410" i="1" s="1"/>
  <c r="X410" i="1"/>
  <c r="O411" i="1" l="1"/>
  <c r="Q411" i="1"/>
  <c r="W410" i="1"/>
  <c r="Y410" i="1"/>
  <c r="R410" i="1" l="1"/>
  <c r="P411" i="1" l="1"/>
  <c r="N411" i="1"/>
  <c r="V411" i="1" l="1"/>
  <c r="U411" i="1"/>
  <c r="T411" i="1"/>
  <c r="Z411" i="1" s="1"/>
  <c r="W411" i="1"/>
  <c r="X411" i="1" l="1"/>
  <c r="R411" i="1" s="1"/>
  <c r="AA411" i="1"/>
  <c r="S411" i="1" s="1"/>
  <c r="Y411" i="1"/>
  <c r="AB411" i="1"/>
  <c r="Q412" i="1" l="1"/>
  <c r="O412" i="1"/>
  <c r="N412" i="1"/>
  <c r="P412" i="1"/>
  <c r="T412" i="1" l="1"/>
  <c r="W412" i="1" s="1"/>
  <c r="U412" i="1"/>
  <c r="X412" i="1" s="1"/>
  <c r="V412" i="1"/>
  <c r="Y412" i="1" s="1"/>
  <c r="AA412" i="1"/>
  <c r="Z412" i="1"/>
  <c r="AB412" i="1"/>
  <c r="S412" i="1" l="1"/>
  <c r="R412" i="1"/>
  <c r="N413" i="1" l="1"/>
  <c r="P413" i="1"/>
  <c r="Q413" i="1"/>
  <c r="O413" i="1"/>
  <c r="T413" i="1" l="1"/>
  <c r="W413" i="1" s="1"/>
  <c r="R413" i="1" s="1"/>
  <c r="P414" i="1" s="1"/>
  <c r="U413" i="1"/>
  <c r="X413" i="1" s="1"/>
  <c r="V413" i="1"/>
  <c r="Y413" i="1" s="1"/>
  <c r="N414" i="1" l="1"/>
  <c r="Z413" i="1"/>
  <c r="AB413" i="1"/>
  <c r="AA413" i="1"/>
  <c r="S413" i="1" l="1"/>
  <c r="O414" i="1" l="1"/>
  <c r="Q414" i="1"/>
  <c r="U414" i="1" l="1"/>
  <c r="X414" i="1" s="1"/>
  <c r="T414" i="1"/>
  <c r="W414" i="1" s="1"/>
  <c r="V414" i="1"/>
  <c r="Y414" i="1" s="1"/>
  <c r="R414" i="1" s="1"/>
  <c r="P415" i="1" l="1"/>
  <c r="N415" i="1"/>
  <c r="AA414" i="1"/>
  <c r="AB414" i="1"/>
  <c r="Z414" i="1"/>
  <c r="S414" i="1" s="1"/>
  <c r="Q415" i="1" l="1"/>
  <c r="O415" i="1"/>
  <c r="U415" i="1" s="1"/>
  <c r="X415" i="1" s="1"/>
  <c r="T415" i="1"/>
  <c r="Z415" i="1" s="1"/>
  <c r="V415" i="1"/>
  <c r="AB415" i="1" s="1"/>
  <c r="AA415" i="1" l="1"/>
  <c r="S415" i="1"/>
  <c r="O416" i="1" s="1"/>
  <c r="W415" i="1"/>
  <c r="R415" i="1" s="1"/>
  <c r="Y415" i="1"/>
  <c r="Q416" i="1"/>
  <c r="N416" i="1" l="1"/>
  <c r="P416" i="1"/>
  <c r="T416" i="1" l="1"/>
  <c r="Z416" i="1" s="1"/>
  <c r="U416" i="1"/>
  <c r="AA416" i="1" s="1"/>
  <c r="V416" i="1"/>
  <c r="AB416" i="1" s="1"/>
  <c r="W416" i="1"/>
  <c r="X416" i="1"/>
  <c r="Y416" i="1"/>
  <c r="R416" i="1" l="1"/>
  <c r="S416" i="1"/>
  <c r="Q417" i="1" l="1"/>
  <c r="O417" i="1"/>
  <c r="P417" i="1"/>
  <c r="N417" i="1"/>
  <c r="V417" i="1" l="1"/>
  <c r="Y417" i="1" s="1"/>
  <c r="U417" i="1"/>
  <c r="X417" i="1" s="1"/>
  <c r="T417" i="1"/>
  <c r="W417" i="1" s="1"/>
  <c r="AA417" i="1" l="1"/>
  <c r="R417" i="1"/>
  <c r="AB417" i="1"/>
  <c r="Z417" i="1"/>
  <c r="S417" i="1" l="1"/>
  <c r="P418" i="1"/>
  <c r="N418" i="1"/>
  <c r="O418" i="1" l="1"/>
  <c r="Q418" i="1"/>
  <c r="V418" i="1" l="1"/>
  <c r="Y418" i="1" s="1"/>
  <c r="T418" i="1"/>
  <c r="W418" i="1" s="1"/>
  <c r="R418" i="1" s="1"/>
  <c r="U418" i="1"/>
  <c r="X418" i="1" s="1"/>
  <c r="Z418" i="1" l="1"/>
  <c r="P419" i="1"/>
  <c r="N419" i="1"/>
  <c r="AB418" i="1"/>
  <c r="AA418" i="1"/>
  <c r="S418" i="1" l="1"/>
  <c r="O419" i="1" l="1"/>
  <c r="Q419" i="1"/>
  <c r="U419" i="1" l="1"/>
  <c r="X419" i="1" s="1"/>
  <c r="V419" i="1"/>
  <c r="Y419" i="1" s="1"/>
  <c r="T419" i="1"/>
  <c r="W419" i="1" s="1"/>
  <c r="R419" i="1" s="1"/>
  <c r="AB419" i="1" l="1"/>
  <c r="P420" i="1"/>
  <c r="N420" i="1"/>
  <c r="Z419" i="1"/>
  <c r="AA419" i="1"/>
  <c r="S419" i="1" l="1"/>
  <c r="Q420" i="1" l="1"/>
  <c r="O420" i="1"/>
  <c r="U420" i="1" l="1"/>
  <c r="X420" i="1" s="1"/>
  <c r="V420" i="1"/>
  <c r="T420" i="1"/>
  <c r="Z420" i="1" l="1"/>
  <c r="W420" i="1"/>
  <c r="AB420" i="1"/>
  <c r="Y420" i="1"/>
  <c r="AA420" i="1"/>
  <c r="R420" i="1" l="1"/>
  <c r="S420" i="1"/>
  <c r="O421" i="1" l="1"/>
  <c r="Q421" i="1"/>
  <c r="P421" i="1"/>
  <c r="N421" i="1"/>
  <c r="T421" i="1" l="1"/>
  <c r="Z421" i="1" s="1"/>
  <c r="U421" i="1"/>
  <c r="V421" i="1"/>
  <c r="AB421" i="1" s="1"/>
  <c r="X421" i="1"/>
  <c r="W421" i="1"/>
  <c r="AA421" i="1"/>
  <c r="Y421" i="1" l="1"/>
  <c r="R421" i="1"/>
  <c r="S421" i="1"/>
  <c r="N422" i="1" l="1"/>
  <c r="P422" i="1"/>
  <c r="Q422" i="1"/>
  <c r="O422" i="1"/>
  <c r="U422" i="1" l="1"/>
  <c r="AA422" i="1" s="1"/>
  <c r="T422" i="1"/>
  <c r="Z422" i="1" s="1"/>
  <c r="V422" i="1"/>
  <c r="AB422" i="1" s="1"/>
  <c r="W422" i="1" l="1"/>
  <c r="Y422" i="1"/>
  <c r="S422" i="1"/>
  <c r="X422" i="1"/>
  <c r="Q423" i="1" l="1"/>
  <c r="O423" i="1"/>
  <c r="R422" i="1"/>
  <c r="P423" i="1" l="1"/>
  <c r="N423" i="1"/>
  <c r="T423" i="1" l="1"/>
  <c r="Z423" i="1" s="1"/>
  <c r="W423" i="1"/>
  <c r="V423" i="1"/>
  <c r="AB423" i="1" s="1"/>
  <c r="U423" i="1"/>
  <c r="AA423" i="1" s="1"/>
  <c r="X423" i="1" l="1"/>
  <c r="Y423" i="1"/>
  <c r="R423" i="1" s="1"/>
  <c r="S423" i="1"/>
  <c r="N424" i="1" l="1"/>
  <c r="P424" i="1"/>
  <c r="Q424" i="1"/>
  <c r="O424" i="1"/>
  <c r="T424" i="1" l="1"/>
  <c r="Z424" i="1" s="1"/>
  <c r="U424" i="1"/>
  <c r="AA424" i="1" s="1"/>
  <c r="V424" i="1"/>
  <c r="AB424" i="1" s="1"/>
  <c r="W424" i="1"/>
  <c r="R424" i="1" s="1"/>
  <c r="P425" i="1" s="1"/>
  <c r="Y424" i="1"/>
  <c r="X424" i="1"/>
  <c r="S424" i="1" l="1"/>
  <c r="N425" i="1"/>
  <c r="O425" i="1" l="1"/>
  <c r="Q425" i="1"/>
  <c r="V425" i="1"/>
  <c r="T425" i="1"/>
  <c r="Z425" i="1" s="1"/>
  <c r="U425" i="1"/>
  <c r="Y425" i="1"/>
  <c r="X425" i="1"/>
  <c r="W425" i="1"/>
  <c r="R425" i="1" s="1"/>
  <c r="N426" i="1" l="1"/>
  <c r="P426" i="1"/>
  <c r="AA425" i="1"/>
  <c r="S425" i="1" s="1"/>
  <c r="AB425" i="1"/>
  <c r="Q426" i="1" l="1"/>
  <c r="O426" i="1"/>
  <c r="T426" i="1"/>
  <c r="W426" i="1" s="1"/>
  <c r="R426" i="1" s="1"/>
  <c r="P427" i="1" s="1"/>
  <c r="U426" i="1"/>
  <c r="X426" i="1" s="1"/>
  <c r="V426" i="1"/>
  <c r="Y426" i="1" s="1"/>
  <c r="N427" i="1"/>
  <c r="AA426" i="1" l="1"/>
  <c r="AB426" i="1"/>
  <c r="Z426" i="1"/>
  <c r="S426" i="1" s="1"/>
  <c r="O427" i="1" s="1"/>
  <c r="U427" i="1" l="1"/>
  <c r="X427" i="1" s="1"/>
  <c r="V427" i="1"/>
  <c r="Y427" i="1" s="1"/>
  <c r="T427" i="1"/>
  <c r="W427" i="1" s="1"/>
  <c r="R427" i="1" s="1"/>
  <c r="Q427" i="1"/>
  <c r="P428" i="1" l="1"/>
  <c r="N428" i="1"/>
  <c r="AB427" i="1"/>
  <c r="Z427" i="1"/>
  <c r="AA427" i="1"/>
  <c r="S427" i="1" l="1"/>
  <c r="Q428" i="1" l="1"/>
  <c r="O428" i="1"/>
  <c r="T428" i="1" l="1"/>
  <c r="W428" i="1" s="1"/>
  <c r="U428" i="1"/>
  <c r="X428" i="1" s="1"/>
  <c r="V428" i="1"/>
  <c r="Y428" i="1" s="1"/>
  <c r="R428" i="1" l="1"/>
  <c r="AB428" i="1"/>
  <c r="Z428" i="1"/>
  <c r="AA428" i="1"/>
  <c r="S428" i="1" l="1"/>
  <c r="P429" i="1"/>
  <c r="N429" i="1"/>
  <c r="O429" i="1" l="1"/>
  <c r="Q429" i="1"/>
  <c r="V429" i="1" l="1"/>
  <c r="Y429" i="1" s="1"/>
  <c r="T429" i="1"/>
  <c r="W429" i="1" s="1"/>
  <c r="U429" i="1"/>
  <c r="X429" i="1" s="1"/>
  <c r="AB429" i="1" l="1"/>
  <c r="R429" i="1"/>
  <c r="Z429" i="1"/>
  <c r="AA429" i="1"/>
  <c r="N430" i="1" l="1"/>
  <c r="P430" i="1"/>
  <c r="S429" i="1"/>
  <c r="O430" i="1" l="1"/>
  <c r="Q430" i="1"/>
  <c r="T430" i="1"/>
  <c r="W430" i="1" s="1"/>
  <c r="V430" i="1"/>
  <c r="Y430" i="1" s="1"/>
  <c r="U430" i="1"/>
  <c r="X430" i="1" s="1"/>
  <c r="R430" i="1" l="1"/>
  <c r="AA430" i="1"/>
  <c r="Z430" i="1"/>
  <c r="AB430" i="1"/>
  <c r="S430" i="1" l="1"/>
  <c r="P431" i="1"/>
  <c r="N431" i="1"/>
  <c r="O431" i="1" l="1"/>
  <c r="Q431" i="1"/>
  <c r="U431" i="1" l="1"/>
  <c r="X431" i="1" s="1"/>
  <c r="V431" i="1"/>
  <c r="T431" i="1"/>
  <c r="AB431" i="1" l="1"/>
  <c r="Y431" i="1"/>
  <c r="Z431" i="1"/>
  <c r="W431" i="1"/>
  <c r="R431" i="1" s="1"/>
  <c r="AA431" i="1"/>
  <c r="P432" i="1" l="1"/>
  <c r="N432" i="1"/>
  <c r="S431" i="1"/>
  <c r="Q432" i="1" l="1"/>
  <c r="O432" i="1"/>
  <c r="U432" i="1" l="1"/>
  <c r="X432" i="1" s="1"/>
  <c r="T432" i="1"/>
  <c r="V432" i="1"/>
  <c r="Z432" i="1" l="1"/>
  <c r="W432" i="1"/>
  <c r="AB432" i="1"/>
  <c r="Y432" i="1"/>
  <c r="AA432" i="1"/>
  <c r="R432" i="1" l="1"/>
  <c r="S432" i="1"/>
  <c r="Q433" i="1" l="1"/>
  <c r="O433" i="1"/>
  <c r="N433" i="1"/>
  <c r="P433" i="1"/>
  <c r="V433" i="1" l="1"/>
  <c r="AB433" i="1" s="1"/>
  <c r="U433" i="1"/>
  <c r="AA433" i="1" s="1"/>
  <c r="T433" i="1"/>
  <c r="Z433" i="1" s="1"/>
  <c r="X433" i="1"/>
  <c r="W433" i="1" l="1"/>
  <c r="R433" i="1" s="1"/>
  <c r="S433" i="1"/>
  <c r="Y433" i="1"/>
  <c r="P434" i="1" l="1"/>
  <c r="N434" i="1"/>
  <c r="O434" i="1"/>
  <c r="Q434" i="1"/>
  <c r="T434" i="1" l="1"/>
  <c r="Z434" i="1" s="1"/>
  <c r="V434" i="1"/>
  <c r="AB434" i="1" s="1"/>
  <c r="U434" i="1"/>
  <c r="X434" i="1" s="1"/>
  <c r="W434" i="1"/>
  <c r="Y434" i="1"/>
  <c r="AA434" i="1"/>
  <c r="S434" i="1" l="1"/>
  <c r="R434" i="1"/>
  <c r="P435" i="1" l="1"/>
  <c r="N435" i="1"/>
  <c r="Q435" i="1"/>
  <c r="O435" i="1"/>
  <c r="V435" i="1" l="1"/>
  <c r="AB435" i="1" s="1"/>
  <c r="T435" i="1"/>
  <c r="Z435" i="1" s="1"/>
  <c r="U435" i="1"/>
  <c r="W435" i="1"/>
  <c r="Y435" i="1"/>
  <c r="X435" i="1"/>
  <c r="AA435" i="1"/>
  <c r="S435" i="1" l="1"/>
  <c r="R435" i="1"/>
  <c r="N436" i="1" l="1"/>
  <c r="P436" i="1"/>
  <c r="O436" i="1"/>
  <c r="Q436" i="1"/>
  <c r="T436" i="1" l="1"/>
  <c r="Z436" i="1" s="1"/>
  <c r="U436" i="1"/>
  <c r="AA436" i="1" s="1"/>
  <c r="V436" i="1"/>
  <c r="AB436" i="1" s="1"/>
  <c r="X436" i="1"/>
  <c r="Y436" i="1" l="1"/>
  <c r="W436" i="1"/>
  <c r="R436" i="1" s="1"/>
  <c r="S436" i="1"/>
  <c r="P437" i="1" l="1"/>
  <c r="N437" i="1"/>
  <c r="O437" i="1"/>
  <c r="Q437" i="1"/>
  <c r="V437" i="1" l="1"/>
  <c r="AB437" i="1" s="1"/>
  <c r="U437" i="1"/>
  <c r="T437" i="1"/>
  <c r="Z437" i="1" s="1"/>
  <c r="S437" i="1" s="1"/>
  <c r="Q438" i="1" s="1"/>
  <c r="X437" i="1"/>
  <c r="Y437" i="1"/>
  <c r="AA437" i="1"/>
  <c r="W437" i="1" l="1"/>
  <c r="R437" i="1" s="1"/>
  <c r="O438" i="1"/>
  <c r="N438" i="1" l="1"/>
  <c r="P438" i="1"/>
  <c r="T438" i="1" l="1"/>
  <c r="Z438" i="1" s="1"/>
  <c r="V438" i="1"/>
  <c r="AB438" i="1" s="1"/>
  <c r="U438" i="1"/>
  <c r="AA438" i="1" s="1"/>
  <c r="W438" i="1"/>
  <c r="Y438" i="1"/>
  <c r="X438" i="1" l="1"/>
  <c r="R438" i="1" s="1"/>
  <c r="S438" i="1"/>
  <c r="P439" i="1" l="1"/>
  <c r="N439" i="1"/>
  <c r="Q439" i="1"/>
  <c r="O439" i="1"/>
  <c r="U439" i="1" l="1"/>
  <c r="X439" i="1"/>
  <c r="V439" i="1"/>
  <c r="AB439" i="1" s="1"/>
  <c r="T439" i="1"/>
  <c r="Z439" i="1" s="1"/>
  <c r="Y439" i="1"/>
  <c r="AA439" i="1"/>
  <c r="W439" i="1" l="1"/>
  <c r="R439" i="1" s="1"/>
  <c r="S439" i="1"/>
  <c r="O440" i="1" l="1"/>
  <c r="Q440" i="1"/>
  <c r="N440" i="1"/>
  <c r="P440" i="1"/>
  <c r="T440" i="1" l="1"/>
  <c r="V440" i="1"/>
  <c r="AB440" i="1" s="1"/>
  <c r="U440" i="1"/>
  <c r="X440" i="1" s="1"/>
  <c r="W440" i="1"/>
  <c r="AA440" i="1"/>
  <c r="Z440" i="1"/>
  <c r="S440" i="1" s="1"/>
  <c r="Q441" i="1" s="1"/>
  <c r="Y440" i="1" l="1"/>
  <c r="O441" i="1"/>
  <c r="R440" i="1"/>
  <c r="P441" i="1" l="1"/>
  <c r="N441" i="1"/>
  <c r="T441" i="1" l="1"/>
  <c r="Z441" i="1" s="1"/>
  <c r="V441" i="1"/>
  <c r="AB441" i="1" s="1"/>
  <c r="U441" i="1"/>
  <c r="AA441" i="1" s="1"/>
  <c r="W441" i="1"/>
  <c r="R441" i="1" s="1"/>
  <c r="X441" i="1"/>
  <c r="Y441" i="1"/>
  <c r="N442" i="1"/>
  <c r="P442" i="1"/>
  <c r="S441" i="1" l="1"/>
  <c r="Q442" i="1" l="1"/>
  <c r="O442" i="1"/>
  <c r="T442" i="1" l="1"/>
  <c r="U442" i="1"/>
  <c r="X442" i="1" s="1"/>
  <c r="V442" i="1"/>
  <c r="AB442" i="1" l="1"/>
  <c r="Y442" i="1"/>
  <c r="Z442" i="1"/>
  <c r="W442" i="1"/>
  <c r="R442" i="1" s="1"/>
  <c r="AA442" i="1"/>
  <c r="P443" i="1" l="1"/>
  <c r="N443" i="1"/>
  <c r="S442" i="1"/>
  <c r="Q443" i="1" l="1"/>
  <c r="O443" i="1"/>
  <c r="U443" i="1" s="1"/>
  <c r="X443" i="1" s="1"/>
  <c r="AA443" i="1" l="1"/>
  <c r="V443" i="1"/>
  <c r="Y443" i="1" s="1"/>
  <c r="T443" i="1"/>
  <c r="W443" i="1" s="1"/>
  <c r="R443" i="1" s="1"/>
  <c r="P444" i="1" l="1"/>
  <c r="N444" i="1"/>
  <c r="Z443" i="1"/>
  <c r="S443" i="1" s="1"/>
  <c r="AB443" i="1"/>
  <c r="Q444" i="1" l="1"/>
  <c r="O444" i="1"/>
  <c r="V444" i="1"/>
  <c r="Y444" i="1" s="1"/>
  <c r="U444" i="1"/>
  <c r="X444" i="1" s="1"/>
  <c r="T444" i="1"/>
  <c r="W444" i="1" s="1"/>
  <c r="R444" i="1" s="1"/>
  <c r="P445" i="1" s="1"/>
  <c r="N445" i="1" l="1"/>
  <c r="AA444" i="1"/>
  <c r="AB444" i="1"/>
  <c r="Z444" i="1"/>
  <c r="S444" i="1" s="1"/>
  <c r="O445" i="1" s="1"/>
  <c r="Q445" i="1" l="1"/>
  <c r="U445" i="1"/>
  <c r="AA445" i="1" s="1"/>
  <c r="T445" i="1"/>
  <c r="Z445" i="1" s="1"/>
  <c r="V445" i="1"/>
  <c r="AB445" i="1" s="1"/>
  <c r="Y445" i="1"/>
  <c r="X445" i="1"/>
  <c r="S445" i="1" l="1"/>
  <c r="W445" i="1"/>
  <c r="R445" i="1" s="1"/>
  <c r="Q446" i="1"/>
  <c r="O446" i="1"/>
  <c r="P446" i="1" l="1"/>
  <c r="N446" i="1"/>
  <c r="V446" i="1" l="1"/>
  <c r="AB446" i="1" s="1"/>
  <c r="U446" i="1"/>
  <c r="AA446" i="1" s="1"/>
  <c r="T446" i="1"/>
  <c r="Z446" i="1" s="1"/>
  <c r="S446" i="1" s="1"/>
  <c r="Y446" i="1"/>
  <c r="X446" i="1"/>
  <c r="W446" i="1"/>
  <c r="R446" i="1" s="1"/>
  <c r="N447" i="1" s="1"/>
  <c r="P447" i="1" l="1"/>
  <c r="Q447" i="1"/>
  <c r="O447" i="1"/>
  <c r="V447" i="1" s="1"/>
  <c r="AB447" i="1" l="1"/>
  <c r="Y447" i="1"/>
  <c r="T447" i="1"/>
  <c r="U447" i="1"/>
  <c r="X447" i="1" s="1"/>
  <c r="Z447" i="1" l="1"/>
  <c r="W447" i="1"/>
  <c r="R447" i="1" s="1"/>
  <c r="AA447" i="1"/>
  <c r="P448" i="1" l="1"/>
  <c r="N448" i="1"/>
  <c r="S447" i="1"/>
  <c r="Q448" i="1" l="1"/>
  <c r="O448" i="1"/>
  <c r="V448" i="1"/>
  <c r="Y448" i="1" s="1"/>
  <c r="T448" i="1"/>
  <c r="W448" i="1" s="1"/>
  <c r="Z448" i="1" l="1"/>
  <c r="AB448" i="1"/>
  <c r="U448" i="1"/>
  <c r="X448" i="1" s="1"/>
  <c r="R448" i="1" s="1"/>
  <c r="N449" i="1" l="1"/>
  <c r="P449" i="1"/>
  <c r="AA448" i="1"/>
  <c r="S448" i="1" s="1"/>
  <c r="O449" i="1" l="1"/>
  <c r="Q449" i="1"/>
  <c r="T449" i="1"/>
  <c r="Z449" i="1" s="1"/>
  <c r="V449" i="1"/>
  <c r="AB449" i="1" s="1"/>
  <c r="U449" i="1"/>
  <c r="X449" i="1" s="1"/>
  <c r="W449" i="1"/>
  <c r="Y449" i="1" l="1"/>
  <c r="R449" i="1"/>
  <c r="AA449" i="1"/>
  <c r="S449" i="1" s="1"/>
  <c r="Q450" i="1" l="1"/>
  <c r="O450" i="1"/>
  <c r="N450" i="1"/>
  <c r="P450" i="1"/>
  <c r="U450" i="1" l="1"/>
  <c r="AA450" i="1" s="1"/>
  <c r="T450" i="1"/>
  <c r="W450" i="1" s="1"/>
  <c r="V450" i="1"/>
  <c r="AB450" i="1" s="1"/>
  <c r="X450" i="1" l="1"/>
  <c r="R450" i="1" s="1"/>
  <c r="Y450" i="1"/>
  <c r="Z450" i="1"/>
  <c r="S450" i="1" s="1"/>
  <c r="P451" i="1" l="1"/>
  <c r="N451" i="1"/>
  <c r="Q451" i="1"/>
  <c r="O451" i="1"/>
  <c r="V451" i="1" l="1"/>
  <c r="AB451" i="1" s="1"/>
  <c r="U451" i="1"/>
  <c r="AA451" i="1" s="1"/>
  <c r="T451" i="1"/>
  <c r="Z451" i="1" s="1"/>
  <c r="Y451" i="1"/>
  <c r="W451" i="1"/>
  <c r="X451" i="1" l="1"/>
  <c r="R451" i="1" s="1"/>
  <c r="S451" i="1"/>
  <c r="P452" i="1" l="1"/>
  <c r="N452" i="1"/>
  <c r="Q452" i="1"/>
  <c r="O452" i="1"/>
  <c r="T452" i="1" l="1"/>
  <c r="Z452" i="1" s="1"/>
  <c r="V452" i="1"/>
  <c r="AB452" i="1" s="1"/>
  <c r="U452" i="1"/>
  <c r="Y452" i="1"/>
  <c r="X452" i="1"/>
  <c r="AA452" i="1"/>
  <c r="S452" i="1" l="1"/>
  <c r="W452" i="1"/>
  <c r="R452" i="1" s="1"/>
  <c r="N453" i="1" l="1"/>
  <c r="P453" i="1"/>
  <c r="O453" i="1"/>
  <c r="Q453" i="1"/>
  <c r="V453" i="1" l="1"/>
  <c r="AB453" i="1" s="1"/>
  <c r="U453" i="1"/>
  <c r="AA453" i="1" s="1"/>
  <c r="T453" i="1"/>
  <c r="Z453" i="1" s="1"/>
  <c r="Y453" i="1"/>
  <c r="W453" i="1"/>
  <c r="X453" i="1"/>
  <c r="R453" i="1" l="1"/>
  <c r="S453" i="1"/>
  <c r="O454" i="1" l="1"/>
  <c r="Q454" i="1"/>
  <c r="P454" i="1"/>
  <c r="N454" i="1"/>
  <c r="T454" i="1" l="1"/>
  <c r="V454" i="1"/>
  <c r="U454" i="1"/>
  <c r="X454" i="1" s="1"/>
  <c r="AA454" i="1"/>
  <c r="AB454" i="1" l="1"/>
  <c r="Y454" i="1"/>
  <c r="Z454" i="1"/>
  <c r="S454" i="1" s="1"/>
  <c r="W454" i="1"/>
  <c r="R454" i="1" s="1"/>
  <c r="N455" i="1" s="1"/>
  <c r="P455" i="1" l="1"/>
  <c r="Q455" i="1"/>
  <c r="O455" i="1"/>
  <c r="T455" i="1"/>
  <c r="Z455" i="1" s="1"/>
  <c r="V455" i="1"/>
  <c r="AB455" i="1" s="1"/>
  <c r="U455" i="1"/>
  <c r="W455" i="1"/>
  <c r="AA455" i="1" l="1"/>
  <c r="S455" i="1" s="1"/>
  <c r="Y455" i="1"/>
  <c r="X455" i="1"/>
  <c r="R455" i="1" s="1"/>
  <c r="N456" i="1" l="1"/>
  <c r="P456" i="1"/>
  <c r="Q456" i="1"/>
  <c r="O456" i="1"/>
  <c r="T456" i="1" l="1"/>
  <c r="Z456" i="1" s="1"/>
  <c r="U456" i="1"/>
  <c r="AA456" i="1" s="1"/>
  <c r="V456" i="1"/>
  <c r="AB456" i="1" s="1"/>
  <c r="Y456" i="1" l="1"/>
  <c r="X456" i="1"/>
  <c r="S456" i="1"/>
  <c r="W456" i="1"/>
  <c r="R456" i="1" s="1"/>
  <c r="N457" i="1" l="1"/>
  <c r="P457" i="1"/>
  <c r="O457" i="1"/>
  <c r="Q457" i="1"/>
  <c r="T457" i="1" l="1"/>
  <c r="W457" i="1" s="1"/>
  <c r="U457" i="1"/>
  <c r="X457" i="1" s="1"/>
  <c r="V457" i="1"/>
  <c r="Y457" i="1" s="1"/>
  <c r="AA457" i="1" l="1"/>
  <c r="R457" i="1"/>
  <c r="Z457" i="1"/>
  <c r="AB457" i="1"/>
  <c r="S457" i="1" l="1"/>
  <c r="N458" i="1"/>
  <c r="P458" i="1"/>
  <c r="O458" i="1" l="1"/>
  <c r="Q458" i="1"/>
  <c r="T458" i="1" l="1"/>
  <c r="W458" i="1" s="1"/>
  <c r="V458" i="1"/>
  <c r="Y458" i="1" s="1"/>
  <c r="U458" i="1"/>
  <c r="X458" i="1" s="1"/>
  <c r="R458" i="1" s="1"/>
  <c r="AA458" i="1" l="1"/>
  <c r="Z458" i="1"/>
  <c r="P459" i="1"/>
  <c r="N459" i="1"/>
  <c r="AB458" i="1"/>
  <c r="S458" i="1" s="1"/>
  <c r="Q459" i="1" l="1"/>
  <c r="O459" i="1"/>
  <c r="V459" i="1" l="1"/>
  <c r="AB459" i="1" s="1"/>
  <c r="U459" i="1"/>
  <c r="AA459" i="1" s="1"/>
  <c r="T459" i="1"/>
  <c r="Z459" i="1" s="1"/>
  <c r="Y459" i="1" l="1"/>
  <c r="S459" i="1"/>
  <c r="Q460" i="1" s="1"/>
  <c r="X459" i="1"/>
  <c r="W459" i="1"/>
  <c r="O460" i="1"/>
  <c r="R459" i="1" l="1"/>
  <c r="P460" i="1" l="1"/>
  <c r="N460" i="1"/>
  <c r="T460" i="1" l="1"/>
  <c r="U460" i="1"/>
  <c r="AA460" i="1" s="1"/>
  <c r="V460" i="1"/>
  <c r="AB460" i="1" s="1"/>
  <c r="Y460" i="1" l="1"/>
  <c r="X460" i="1"/>
  <c r="Z460" i="1"/>
  <c r="S460" i="1" s="1"/>
  <c r="W460" i="1"/>
  <c r="R460" i="1" s="1"/>
  <c r="P461" i="1" s="1"/>
  <c r="N461" i="1" l="1"/>
  <c r="O461" i="1"/>
  <c r="Q461" i="1"/>
  <c r="T461" i="1" l="1"/>
  <c r="Z461" i="1" s="1"/>
  <c r="V461" i="1"/>
  <c r="U461" i="1"/>
  <c r="AA461" i="1" s="1"/>
  <c r="S461" i="1" s="1"/>
  <c r="Q462" i="1" s="1"/>
  <c r="AB461" i="1"/>
  <c r="Y461" i="1"/>
  <c r="X461" i="1"/>
  <c r="W461" i="1"/>
  <c r="R461" i="1" s="1"/>
  <c r="O462" i="1" l="1"/>
  <c r="P462" i="1"/>
  <c r="N462" i="1"/>
  <c r="V462" i="1" l="1"/>
  <c r="AB462" i="1" s="1"/>
  <c r="U462" i="1"/>
  <c r="AA462" i="1" s="1"/>
  <c r="T462" i="1"/>
  <c r="Z462" i="1" s="1"/>
  <c r="Y462" i="1"/>
  <c r="X462" i="1"/>
  <c r="S462" i="1" l="1"/>
  <c r="Q463" i="1"/>
  <c r="O463" i="1"/>
  <c r="W462" i="1"/>
  <c r="R462" i="1" s="1"/>
  <c r="N463" i="1" l="1"/>
  <c r="P463" i="1"/>
  <c r="U463" i="1" l="1"/>
  <c r="AA463" i="1" s="1"/>
  <c r="T463" i="1"/>
  <c r="Z463" i="1" s="1"/>
  <c r="V463" i="1"/>
  <c r="AB463" i="1" s="1"/>
  <c r="S463" i="1" l="1"/>
  <c r="O464" i="1" s="1"/>
  <c r="X463" i="1"/>
  <c r="W463" i="1"/>
  <c r="Y463" i="1"/>
  <c r="R463" i="1" l="1"/>
  <c r="P464" i="1" s="1"/>
  <c r="Q464" i="1"/>
  <c r="N464" i="1"/>
  <c r="V464" i="1" l="1"/>
  <c r="AB464" i="1" s="1"/>
  <c r="T464" i="1"/>
  <c r="Z464" i="1" s="1"/>
  <c r="U464" i="1"/>
  <c r="AA464" i="1" s="1"/>
  <c r="Y464" i="1"/>
  <c r="X464" i="1" l="1"/>
  <c r="W464" i="1"/>
  <c r="R464" i="1" s="1"/>
  <c r="P465" i="1" s="1"/>
  <c r="S464" i="1"/>
  <c r="N465" i="1" l="1"/>
  <c r="O465" i="1"/>
  <c r="Q465" i="1"/>
  <c r="V465" i="1" l="1"/>
  <c r="AB465" i="1" s="1"/>
  <c r="T465" i="1"/>
  <c r="Z465" i="1" s="1"/>
  <c r="U465" i="1"/>
  <c r="AA465" i="1" s="1"/>
  <c r="Y465" i="1"/>
  <c r="W465" i="1" l="1"/>
  <c r="S465" i="1"/>
  <c r="O466" i="1" s="1"/>
  <c r="X465" i="1"/>
  <c r="R465" i="1" s="1"/>
  <c r="Q466" i="1" l="1"/>
  <c r="P466" i="1"/>
  <c r="N466" i="1"/>
  <c r="U466" i="1" l="1"/>
  <c r="AA466" i="1" s="1"/>
  <c r="V466" i="1"/>
  <c r="AB466" i="1" s="1"/>
  <c r="T466" i="1"/>
  <c r="Y466" i="1" l="1"/>
  <c r="W466" i="1"/>
  <c r="Z466" i="1"/>
  <c r="X466" i="1"/>
  <c r="S466" i="1" l="1"/>
  <c r="R466" i="1"/>
  <c r="P467" i="1" l="1"/>
  <c r="N467" i="1"/>
  <c r="Q467" i="1"/>
  <c r="O467" i="1"/>
  <c r="T467" i="1" l="1"/>
  <c r="W467" i="1" s="1"/>
  <c r="V467" i="1"/>
  <c r="U467" i="1"/>
  <c r="X467" i="1" s="1"/>
  <c r="Y467" i="1"/>
  <c r="Z467" i="1"/>
  <c r="AB467" i="1"/>
  <c r="AA467" i="1" l="1"/>
  <c r="R467" i="1"/>
  <c r="N468" i="1" s="1"/>
  <c r="S467" i="1"/>
  <c r="P468" i="1"/>
  <c r="O468" i="1" l="1"/>
  <c r="Q468" i="1"/>
  <c r="V468" i="1" l="1"/>
  <c r="U468" i="1"/>
  <c r="AA468" i="1" s="1"/>
  <c r="T468" i="1"/>
  <c r="AB468" i="1" l="1"/>
  <c r="Y468" i="1"/>
  <c r="Z468" i="1"/>
  <c r="W468" i="1"/>
  <c r="X468" i="1"/>
  <c r="R468" i="1" l="1"/>
  <c r="S468" i="1"/>
  <c r="O469" i="1" l="1"/>
  <c r="Q469" i="1"/>
  <c r="P469" i="1"/>
  <c r="N469" i="1"/>
  <c r="U469" i="1" l="1"/>
  <c r="AA469" i="1" s="1"/>
  <c r="T469" i="1"/>
  <c r="W469" i="1" s="1"/>
  <c r="V469" i="1"/>
  <c r="AB469" i="1" s="1"/>
  <c r="X469" i="1" l="1"/>
  <c r="Z469" i="1"/>
  <c r="S469" i="1" s="1"/>
  <c r="Y469" i="1"/>
  <c r="R469" i="1" l="1"/>
  <c r="N470" i="1"/>
  <c r="P470" i="1"/>
  <c r="O470" i="1"/>
  <c r="Q470" i="1"/>
  <c r="V470" i="1" l="1"/>
  <c r="AB470" i="1" s="1"/>
  <c r="T470" i="1"/>
  <c r="W470" i="1" s="1"/>
  <c r="U470" i="1"/>
  <c r="AA470" i="1" s="1"/>
  <c r="Y470" i="1" l="1"/>
  <c r="Z470" i="1"/>
  <c r="S470" i="1" s="1"/>
  <c r="X470" i="1"/>
  <c r="R470" i="1" s="1"/>
  <c r="O471" i="1" l="1"/>
  <c r="Q471" i="1"/>
  <c r="P471" i="1"/>
  <c r="N471" i="1"/>
  <c r="V471" i="1" l="1"/>
  <c r="Y471" i="1" s="1"/>
  <c r="U471" i="1"/>
  <c r="X471" i="1" s="1"/>
  <c r="T471" i="1"/>
  <c r="Z471" i="1" s="1"/>
  <c r="AB471" i="1"/>
  <c r="AA471" i="1" l="1"/>
  <c r="W471" i="1"/>
  <c r="R471" i="1" s="1"/>
  <c r="S471" i="1"/>
  <c r="O472" i="1" l="1"/>
  <c r="Q472" i="1"/>
  <c r="P472" i="1"/>
  <c r="N472" i="1"/>
  <c r="V472" i="1" l="1"/>
  <c r="AB472" i="1" s="1"/>
  <c r="U472" i="1"/>
  <c r="AA472" i="1" s="1"/>
  <c r="T472" i="1"/>
  <c r="Z472" i="1" s="1"/>
  <c r="X472" i="1" l="1"/>
  <c r="Y472" i="1"/>
  <c r="W472" i="1"/>
  <c r="R472" i="1" s="1"/>
  <c r="S472" i="1"/>
  <c r="P473" i="1" l="1"/>
  <c r="N473" i="1"/>
  <c r="Q473" i="1"/>
  <c r="O473" i="1"/>
  <c r="U473" i="1" l="1"/>
  <c r="X473" i="1" s="1"/>
  <c r="V473" i="1"/>
  <c r="Y473" i="1" s="1"/>
  <c r="T473" i="1"/>
  <c r="W473" i="1" s="1"/>
  <c r="R473" i="1" s="1"/>
  <c r="AA473" i="1" l="1"/>
  <c r="P474" i="1"/>
  <c r="N474" i="1"/>
  <c r="AB473" i="1"/>
  <c r="Z473" i="1"/>
  <c r="S473" i="1" l="1"/>
  <c r="O474" i="1" l="1"/>
  <c r="Q474" i="1"/>
  <c r="V474" i="1" l="1"/>
  <c r="Y474" i="1" s="1"/>
  <c r="U474" i="1"/>
  <c r="AA474" i="1" s="1"/>
  <c r="T474" i="1"/>
  <c r="Z474" i="1" l="1"/>
  <c r="W474" i="1"/>
  <c r="X474" i="1"/>
  <c r="AB474" i="1"/>
  <c r="S474" i="1" s="1"/>
  <c r="R474" i="1" l="1"/>
  <c r="Q475" i="1"/>
  <c r="O475" i="1"/>
  <c r="N475" i="1" l="1"/>
  <c r="P475" i="1"/>
  <c r="U475" i="1" l="1"/>
  <c r="AA475" i="1" s="1"/>
  <c r="T475" i="1"/>
  <c r="Z475" i="1" s="1"/>
  <c r="V475" i="1"/>
  <c r="AB475" i="1" s="1"/>
  <c r="Y475" i="1" l="1"/>
  <c r="S475" i="1"/>
  <c r="W475" i="1"/>
  <c r="X475" i="1"/>
  <c r="Q476" i="1" l="1"/>
  <c r="O476" i="1"/>
  <c r="R475" i="1"/>
  <c r="N476" i="1" l="1"/>
  <c r="P476" i="1"/>
  <c r="U476" i="1" l="1"/>
  <c r="AA476" i="1" s="1"/>
  <c r="T476" i="1"/>
  <c r="V476" i="1"/>
  <c r="W476" i="1" l="1"/>
  <c r="Z476" i="1"/>
  <c r="Y476" i="1"/>
  <c r="AB476" i="1"/>
  <c r="X476" i="1"/>
  <c r="S476" i="1" l="1"/>
  <c r="R476" i="1"/>
  <c r="P477" i="1" l="1"/>
  <c r="N477" i="1"/>
  <c r="Q477" i="1"/>
  <c r="O477" i="1"/>
  <c r="T477" i="1" l="1"/>
  <c r="W477" i="1" s="1"/>
  <c r="V477" i="1"/>
  <c r="AB477" i="1" s="1"/>
  <c r="U477" i="1"/>
  <c r="X477" i="1" s="1"/>
  <c r="Z477" i="1"/>
  <c r="AA477" i="1" l="1"/>
  <c r="Y477" i="1"/>
  <c r="R477" i="1" s="1"/>
  <c r="S477" i="1"/>
  <c r="N478" i="1" l="1"/>
  <c r="P478" i="1"/>
  <c r="Q478" i="1"/>
  <c r="O478" i="1"/>
  <c r="U478" i="1" l="1"/>
  <c r="AA478" i="1" s="1"/>
  <c r="X478" i="1"/>
  <c r="T478" i="1"/>
  <c r="Z478" i="1" s="1"/>
  <c r="V478" i="1"/>
  <c r="W478" i="1" l="1"/>
  <c r="AB478" i="1"/>
  <c r="S478" i="1" s="1"/>
  <c r="Y478" i="1"/>
  <c r="R478" i="1" l="1"/>
  <c r="P479" i="1" s="1"/>
  <c r="Q479" i="1"/>
  <c r="O479" i="1"/>
  <c r="N479" i="1" l="1"/>
  <c r="T479" i="1" s="1"/>
  <c r="Z479" i="1" s="1"/>
  <c r="V479" i="1" l="1"/>
  <c r="Y479" i="1" s="1"/>
  <c r="U479" i="1"/>
  <c r="AA479" i="1" s="1"/>
  <c r="S479" i="1" s="1"/>
  <c r="O480" i="1" s="1"/>
  <c r="AB479" i="1"/>
  <c r="W479" i="1"/>
  <c r="X479" i="1" l="1"/>
  <c r="Q480" i="1"/>
  <c r="R479" i="1"/>
  <c r="P480" i="1" l="1"/>
  <c r="N480" i="1"/>
  <c r="U480" i="1" l="1"/>
  <c r="AA480" i="1" s="1"/>
  <c r="V480" i="1"/>
  <c r="AB480" i="1" s="1"/>
  <c r="T480" i="1"/>
  <c r="Z480" i="1" s="1"/>
  <c r="X480" i="1"/>
  <c r="W480" i="1" l="1"/>
  <c r="Y480" i="1"/>
  <c r="R480" i="1" s="1"/>
  <c r="S480" i="1"/>
  <c r="P481" i="1" l="1"/>
  <c r="N481" i="1"/>
  <c r="Q481" i="1"/>
  <c r="O481" i="1"/>
  <c r="T481" i="1" l="1"/>
  <c r="Z481" i="1" s="1"/>
  <c r="V481" i="1"/>
  <c r="AB481" i="1" s="1"/>
  <c r="U481" i="1"/>
  <c r="AA481" i="1" s="1"/>
  <c r="W481" i="1"/>
  <c r="Y481" i="1" l="1"/>
  <c r="X481" i="1"/>
  <c r="R481" i="1"/>
  <c r="S481" i="1"/>
  <c r="P482" i="1" l="1"/>
  <c r="N482" i="1"/>
  <c r="Q482" i="1"/>
  <c r="O482" i="1"/>
  <c r="V482" i="1" l="1"/>
  <c r="AB482" i="1" s="1"/>
  <c r="U482" i="1"/>
  <c r="AA482" i="1" s="1"/>
  <c r="T482" i="1"/>
  <c r="Z482" i="1" s="1"/>
  <c r="Y482" i="1"/>
  <c r="X482" i="1"/>
  <c r="W482" i="1" l="1"/>
  <c r="R482" i="1"/>
  <c r="P483" i="1" s="1"/>
  <c r="N483" i="1"/>
  <c r="S482" i="1"/>
  <c r="O483" i="1" l="1"/>
  <c r="Q483" i="1"/>
  <c r="V483" i="1"/>
  <c r="Y483" i="1" s="1"/>
  <c r="U483" i="1"/>
  <c r="X483" i="1" s="1"/>
  <c r="T483" i="1" l="1"/>
  <c r="W483" i="1" s="1"/>
  <c r="AA483" i="1"/>
  <c r="R483" i="1"/>
  <c r="AB483" i="1"/>
  <c r="Z483" i="1"/>
  <c r="S483" i="1" l="1"/>
  <c r="Q484" i="1" s="1"/>
  <c r="O484" i="1"/>
  <c r="P484" i="1"/>
  <c r="N484" i="1"/>
  <c r="V484" i="1" l="1"/>
  <c r="U484" i="1"/>
  <c r="X484" i="1" s="1"/>
  <c r="Y484" i="1"/>
  <c r="T484" i="1"/>
  <c r="Z484" i="1" s="1"/>
  <c r="AB484" i="1"/>
  <c r="AA484" i="1" l="1"/>
  <c r="S484" i="1"/>
  <c r="W484" i="1"/>
  <c r="R484" i="1" s="1"/>
  <c r="Q485" i="1" l="1"/>
  <c r="O485" i="1"/>
  <c r="P485" i="1"/>
  <c r="N485" i="1"/>
  <c r="U485" i="1" l="1"/>
  <c r="AA485" i="1" s="1"/>
  <c r="V485" i="1"/>
  <c r="AB485" i="1" s="1"/>
  <c r="T485" i="1"/>
  <c r="Z485" i="1" s="1"/>
  <c r="S485" i="1" l="1"/>
  <c r="O486" i="1" s="1"/>
  <c r="Y485" i="1"/>
  <c r="W485" i="1"/>
  <c r="X485" i="1"/>
  <c r="Q486" i="1" l="1"/>
  <c r="R485" i="1"/>
  <c r="P486" i="1" s="1"/>
  <c r="N486" i="1" l="1"/>
  <c r="U486" i="1" s="1"/>
  <c r="AA486" i="1" s="1"/>
  <c r="T486" i="1" l="1"/>
  <c r="Z486" i="1" s="1"/>
  <c r="V486" i="1"/>
  <c r="AB486" i="1" s="1"/>
  <c r="X486" i="1"/>
  <c r="W486" i="1"/>
  <c r="Y486" i="1" l="1"/>
  <c r="R486" i="1" s="1"/>
  <c r="S486" i="1"/>
  <c r="P487" i="1" l="1"/>
  <c r="N487" i="1"/>
  <c r="Q487" i="1"/>
  <c r="O487" i="1"/>
  <c r="T487" i="1"/>
  <c r="Z487" i="1" s="1"/>
  <c r="V487" i="1"/>
  <c r="AB487" i="1" s="1"/>
  <c r="U487" i="1"/>
  <c r="W487" i="1"/>
  <c r="AA487" i="1" l="1"/>
  <c r="X487" i="1"/>
  <c r="S487" i="1"/>
  <c r="O488" i="1" s="1"/>
  <c r="Y487" i="1"/>
  <c r="R487" i="1" s="1"/>
  <c r="Q488" i="1" l="1"/>
  <c r="N488" i="1"/>
  <c r="P488" i="1"/>
  <c r="T488" i="1" l="1"/>
  <c r="Z488" i="1" s="1"/>
  <c r="V488" i="1"/>
  <c r="AB488" i="1" s="1"/>
  <c r="W488" i="1"/>
  <c r="U488" i="1"/>
  <c r="AA488" i="1" s="1"/>
  <c r="X488" i="1" l="1"/>
  <c r="S488" i="1"/>
  <c r="Q489" i="1" s="1"/>
  <c r="Y488" i="1"/>
  <c r="R488" i="1" s="1"/>
  <c r="O489" i="1" l="1"/>
  <c r="P489" i="1"/>
  <c r="N489" i="1"/>
  <c r="U489" i="1" l="1"/>
  <c r="AA489" i="1" s="1"/>
  <c r="T489" i="1"/>
  <c r="Z489" i="1" s="1"/>
  <c r="X489" i="1"/>
  <c r="V489" i="1"/>
  <c r="W489" i="1"/>
  <c r="Y489" i="1" l="1"/>
  <c r="R489" i="1" s="1"/>
  <c r="AB489" i="1"/>
  <c r="S489" i="1" s="1"/>
  <c r="N490" i="1" l="1"/>
  <c r="P490" i="1"/>
  <c r="O490" i="1"/>
  <c r="Q490" i="1"/>
  <c r="AA490" i="1" l="1"/>
  <c r="V490" i="1"/>
  <c r="AB490" i="1" s="1"/>
  <c r="T490" i="1"/>
  <c r="Z490" i="1" s="1"/>
  <c r="U490" i="1"/>
  <c r="S490" i="1" l="1"/>
  <c r="Q491" i="1" s="1"/>
  <c r="W490" i="1"/>
  <c r="Y490" i="1"/>
  <c r="O491" i="1"/>
  <c r="X490" i="1"/>
  <c r="R490" i="1" l="1"/>
  <c r="N491" i="1" l="1"/>
  <c r="P491" i="1"/>
  <c r="U491" i="1" l="1"/>
  <c r="AA491" i="1" s="1"/>
  <c r="T491" i="1"/>
  <c r="Z491" i="1" s="1"/>
  <c r="X491" i="1"/>
  <c r="V491" i="1"/>
  <c r="W491" i="1"/>
  <c r="Y491" i="1" l="1"/>
  <c r="R491" i="1" s="1"/>
  <c r="AB491" i="1"/>
  <c r="S491" i="1" s="1"/>
  <c r="P492" i="1" l="1"/>
  <c r="N492" i="1"/>
  <c r="Q492" i="1"/>
  <c r="O492" i="1"/>
  <c r="T492" i="1" l="1"/>
  <c r="Z492" i="1" s="1"/>
  <c r="U492" i="1"/>
  <c r="X492" i="1" s="1"/>
  <c r="V492" i="1"/>
  <c r="Y492" i="1" s="1"/>
  <c r="W492" i="1"/>
  <c r="AA492" i="1" l="1"/>
  <c r="AB492" i="1"/>
  <c r="S492" i="1" s="1"/>
  <c r="Q493" i="1" s="1"/>
  <c r="R492" i="1"/>
  <c r="O493" i="1" l="1"/>
  <c r="P493" i="1"/>
  <c r="N493" i="1"/>
  <c r="V493" i="1" l="1"/>
  <c r="T493" i="1"/>
  <c r="U493" i="1"/>
  <c r="AA493" i="1" s="1"/>
  <c r="W493" i="1" l="1"/>
  <c r="Z493" i="1"/>
  <c r="X493" i="1"/>
  <c r="Y493" i="1"/>
  <c r="AB493" i="1"/>
  <c r="S493" i="1" l="1"/>
  <c r="R493" i="1"/>
  <c r="N494" i="1" l="1"/>
  <c r="P494" i="1"/>
  <c r="Q494" i="1"/>
  <c r="O494" i="1"/>
  <c r="U494" i="1" l="1"/>
  <c r="AA494" i="1" s="1"/>
  <c r="T494" i="1"/>
  <c r="Z494" i="1" s="1"/>
  <c r="V494" i="1"/>
  <c r="AB494" i="1" s="1"/>
  <c r="Y494" i="1" l="1"/>
  <c r="S494" i="1"/>
  <c r="X494" i="1"/>
  <c r="W494" i="1"/>
  <c r="R494" i="1" s="1"/>
  <c r="O495" i="1" l="1"/>
  <c r="Q495" i="1"/>
  <c r="P495" i="1"/>
  <c r="N495" i="1"/>
  <c r="U495" i="1" l="1"/>
  <c r="AA495" i="1" s="1"/>
  <c r="V495" i="1"/>
  <c r="AB495" i="1" s="1"/>
  <c r="T495" i="1"/>
  <c r="Z495" i="1" s="1"/>
  <c r="S495" i="1" l="1"/>
  <c r="Q496" i="1" s="1"/>
  <c r="X495" i="1"/>
  <c r="Y495" i="1"/>
  <c r="W495" i="1"/>
  <c r="R495" i="1" s="1"/>
  <c r="P496" i="1" s="1"/>
  <c r="O496" i="1"/>
  <c r="N496" i="1" l="1"/>
  <c r="V496" i="1" s="1"/>
  <c r="U496" i="1" l="1"/>
  <c r="AA496" i="1" s="1"/>
  <c r="T496" i="1"/>
  <c r="AB496" i="1"/>
  <c r="Y496" i="1"/>
  <c r="X496" i="1" l="1"/>
  <c r="Z496" i="1"/>
  <c r="S496" i="1" s="1"/>
  <c r="Q497" i="1" s="1"/>
  <c r="W496" i="1"/>
  <c r="R496" i="1" s="1"/>
  <c r="P497" i="1" s="1"/>
  <c r="N497" i="1" l="1"/>
  <c r="O497" i="1"/>
  <c r="T497" i="1"/>
  <c r="Z497" i="1" s="1"/>
  <c r="U497" i="1"/>
  <c r="V497" i="1"/>
  <c r="AB497" i="1" s="1"/>
  <c r="W497" i="1"/>
  <c r="X497" i="1"/>
  <c r="AA497" i="1" l="1"/>
  <c r="Y497" i="1"/>
  <c r="R497" i="1"/>
  <c r="P498" i="1" s="1"/>
  <c r="S497" i="1"/>
  <c r="N498" i="1" l="1"/>
  <c r="O498" i="1"/>
  <c r="Q498" i="1"/>
  <c r="T498" i="1" l="1"/>
  <c r="Z498" i="1" s="1"/>
  <c r="V498" i="1"/>
  <c r="AB498" i="1" s="1"/>
  <c r="U498" i="1"/>
  <c r="AA498" i="1" s="1"/>
  <c r="Y498" i="1"/>
  <c r="W498" i="1"/>
  <c r="S498" i="1" l="1"/>
  <c r="X498" i="1"/>
  <c r="R498" i="1" s="1"/>
  <c r="P499" i="1" l="1"/>
  <c r="N499" i="1"/>
  <c r="Q499" i="1"/>
  <c r="O499" i="1"/>
  <c r="T499" i="1"/>
  <c r="Z499" i="1" s="1"/>
  <c r="V499" i="1"/>
  <c r="AB499" i="1" s="1"/>
  <c r="U499" i="1"/>
  <c r="W499" i="1" l="1"/>
  <c r="AA499" i="1"/>
  <c r="S499" i="1" s="1"/>
  <c r="Y499" i="1"/>
  <c r="X499" i="1"/>
  <c r="R499" i="1" s="1"/>
  <c r="N500" i="1" l="1"/>
  <c r="P500" i="1"/>
  <c r="O500" i="1"/>
  <c r="Q500" i="1"/>
  <c r="U500" i="1" l="1"/>
  <c r="X500" i="1" s="1"/>
  <c r="V500" i="1"/>
  <c r="AB500" i="1" s="1"/>
  <c r="T500" i="1"/>
  <c r="Z500" i="1" s="1"/>
  <c r="AA500" i="1" l="1"/>
  <c r="Y500" i="1"/>
  <c r="S500" i="1"/>
  <c r="W500" i="1"/>
  <c r="R500" i="1" s="1"/>
  <c r="Q501" i="1" l="1"/>
  <c r="O501" i="1"/>
  <c r="P501" i="1"/>
  <c r="N501" i="1"/>
  <c r="U501" i="1" l="1"/>
  <c r="AA501" i="1" s="1"/>
  <c r="T501" i="1"/>
  <c r="Z501" i="1" s="1"/>
  <c r="V501" i="1"/>
  <c r="Y501" i="1" s="1"/>
  <c r="W501" i="1" l="1"/>
  <c r="AB501" i="1"/>
  <c r="S501" i="1" s="1"/>
  <c r="X501" i="1"/>
  <c r="O502" i="1" l="1"/>
  <c r="Q502" i="1"/>
  <c r="R501" i="1"/>
  <c r="N502" i="1" l="1"/>
  <c r="P502" i="1"/>
  <c r="T502" i="1" l="1"/>
  <c r="Z502" i="1" s="1"/>
  <c r="V502" i="1"/>
  <c r="AB502" i="1" s="1"/>
  <c r="U502" i="1"/>
  <c r="AA502" i="1" s="1"/>
  <c r="W502" i="1"/>
  <c r="Y502" i="1" l="1"/>
  <c r="X502" i="1"/>
  <c r="R502" i="1" s="1"/>
  <c r="S502" i="1"/>
  <c r="Q503" i="1" l="1"/>
  <c r="O503" i="1"/>
  <c r="P503" i="1"/>
  <c r="N503" i="1"/>
  <c r="T503" i="1" l="1"/>
  <c r="Z503" i="1" s="1"/>
  <c r="V503" i="1"/>
  <c r="AB503" i="1" s="1"/>
  <c r="U503" i="1"/>
  <c r="AA503" i="1" s="1"/>
  <c r="W503" i="1"/>
  <c r="X503" i="1" l="1"/>
  <c r="S503" i="1"/>
  <c r="Y503" i="1"/>
  <c r="R503" i="1" s="1"/>
  <c r="P504" i="1" l="1"/>
  <c r="N504" i="1"/>
  <c r="O504" i="1"/>
  <c r="Q504" i="1"/>
  <c r="V504" i="1" l="1"/>
  <c r="AB504" i="1" s="1"/>
  <c r="U504" i="1"/>
  <c r="AA504" i="1" s="1"/>
  <c r="Y504" i="1"/>
  <c r="T504" i="1"/>
  <c r="Z504" i="1" s="1"/>
  <c r="X504" i="1"/>
  <c r="W504" i="1" l="1"/>
  <c r="R504" i="1" s="1"/>
  <c r="N505" i="1" s="1"/>
  <c r="S504" i="1"/>
  <c r="P505" i="1" l="1"/>
  <c r="Q505" i="1"/>
  <c r="O505" i="1"/>
  <c r="T505" i="1" l="1"/>
  <c r="W505" i="1" s="1"/>
  <c r="V505" i="1"/>
  <c r="Y505" i="1" s="1"/>
  <c r="U505" i="1"/>
  <c r="X505" i="1" s="1"/>
  <c r="AA505" i="1" l="1"/>
  <c r="R505" i="1"/>
  <c r="Z505" i="1"/>
  <c r="AB505" i="1"/>
  <c r="S505" i="1" l="1"/>
  <c r="O506" i="1"/>
  <c r="Q506" i="1"/>
  <c r="N506" i="1"/>
  <c r="P506" i="1"/>
  <c r="T506" i="1" l="1"/>
  <c r="W506" i="1" s="1"/>
  <c r="U506" i="1"/>
  <c r="X506" i="1" s="1"/>
  <c r="V506" i="1"/>
  <c r="Y506" i="1" s="1"/>
  <c r="Z506" i="1"/>
  <c r="AA506" i="1" l="1"/>
  <c r="R506" i="1"/>
  <c r="N507" i="1" s="1"/>
  <c r="AB506" i="1"/>
  <c r="S506" i="1" s="1"/>
  <c r="P507" i="1"/>
  <c r="O507" i="1" l="1"/>
  <c r="Q507" i="1"/>
  <c r="V507" i="1" l="1"/>
  <c r="T507" i="1"/>
  <c r="U507" i="1"/>
  <c r="AA507" i="1" s="1"/>
  <c r="X507" i="1" l="1"/>
  <c r="Z507" i="1"/>
  <c r="W507" i="1"/>
  <c r="AB507" i="1"/>
  <c r="Y507" i="1"/>
  <c r="S507" i="1" l="1"/>
  <c r="R507" i="1"/>
  <c r="N508" i="1" l="1"/>
  <c r="P508" i="1"/>
  <c r="O508" i="1"/>
  <c r="Q508" i="1"/>
  <c r="V508" i="1" l="1"/>
  <c r="AB508" i="1" s="1"/>
  <c r="T508" i="1"/>
  <c r="Z508" i="1" s="1"/>
  <c r="U508" i="1"/>
  <c r="AA508" i="1" s="1"/>
  <c r="W508" i="1" l="1"/>
  <c r="Y508" i="1"/>
  <c r="X508" i="1"/>
  <c r="R508" i="1" s="1"/>
  <c r="S508" i="1"/>
  <c r="N509" i="1" l="1"/>
  <c r="P509" i="1"/>
  <c r="Q509" i="1"/>
  <c r="O509" i="1"/>
  <c r="U509" i="1" l="1"/>
  <c r="AA509" i="1" s="1"/>
  <c r="T509" i="1"/>
  <c r="Z509" i="1" s="1"/>
  <c r="V509" i="1"/>
  <c r="W509" i="1" l="1"/>
  <c r="AB509" i="1"/>
  <c r="Y509" i="1"/>
  <c r="S509" i="1"/>
  <c r="X509" i="1"/>
  <c r="R509" i="1" l="1"/>
  <c r="N510" i="1"/>
  <c r="P510" i="1"/>
  <c r="Q510" i="1"/>
  <c r="O510" i="1"/>
  <c r="V510" i="1" l="1"/>
  <c r="AB510" i="1" s="1"/>
  <c r="U510" i="1"/>
  <c r="AA510" i="1" s="1"/>
  <c r="T510" i="1"/>
  <c r="Z510" i="1" l="1"/>
  <c r="S510" i="1" s="1"/>
  <c r="W510" i="1"/>
  <c r="X510" i="1"/>
  <c r="Y510" i="1"/>
  <c r="R510" i="1" l="1"/>
  <c r="N511" i="1"/>
  <c r="P511" i="1"/>
  <c r="Q511" i="1"/>
  <c r="O511" i="1"/>
  <c r="V511" i="1" l="1"/>
  <c r="U511" i="1"/>
  <c r="AA511" i="1" s="1"/>
  <c r="T511" i="1"/>
  <c r="Z511" i="1" l="1"/>
  <c r="W511" i="1"/>
  <c r="X511" i="1"/>
  <c r="AB511" i="1"/>
  <c r="Y511" i="1"/>
  <c r="S511" i="1" l="1"/>
  <c r="R511" i="1"/>
  <c r="Q512" i="1"/>
  <c r="O512" i="1"/>
  <c r="N512" i="1" l="1"/>
  <c r="P512" i="1"/>
  <c r="V512" i="1" l="1"/>
  <c r="AB512" i="1" s="1"/>
  <c r="T512" i="1"/>
  <c r="Z512" i="1" s="1"/>
  <c r="U512" i="1"/>
  <c r="AA512" i="1" s="1"/>
  <c r="Y512" i="1" l="1"/>
  <c r="S512" i="1"/>
  <c r="X512" i="1"/>
  <c r="W512" i="1"/>
  <c r="R512" i="1" s="1"/>
  <c r="O513" i="1" l="1"/>
  <c r="Q513" i="1"/>
  <c r="N513" i="1"/>
  <c r="P513" i="1"/>
  <c r="V513" i="1" l="1"/>
  <c r="AB513" i="1" s="1"/>
  <c r="U513" i="1"/>
  <c r="AA513" i="1" s="1"/>
  <c r="T513" i="1"/>
  <c r="Z513" i="1" s="1"/>
  <c r="Y513" i="1"/>
  <c r="X513" i="1" l="1"/>
  <c r="S513" i="1"/>
  <c r="W513" i="1"/>
  <c r="R513" i="1" s="1"/>
  <c r="O514" i="1" l="1"/>
  <c r="Q514" i="1"/>
  <c r="N514" i="1"/>
  <c r="P514" i="1"/>
  <c r="T514" i="1" l="1"/>
  <c r="U514" i="1"/>
  <c r="AA514" i="1" s="1"/>
  <c r="V514" i="1"/>
  <c r="Y514" i="1" s="1"/>
  <c r="W514" i="1"/>
  <c r="Z514" i="1"/>
  <c r="AB514" i="1"/>
  <c r="X514" i="1" l="1"/>
  <c r="R514" i="1" s="1"/>
  <c r="S514" i="1"/>
  <c r="N515" i="1" l="1"/>
  <c r="P515" i="1"/>
  <c r="O515" i="1"/>
  <c r="Q515" i="1"/>
  <c r="V515" i="1" l="1"/>
  <c r="T515" i="1"/>
  <c r="W515" i="1" s="1"/>
  <c r="U515" i="1"/>
  <c r="AA515" i="1" s="1"/>
  <c r="Z515" i="1" l="1"/>
  <c r="X515" i="1"/>
  <c r="AB515" i="1"/>
  <c r="Y515" i="1"/>
  <c r="R515" i="1" s="1"/>
  <c r="S515" i="1" l="1"/>
  <c r="P516" i="1"/>
  <c r="N516" i="1"/>
  <c r="Q516" i="1"/>
  <c r="O516" i="1"/>
  <c r="U516" i="1" l="1"/>
  <c r="AA516" i="1" s="1"/>
  <c r="T516" i="1"/>
  <c r="V516" i="1"/>
  <c r="AB516" i="1" s="1"/>
  <c r="Z516" i="1" l="1"/>
  <c r="S516" i="1" s="1"/>
  <c r="W516" i="1"/>
  <c r="Y516" i="1"/>
  <c r="X516" i="1"/>
  <c r="R516" i="1" l="1"/>
  <c r="O517" i="1"/>
  <c r="Q517" i="1"/>
  <c r="N517" i="1" l="1"/>
  <c r="P517" i="1"/>
  <c r="T517" i="1" l="1"/>
  <c r="Z517" i="1" s="1"/>
  <c r="V517" i="1"/>
  <c r="AB517" i="1" s="1"/>
  <c r="U517" i="1"/>
  <c r="AA517" i="1" s="1"/>
  <c r="W517" i="1"/>
  <c r="X517" i="1" l="1"/>
  <c r="Y517" i="1"/>
  <c r="R517" i="1" s="1"/>
  <c r="S517" i="1"/>
  <c r="P518" i="1" l="1"/>
  <c r="N518" i="1"/>
  <c r="Q518" i="1"/>
  <c r="O518" i="1"/>
  <c r="U518" i="1" l="1"/>
  <c r="AA518" i="1" s="1"/>
  <c r="T518" i="1"/>
  <c r="Z518" i="1" s="1"/>
  <c r="V518" i="1"/>
  <c r="W518" i="1" l="1"/>
  <c r="AB518" i="1"/>
  <c r="Y518" i="1"/>
  <c r="S518" i="1"/>
  <c r="X518" i="1"/>
  <c r="R518" i="1" s="1"/>
  <c r="N519" i="1" l="1"/>
  <c r="P519" i="1"/>
  <c r="O519" i="1"/>
  <c r="Q519" i="1"/>
  <c r="AA519" i="1" l="1"/>
  <c r="U519" i="1"/>
  <c r="V519" i="1"/>
  <c r="AB519" i="1" s="1"/>
  <c r="T519" i="1"/>
  <c r="Y519" i="1" l="1"/>
  <c r="Z519" i="1"/>
  <c r="S519" i="1" s="1"/>
  <c r="W519" i="1"/>
  <c r="X519" i="1"/>
  <c r="R519" i="1" l="1"/>
  <c r="O520" i="1"/>
  <c r="Q520" i="1"/>
  <c r="P520" i="1" l="1"/>
  <c r="N520" i="1"/>
  <c r="U520" i="1" l="1"/>
  <c r="AA520" i="1" s="1"/>
  <c r="T520" i="1"/>
  <c r="V520" i="1"/>
  <c r="X520" i="1" l="1"/>
  <c r="Y520" i="1"/>
  <c r="AB520" i="1"/>
  <c r="W520" i="1"/>
  <c r="R520" i="1" s="1"/>
  <c r="Z520" i="1"/>
  <c r="S520" i="1" s="1"/>
  <c r="P521" i="1" l="1"/>
  <c r="N521" i="1"/>
  <c r="O521" i="1"/>
  <c r="Q521" i="1"/>
  <c r="U521" i="1" l="1"/>
  <c r="AA521" i="1" s="1"/>
  <c r="V521" i="1"/>
  <c r="AB521" i="1" s="1"/>
  <c r="T521" i="1"/>
  <c r="Z521" i="1" s="1"/>
  <c r="X521" i="1"/>
  <c r="S521" i="1" l="1"/>
  <c r="Q522" i="1" s="1"/>
  <c r="W521" i="1"/>
  <c r="Y521" i="1"/>
  <c r="O522" i="1"/>
  <c r="R521" i="1" l="1"/>
  <c r="N522" i="1" l="1"/>
  <c r="P522" i="1"/>
  <c r="T522" i="1" l="1"/>
  <c r="Z522" i="1" s="1"/>
  <c r="U522" i="1"/>
  <c r="AA522" i="1" s="1"/>
  <c r="V522" i="1"/>
  <c r="AB522" i="1" s="1"/>
  <c r="W522" i="1"/>
  <c r="X522" i="1" l="1"/>
  <c r="Y522" i="1"/>
  <c r="R522" i="1" s="1"/>
  <c r="S522" i="1"/>
  <c r="P523" i="1" l="1"/>
  <c r="N523" i="1"/>
  <c r="Q523" i="1"/>
  <c r="O523" i="1"/>
  <c r="T523" i="1" l="1"/>
  <c r="Z523" i="1" s="1"/>
  <c r="V523" i="1"/>
  <c r="AB523" i="1" s="1"/>
  <c r="U523" i="1"/>
  <c r="AA523" i="1" l="1"/>
  <c r="S523" i="1" s="1"/>
  <c r="W523" i="1"/>
  <c r="Y523" i="1"/>
  <c r="X523" i="1"/>
  <c r="R523" i="1" s="1"/>
  <c r="Q524" i="1" l="1"/>
  <c r="O524" i="1"/>
  <c r="P524" i="1"/>
  <c r="N524" i="1"/>
  <c r="V524" i="1" l="1"/>
  <c r="AB524" i="1" s="1"/>
  <c r="T524" i="1"/>
  <c r="Z524" i="1" s="1"/>
  <c r="Y524" i="1"/>
  <c r="U524" i="1"/>
  <c r="AA524" i="1" s="1"/>
  <c r="W524" i="1"/>
  <c r="X524" i="1" l="1"/>
  <c r="R524" i="1"/>
  <c r="S524" i="1"/>
  <c r="Q525" i="1" l="1"/>
  <c r="O525" i="1"/>
  <c r="P525" i="1"/>
  <c r="N525" i="1"/>
  <c r="U525" i="1" l="1"/>
  <c r="AA525" i="1" s="1"/>
  <c r="T525" i="1"/>
  <c r="Z525" i="1" s="1"/>
  <c r="V525" i="1"/>
  <c r="AB525" i="1" s="1"/>
  <c r="X525" i="1"/>
  <c r="S525" i="1" l="1"/>
  <c r="Q526" i="1" s="1"/>
  <c r="W525" i="1"/>
  <c r="O526" i="1"/>
  <c r="Y525" i="1"/>
  <c r="R525" i="1" s="1"/>
  <c r="P526" i="1" l="1"/>
  <c r="N526" i="1"/>
  <c r="T526" i="1" l="1"/>
  <c r="Z526" i="1" s="1"/>
  <c r="V526" i="1"/>
  <c r="AB526" i="1" s="1"/>
  <c r="U526" i="1"/>
  <c r="AA526" i="1" s="1"/>
  <c r="S526" i="1" l="1"/>
  <c r="Y526" i="1"/>
  <c r="X526" i="1"/>
  <c r="W526" i="1"/>
  <c r="R526" i="1" l="1"/>
  <c r="Q527" i="1"/>
  <c r="O527" i="1"/>
  <c r="P527" i="1" l="1"/>
  <c r="N527" i="1"/>
  <c r="T527" i="1" l="1"/>
  <c r="Z527" i="1" s="1"/>
  <c r="U527" i="1"/>
  <c r="AA527" i="1" s="1"/>
  <c r="V527" i="1"/>
  <c r="AB527" i="1" s="1"/>
  <c r="X527" i="1"/>
  <c r="Y527" i="1" l="1"/>
  <c r="S527" i="1"/>
  <c r="W527" i="1"/>
  <c r="R527" i="1" s="1"/>
  <c r="P528" i="1" l="1"/>
  <c r="N528" i="1"/>
  <c r="Q528" i="1"/>
  <c r="O528" i="1"/>
  <c r="V528" i="1" l="1"/>
  <c r="AB528" i="1" s="1"/>
  <c r="T528" i="1"/>
  <c r="W528" i="1" s="1"/>
  <c r="U528" i="1"/>
  <c r="AA528" i="1" s="1"/>
  <c r="Y528" i="1"/>
  <c r="X528" i="1" l="1"/>
  <c r="R528" i="1" s="1"/>
  <c r="Z528" i="1"/>
  <c r="S528" i="1" s="1"/>
  <c r="Q529" i="1" l="1"/>
  <c r="O529" i="1"/>
  <c r="N529" i="1"/>
  <c r="P529" i="1"/>
  <c r="T529" i="1" l="1"/>
  <c r="W529" i="1" s="1"/>
  <c r="U529" i="1"/>
  <c r="X529" i="1" s="1"/>
  <c r="V529" i="1"/>
  <c r="AB529" i="1" s="1"/>
  <c r="AA529" i="1" l="1"/>
  <c r="Y529" i="1"/>
  <c r="R529" i="1" s="1"/>
  <c r="Z529" i="1"/>
  <c r="S529" i="1" l="1"/>
  <c r="N530" i="1"/>
  <c r="P530" i="1"/>
  <c r="Q530" i="1"/>
  <c r="O530" i="1"/>
  <c r="T530" i="1" l="1"/>
  <c r="Z530" i="1" s="1"/>
  <c r="U530" i="1"/>
  <c r="X530" i="1" s="1"/>
  <c r="V530" i="1"/>
  <c r="Y530" i="1" s="1"/>
  <c r="AA530" i="1" l="1"/>
  <c r="W530" i="1"/>
  <c r="R530" i="1" s="1"/>
  <c r="AB530" i="1"/>
  <c r="S530" i="1" l="1"/>
  <c r="Q531" i="1" s="1"/>
  <c r="O531" i="1"/>
  <c r="N531" i="1"/>
  <c r="P531" i="1"/>
  <c r="V531" i="1" l="1"/>
  <c r="AB531" i="1" s="1"/>
  <c r="U531" i="1"/>
  <c r="AA531" i="1" s="1"/>
  <c r="T531" i="1"/>
  <c r="Z531" i="1" s="1"/>
  <c r="Y531" i="1"/>
  <c r="S531" i="1" l="1"/>
  <c r="O532" i="1" s="1"/>
  <c r="X531" i="1"/>
  <c r="W531" i="1"/>
  <c r="R531" i="1" s="1"/>
  <c r="Q532" i="1"/>
  <c r="P532" i="1" l="1"/>
  <c r="N532" i="1"/>
  <c r="V532" i="1" l="1"/>
  <c r="AB532" i="1" s="1"/>
  <c r="U532" i="1"/>
  <c r="AA532" i="1" s="1"/>
  <c r="T532" i="1"/>
  <c r="Z532" i="1" s="1"/>
  <c r="Y532" i="1"/>
  <c r="X532" i="1" l="1"/>
  <c r="W532" i="1"/>
  <c r="R532" i="1" s="1"/>
  <c r="P533" i="1" s="1"/>
  <c r="S532" i="1"/>
  <c r="N533" i="1" l="1"/>
  <c r="Q533" i="1"/>
  <c r="O533" i="1"/>
  <c r="V533" i="1" l="1"/>
  <c r="AB533" i="1" s="1"/>
  <c r="T533" i="1"/>
  <c r="Z533" i="1" s="1"/>
  <c r="U533" i="1"/>
  <c r="AA533" i="1" s="1"/>
  <c r="Y533" i="1"/>
  <c r="W533" i="1" l="1"/>
  <c r="S533" i="1"/>
  <c r="X533" i="1"/>
  <c r="R533" i="1" s="1"/>
  <c r="N534" i="1" l="1"/>
  <c r="P534" i="1"/>
  <c r="O534" i="1"/>
  <c r="Q534" i="1"/>
  <c r="T534" i="1" l="1"/>
  <c r="V534" i="1"/>
  <c r="AB534" i="1" s="1"/>
  <c r="Z534" i="1"/>
  <c r="W534" i="1"/>
  <c r="U534" i="1"/>
  <c r="AA534" i="1" s="1"/>
  <c r="Y534" i="1"/>
  <c r="S534" i="1" l="1"/>
  <c r="X534" i="1"/>
  <c r="R534" i="1" s="1"/>
  <c r="N535" i="1" s="1"/>
  <c r="Q535" i="1"/>
  <c r="O535" i="1"/>
  <c r="P535" i="1" l="1"/>
  <c r="V535" i="1"/>
  <c r="AB535" i="1" s="1"/>
  <c r="U535" i="1"/>
  <c r="X535" i="1" s="1"/>
  <c r="T535" i="1"/>
  <c r="Z535" i="1" s="1"/>
  <c r="Y535" i="1"/>
  <c r="AA535" i="1" l="1"/>
  <c r="W535" i="1"/>
  <c r="R535" i="1" s="1"/>
  <c r="S535" i="1"/>
  <c r="Q536" i="1" l="1"/>
  <c r="O536" i="1"/>
  <c r="N536" i="1"/>
  <c r="P536" i="1"/>
  <c r="V536" i="1" l="1"/>
  <c r="AB536" i="1" s="1"/>
  <c r="T536" i="1"/>
  <c r="Z536" i="1" s="1"/>
  <c r="U536" i="1"/>
  <c r="AA536" i="1" s="1"/>
  <c r="W536" i="1" l="1"/>
  <c r="X536" i="1"/>
  <c r="Y536" i="1"/>
  <c r="S536" i="1"/>
  <c r="R536" i="1" l="1"/>
  <c r="P537" i="1" s="1"/>
  <c r="N537" i="1"/>
  <c r="O537" i="1"/>
  <c r="Q537" i="1"/>
  <c r="U537" i="1" l="1"/>
  <c r="X537" i="1" s="1"/>
  <c r="T537" i="1"/>
  <c r="Z537" i="1" s="1"/>
  <c r="V537" i="1"/>
  <c r="AB537" i="1" s="1"/>
  <c r="AA537" i="1" l="1"/>
  <c r="Y537" i="1"/>
  <c r="W537" i="1"/>
  <c r="S537" i="1"/>
  <c r="R537" i="1" l="1"/>
  <c r="O538" i="1"/>
  <c r="Q538" i="1"/>
  <c r="P538" i="1"/>
  <c r="N538" i="1"/>
  <c r="T538" i="1" l="1"/>
  <c r="Z538" i="1" s="1"/>
  <c r="U538" i="1"/>
  <c r="AA538" i="1" s="1"/>
  <c r="V538" i="1"/>
  <c r="AB538" i="1" s="1"/>
  <c r="W538" i="1"/>
  <c r="X538" i="1" l="1"/>
  <c r="Y538" i="1"/>
  <c r="R538" i="1"/>
  <c r="P539" i="1" s="1"/>
  <c r="S538" i="1"/>
  <c r="N539" i="1" l="1"/>
  <c r="Q539" i="1"/>
  <c r="O539" i="1"/>
  <c r="V539" i="1" l="1"/>
  <c r="Y539" i="1" s="1"/>
  <c r="U539" i="1"/>
  <c r="AA539" i="1" s="1"/>
  <c r="T539" i="1"/>
  <c r="W539" i="1" s="1"/>
  <c r="AB539" i="1" l="1"/>
  <c r="X539" i="1"/>
  <c r="R539" i="1" s="1"/>
  <c r="Z539" i="1"/>
  <c r="S539" i="1" s="1"/>
  <c r="O540" i="1" l="1"/>
  <c r="Q540" i="1"/>
  <c r="N540" i="1"/>
  <c r="P540" i="1"/>
  <c r="T540" i="1" l="1"/>
  <c r="Z540" i="1" s="1"/>
  <c r="U540" i="1"/>
  <c r="AA540" i="1" s="1"/>
  <c r="V540" i="1"/>
  <c r="X540" i="1" l="1"/>
  <c r="Y540" i="1"/>
  <c r="AB540" i="1"/>
  <c r="S540" i="1" s="1"/>
  <c r="W540" i="1"/>
  <c r="O541" i="1" l="1"/>
  <c r="Q541" i="1"/>
  <c r="R540" i="1"/>
  <c r="P541" i="1" l="1"/>
  <c r="N541" i="1"/>
  <c r="U541" i="1" l="1"/>
  <c r="AA541" i="1" s="1"/>
  <c r="V541" i="1"/>
  <c r="T541" i="1"/>
  <c r="W541" i="1" l="1"/>
  <c r="Z541" i="1"/>
  <c r="Y541" i="1"/>
  <c r="AB541" i="1"/>
  <c r="X541" i="1"/>
  <c r="R541" i="1" l="1"/>
  <c r="S541" i="1"/>
  <c r="P542" i="1"/>
  <c r="N542" i="1"/>
  <c r="Q542" i="1" l="1"/>
  <c r="O542" i="1"/>
  <c r="T542" i="1" l="1"/>
  <c r="V542" i="1"/>
  <c r="U542" i="1"/>
  <c r="AA542" i="1" s="1"/>
  <c r="X542" i="1" l="1"/>
  <c r="AB542" i="1"/>
  <c r="Y542" i="1"/>
  <c r="Z542" i="1"/>
  <c r="W542" i="1"/>
  <c r="R542" i="1" l="1"/>
  <c r="S542" i="1"/>
  <c r="N543" i="1"/>
  <c r="P543" i="1"/>
  <c r="Q543" i="1"/>
  <c r="O543" i="1"/>
  <c r="T543" i="1" l="1"/>
  <c r="Z543" i="1" s="1"/>
  <c r="V543" i="1"/>
  <c r="AB543" i="1" s="1"/>
  <c r="U543" i="1"/>
  <c r="AA543" i="1" s="1"/>
  <c r="Y543" i="1" l="1"/>
  <c r="S543" i="1"/>
  <c r="O544" i="1" s="1"/>
  <c r="X543" i="1"/>
  <c r="W543" i="1"/>
  <c r="R543" i="1" s="1"/>
  <c r="Q544" i="1" l="1"/>
  <c r="P544" i="1"/>
  <c r="N544" i="1"/>
  <c r="T544" i="1" l="1"/>
  <c r="Z544" i="1" s="1"/>
  <c r="U544" i="1"/>
  <c r="AA544" i="1" s="1"/>
  <c r="V544" i="1"/>
  <c r="AB544" i="1" s="1"/>
  <c r="X544" i="1"/>
  <c r="W544" i="1"/>
  <c r="Y544" i="1" l="1"/>
  <c r="R544" i="1"/>
  <c r="N545" i="1" s="1"/>
  <c r="S544" i="1"/>
  <c r="P545" i="1" l="1"/>
  <c r="Q545" i="1"/>
  <c r="O545" i="1"/>
  <c r="T545" i="1" l="1"/>
  <c r="U545" i="1"/>
  <c r="AA545" i="1" s="1"/>
  <c r="V545" i="1"/>
  <c r="AB545" i="1" l="1"/>
  <c r="Y545" i="1"/>
  <c r="X545" i="1"/>
  <c r="Z545" i="1"/>
  <c r="S545" i="1" s="1"/>
  <c r="W545" i="1"/>
  <c r="R545" i="1" l="1"/>
  <c r="O546" i="1"/>
  <c r="Q546" i="1"/>
  <c r="P546" i="1" l="1"/>
  <c r="N546" i="1"/>
  <c r="V546" i="1" l="1"/>
  <c r="AB546" i="1" s="1"/>
  <c r="U546" i="1"/>
  <c r="AA546" i="1" s="1"/>
  <c r="T546" i="1"/>
  <c r="Z546" i="1" s="1"/>
  <c r="S546" i="1" s="1"/>
  <c r="Y546" i="1" l="1"/>
  <c r="O547" i="1"/>
  <c r="Q547" i="1"/>
  <c r="X546" i="1"/>
  <c r="W546" i="1"/>
  <c r="R546" i="1" s="1"/>
  <c r="N547" i="1" l="1"/>
  <c r="P547" i="1"/>
  <c r="U547" i="1" l="1"/>
  <c r="AA547" i="1" s="1"/>
  <c r="T547" i="1"/>
  <c r="Z547" i="1" s="1"/>
  <c r="V547" i="1"/>
  <c r="AB547" i="1" s="1"/>
  <c r="W547" i="1" l="1"/>
  <c r="S547" i="1"/>
  <c r="X547" i="1"/>
  <c r="Y547" i="1"/>
  <c r="R547" i="1" l="1"/>
  <c r="Q548" i="1"/>
  <c r="O548" i="1"/>
  <c r="P548" i="1" l="1"/>
  <c r="N548" i="1"/>
  <c r="U548" i="1" l="1"/>
  <c r="AA548" i="1" s="1"/>
  <c r="V548" i="1"/>
  <c r="AB548" i="1" s="1"/>
  <c r="T548" i="1"/>
  <c r="Z548" i="1" s="1"/>
  <c r="S548" i="1" l="1"/>
  <c r="X548" i="1"/>
  <c r="Y548" i="1"/>
  <c r="W548" i="1"/>
  <c r="R548" i="1" s="1"/>
  <c r="O549" i="1"/>
  <c r="Q549" i="1"/>
  <c r="N549" i="1" l="1"/>
  <c r="P549" i="1"/>
  <c r="U549" i="1" l="1"/>
  <c r="AA549" i="1" s="1"/>
  <c r="T549" i="1"/>
  <c r="Z549" i="1" s="1"/>
  <c r="V549" i="1"/>
  <c r="AB549" i="1" s="1"/>
  <c r="X549" i="1"/>
  <c r="S549" i="1" l="1"/>
  <c r="Y549" i="1"/>
  <c r="Q550" i="1"/>
  <c r="O550" i="1"/>
  <c r="W549" i="1"/>
  <c r="R549" i="1" s="1"/>
  <c r="P550" i="1" l="1"/>
  <c r="N550" i="1"/>
  <c r="U550" i="1" l="1"/>
  <c r="AA550" i="1" s="1"/>
  <c r="V550" i="1"/>
  <c r="AB550" i="1" s="1"/>
  <c r="T550" i="1"/>
  <c r="Z550" i="1" s="1"/>
  <c r="S550" i="1" s="1"/>
  <c r="Y550" i="1"/>
  <c r="X550" i="1" l="1"/>
  <c r="O551" i="1"/>
  <c r="Q551" i="1"/>
  <c r="W550" i="1"/>
  <c r="R550" i="1" s="1"/>
  <c r="P551" i="1" l="1"/>
  <c r="N551" i="1"/>
  <c r="T551" i="1" l="1"/>
  <c r="Z551" i="1" s="1"/>
  <c r="U551" i="1"/>
  <c r="AA551" i="1" s="1"/>
  <c r="V551" i="1"/>
  <c r="AB551" i="1" s="1"/>
  <c r="W551" i="1"/>
  <c r="X551" i="1" l="1"/>
  <c r="Y551" i="1"/>
  <c r="S551" i="1"/>
  <c r="R551" i="1" l="1"/>
  <c r="N552" i="1"/>
  <c r="P552" i="1"/>
  <c r="O552" i="1"/>
  <c r="Q552" i="1"/>
  <c r="T552" i="1" l="1"/>
  <c r="W552" i="1" s="1"/>
  <c r="U552" i="1"/>
  <c r="X552" i="1" s="1"/>
  <c r="V552" i="1"/>
  <c r="Y552" i="1" s="1"/>
  <c r="AA552" i="1" l="1"/>
  <c r="R552" i="1"/>
  <c r="AB552" i="1"/>
  <c r="Z552" i="1"/>
  <c r="S552" i="1" l="1"/>
  <c r="Q553" i="1" s="1"/>
  <c r="O553" i="1"/>
  <c r="P553" i="1"/>
  <c r="N553" i="1"/>
  <c r="V553" i="1" l="1"/>
  <c r="AB553" i="1" s="1"/>
  <c r="T553" i="1"/>
  <c r="Z553" i="1" s="1"/>
  <c r="U553" i="1"/>
  <c r="AA553" i="1" s="1"/>
  <c r="W553" i="1"/>
  <c r="X553" i="1" l="1"/>
  <c r="Y553" i="1"/>
  <c r="R553" i="1" s="1"/>
  <c r="S553" i="1"/>
  <c r="O554" i="1" l="1"/>
  <c r="Q554" i="1"/>
  <c r="P554" i="1"/>
  <c r="N554" i="1"/>
  <c r="V554" i="1" l="1"/>
  <c r="Y554" i="1" s="1"/>
  <c r="T554" i="1"/>
  <c r="W554" i="1" s="1"/>
  <c r="U554" i="1"/>
  <c r="X554" i="1" s="1"/>
  <c r="AB554" i="1"/>
  <c r="Z554" i="1" l="1"/>
  <c r="AA554" i="1"/>
  <c r="S554" i="1" s="1"/>
  <c r="R554" i="1"/>
  <c r="P555" i="1" s="1"/>
  <c r="O555" i="1" l="1"/>
  <c r="Q555" i="1"/>
  <c r="N555" i="1"/>
  <c r="U555" i="1"/>
  <c r="V555" i="1"/>
  <c r="AB555" i="1" s="1"/>
  <c r="T555" i="1"/>
  <c r="Z555" i="1" s="1"/>
  <c r="X555" i="1"/>
  <c r="AA555" i="1" l="1"/>
  <c r="Y555" i="1"/>
  <c r="W555" i="1"/>
  <c r="R555" i="1" s="1"/>
  <c r="S555" i="1"/>
  <c r="O556" i="1" l="1"/>
  <c r="Q556" i="1"/>
  <c r="P556" i="1"/>
  <c r="N556" i="1"/>
  <c r="U556" i="1" l="1"/>
  <c r="AA556" i="1" s="1"/>
  <c r="V556" i="1"/>
  <c r="AB556" i="1" s="1"/>
  <c r="T556" i="1"/>
  <c r="Z556" i="1" s="1"/>
  <c r="S556" i="1" l="1"/>
  <c r="Y556" i="1"/>
  <c r="W556" i="1"/>
  <c r="Q557" i="1"/>
  <c r="O557" i="1"/>
  <c r="X556" i="1"/>
  <c r="R556" i="1" s="1"/>
  <c r="P557" i="1" l="1"/>
  <c r="N557" i="1"/>
  <c r="T557" i="1" l="1"/>
  <c r="V557" i="1"/>
  <c r="AB557" i="1" s="1"/>
  <c r="U557" i="1"/>
  <c r="AA557" i="1" s="1"/>
  <c r="Y557" i="1" l="1"/>
  <c r="X557" i="1"/>
  <c r="W557" i="1"/>
  <c r="Z557" i="1"/>
  <c r="S557" i="1" s="1"/>
  <c r="R557" i="1" l="1"/>
  <c r="O558" i="1"/>
  <c r="Q558" i="1"/>
  <c r="P558" i="1" l="1"/>
  <c r="N558" i="1"/>
  <c r="V558" i="1" l="1"/>
  <c r="AB558" i="1" s="1"/>
  <c r="U558" i="1"/>
  <c r="AA558" i="1" s="1"/>
  <c r="T558" i="1"/>
  <c r="W558" i="1" l="1"/>
  <c r="Z558" i="1"/>
  <c r="Y558" i="1"/>
  <c r="X558" i="1"/>
  <c r="S558" i="1" l="1"/>
  <c r="R558" i="1"/>
  <c r="P559" i="1" l="1"/>
  <c r="N559" i="1"/>
  <c r="Q559" i="1"/>
  <c r="O559" i="1"/>
  <c r="U559" i="1" l="1"/>
  <c r="X559" i="1" s="1"/>
  <c r="T559" i="1"/>
  <c r="W559" i="1" s="1"/>
  <c r="V559" i="1"/>
  <c r="Y559" i="1" s="1"/>
  <c r="AA559" i="1" l="1"/>
  <c r="R559" i="1"/>
  <c r="N560" i="1" s="1"/>
  <c r="Z559" i="1"/>
  <c r="P560" i="1"/>
  <c r="AB559" i="1"/>
  <c r="S559" i="1" l="1"/>
  <c r="O560" i="1" l="1"/>
  <c r="Q560" i="1"/>
  <c r="T560" i="1" l="1"/>
  <c r="W560" i="1" s="1"/>
  <c r="V560" i="1"/>
  <c r="Y560" i="1" s="1"/>
  <c r="U560" i="1"/>
  <c r="X560" i="1" s="1"/>
  <c r="AA560" i="1" l="1"/>
  <c r="Z560" i="1"/>
  <c r="R560" i="1"/>
  <c r="AB560" i="1"/>
  <c r="P561" i="1" l="1"/>
  <c r="N561" i="1"/>
  <c r="S560" i="1"/>
  <c r="Q561" i="1" l="1"/>
  <c r="O561" i="1"/>
  <c r="V561" i="1" l="1"/>
  <c r="T561" i="1"/>
  <c r="W561" i="1" s="1"/>
  <c r="U561" i="1"/>
  <c r="X561" i="1" s="1"/>
  <c r="AB561" i="1"/>
  <c r="Y561" i="1"/>
  <c r="R561" i="1" s="1"/>
  <c r="Z561" i="1"/>
  <c r="AA561" i="1" l="1"/>
  <c r="S561" i="1"/>
  <c r="P562" i="1"/>
  <c r="N562" i="1"/>
  <c r="O562" i="1" l="1"/>
  <c r="Q562" i="1"/>
  <c r="U562" i="1"/>
  <c r="X562" i="1" s="1"/>
  <c r="V562" i="1"/>
  <c r="Y562" i="1" s="1"/>
  <c r="T562" i="1"/>
  <c r="W562" i="1" s="1"/>
  <c r="AA562" i="1" l="1"/>
  <c r="R562" i="1"/>
  <c r="Z562" i="1"/>
  <c r="AB562" i="1"/>
  <c r="S562" i="1" l="1"/>
  <c r="N563" i="1"/>
  <c r="P563" i="1"/>
  <c r="O563" i="1" l="1"/>
  <c r="Q563" i="1"/>
  <c r="T563" i="1" l="1"/>
  <c r="V563" i="1"/>
  <c r="AB563" i="1" s="1"/>
  <c r="U563" i="1"/>
  <c r="AA563" i="1" s="1"/>
  <c r="Z563" i="1"/>
  <c r="W563" i="1"/>
  <c r="Y563" i="1"/>
  <c r="S563" i="1" l="1"/>
  <c r="X563" i="1"/>
  <c r="R563" i="1" s="1"/>
  <c r="N564" i="1" l="1"/>
  <c r="P564" i="1"/>
  <c r="Q564" i="1"/>
  <c r="O564" i="1"/>
  <c r="V564" i="1" l="1"/>
  <c r="AB564" i="1" s="1"/>
  <c r="T564" i="1"/>
  <c r="Z564" i="1" s="1"/>
  <c r="U564" i="1"/>
  <c r="Y564" i="1"/>
  <c r="W564" i="1"/>
  <c r="AA564" i="1" l="1"/>
  <c r="S564" i="1" s="1"/>
  <c r="X564" i="1"/>
  <c r="R564" i="1"/>
  <c r="N565" i="1" s="1"/>
  <c r="Q565" i="1" l="1"/>
  <c r="O565" i="1"/>
  <c r="P565" i="1"/>
  <c r="T565" i="1"/>
  <c r="Z565" i="1" s="1"/>
  <c r="U565" i="1"/>
  <c r="AA565" i="1" l="1"/>
  <c r="V565" i="1"/>
  <c r="X565" i="1"/>
  <c r="W565" i="1"/>
  <c r="AB565" i="1" l="1"/>
  <c r="S565" i="1" s="1"/>
  <c r="Y565" i="1"/>
  <c r="R565" i="1" s="1"/>
  <c r="O566" i="1"/>
  <c r="Q566" i="1"/>
  <c r="N566" i="1" l="1"/>
  <c r="P566" i="1"/>
  <c r="V566" i="1"/>
  <c r="AB566" i="1" s="1"/>
  <c r="U566" i="1"/>
  <c r="AA566" i="1" s="1"/>
  <c r="T566" i="1"/>
  <c r="Z566" i="1" s="1"/>
  <c r="Y566" i="1"/>
  <c r="W566" i="1" l="1"/>
  <c r="S566" i="1"/>
  <c r="X566" i="1"/>
  <c r="R566" i="1" s="1"/>
  <c r="N567" i="1" l="1"/>
  <c r="P567" i="1"/>
  <c r="Q567" i="1"/>
  <c r="O567" i="1"/>
  <c r="T567" i="1" l="1"/>
  <c r="Z567" i="1" s="1"/>
  <c r="V567" i="1"/>
  <c r="AB567" i="1" s="1"/>
  <c r="U567" i="1"/>
  <c r="AA567" i="1" s="1"/>
  <c r="Y567" i="1" l="1"/>
  <c r="X567" i="1"/>
  <c r="S567" i="1"/>
  <c r="Q568" i="1" s="1"/>
  <c r="W567" i="1"/>
  <c r="R567" i="1" s="1"/>
  <c r="P568" i="1" s="1"/>
  <c r="O568" i="1" l="1"/>
  <c r="N568" i="1"/>
  <c r="U568" i="1" s="1"/>
  <c r="AA568" i="1" l="1"/>
  <c r="T568" i="1"/>
  <c r="Z568" i="1" s="1"/>
  <c r="S568" i="1" s="1"/>
  <c r="Q569" i="1" s="1"/>
  <c r="V568" i="1"/>
  <c r="AB568" i="1" s="1"/>
  <c r="X568" i="1"/>
  <c r="W568" i="1" l="1"/>
  <c r="Y568" i="1"/>
  <c r="O569" i="1"/>
  <c r="R568" i="1" l="1"/>
  <c r="P569" i="1" l="1"/>
  <c r="N569" i="1"/>
  <c r="U569" i="1" l="1"/>
  <c r="T569" i="1"/>
  <c r="V569" i="1"/>
  <c r="AB569" i="1" l="1"/>
  <c r="Y569" i="1"/>
  <c r="Z569" i="1"/>
  <c r="W569" i="1"/>
  <c r="AA569" i="1"/>
  <c r="X569" i="1"/>
  <c r="R569" i="1" l="1"/>
  <c r="S569" i="1"/>
  <c r="O570" i="1" l="1"/>
  <c r="Q570" i="1"/>
  <c r="P570" i="1"/>
  <c r="N570" i="1"/>
  <c r="T570" i="1" l="1"/>
  <c r="Z570" i="1" s="1"/>
  <c r="V570" i="1"/>
  <c r="AB570" i="1" s="1"/>
  <c r="W570" i="1"/>
  <c r="U570" i="1"/>
  <c r="X570" i="1" s="1"/>
  <c r="Y570" i="1"/>
  <c r="AA570" i="1"/>
  <c r="R570" i="1" l="1"/>
  <c r="S570" i="1"/>
  <c r="Q571" i="1" l="1"/>
  <c r="O571" i="1"/>
  <c r="N571" i="1"/>
  <c r="P571" i="1"/>
  <c r="T571" i="1" l="1"/>
  <c r="Z571" i="1" s="1"/>
  <c r="V571" i="1"/>
  <c r="AB571" i="1" s="1"/>
  <c r="U571" i="1"/>
  <c r="X571" i="1" s="1"/>
  <c r="AA571" i="1" l="1"/>
  <c r="S571" i="1" s="1"/>
  <c r="W571" i="1"/>
  <c r="R571" i="1" s="1"/>
  <c r="Y571" i="1"/>
  <c r="P572" i="1" l="1"/>
  <c r="N572" i="1"/>
  <c r="Q572" i="1"/>
  <c r="O572" i="1"/>
  <c r="U572" i="1" l="1"/>
  <c r="X572" i="1" s="1"/>
  <c r="V572" i="1"/>
  <c r="AB572" i="1" s="1"/>
  <c r="T572" i="1"/>
  <c r="Z572" i="1" s="1"/>
  <c r="S572" i="1" s="1"/>
  <c r="O573" i="1" s="1"/>
  <c r="Y572" i="1"/>
  <c r="AA572" i="1"/>
  <c r="Q573" i="1" l="1"/>
  <c r="W572" i="1"/>
  <c r="R572" i="1" s="1"/>
  <c r="N573" i="1" l="1"/>
  <c r="P573" i="1"/>
  <c r="T573" i="1" l="1"/>
  <c r="Z573" i="1" s="1"/>
  <c r="U573" i="1"/>
  <c r="AA573" i="1" s="1"/>
  <c r="W573" i="1"/>
  <c r="V573" i="1"/>
  <c r="AB573" i="1" s="1"/>
  <c r="X573" i="1" l="1"/>
  <c r="R573" i="1" s="1"/>
  <c r="Y573" i="1"/>
  <c r="S573" i="1"/>
  <c r="P574" i="1" l="1"/>
  <c r="N574" i="1"/>
  <c r="O574" i="1"/>
  <c r="Q574" i="1"/>
  <c r="V574" i="1" l="1"/>
  <c r="AB574" i="1" s="1"/>
  <c r="U574" i="1"/>
  <c r="T574" i="1"/>
  <c r="Z574" i="1" s="1"/>
  <c r="Y574" i="1"/>
  <c r="X574" i="1"/>
  <c r="AA574" i="1"/>
  <c r="S574" i="1" l="1"/>
  <c r="W574" i="1"/>
  <c r="R574" i="1" s="1"/>
  <c r="P575" i="1" l="1"/>
  <c r="N575" i="1"/>
  <c r="Q575" i="1"/>
  <c r="O575" i="1"/>
  <c r="V575" i="1" l="1"/>
  <c r="AB575" i="1" s="1"/>
  <c r="T575" i="1"/>
  <c r="Z575" i="1" s="1"/>
  <c r="Y575" i="1"/>
  <c r="U575" i="1"/>
  <c r="X575" i="1" s="1"/>
  <c r="W575" i="1"/>
  <c r="AA575" i="1"/>
  <c r="R575" i="1" l="1"/>
  <c r="S575" i="1"/>
  <c r="O576" i="1" l="1"/>
  <c r="Q576" i="1"/>
  <c r="N576" i="1"/>
  <c r="P576" i="1"/>
  <c r="V576" i="1" l="1"/>
  <c r="AB576" i="1" s="1"/>
  <c r="T576" i="1"/>
  <c r="Z576" i="1" s="1"/>
  <c r="U576" i="1"/>
  <c r="Y576" i="1"/>
  <c r="X576" i="1"/>
  <c r="R576" i="1" s="1"/>
  <c r="P577" i="1" s="1"/>
  <c r="W576" i="1"/>
  <c r="AA576" i="1"/>
  <c r="N577" i="1" l="1"/>
  <c r="S576" i="1"/>
  <c r="Q577" i="1" l="1"/>
  <c r="O577" i="1"/>
  <c r="U577" i="1" l="1"/>
  <c r="X577" i="1" s="1"/>
  <c r="V577" i="1"/>
  <c r="T577" i="1"/>
  <c r="AB577" i="1" l="1"/>
  <c r="Y577" i="1"/>
  <c r="Z577" i="1"/>
  <c r="W577" i="1"/>
  <c r="R577" i="1" s="1"/>
  <c r="AA577" i="1"/>
  <c r="S577" i="1" l="1"/>
  <c r="P578" i="1"/>
  <c r="N578" i="1"/>
  <c r="Q578" i="1" l="1"/>
  <c r="O578" i="1"/>
  <c r="U578" i="1" s="1"/>
  <c r="X578" i="1" s="1"/>
  <c r="V578" i="1" l="1"/>
  <c r="AA578" i="1"/>
  <c r="T578" i="1"/>
  <c r="Z578" i="1" l="1"/>
  <c r="W578" i="1"/>
  <c r="AB578" i="1"/>
  <c r="Y578" i="1"/>
  <c r="R578" i="1" l="1"/>
  <c r="S578" i="1"/>
  <c r="Q579" i="1" l="1"/>
  <c r="O579" i="1"/>
  <c r="P579" i="1"/>
  <c r="N579" i="1"/>
  <c r="T579" i="1" l="1"/>
  <c r="Z579" i="1" s="1"/>
  <c r="U579" i="1"/>
  <c r="AA579" i="1" s="1"/>
  <c r="V579" i="1"/>
  <c r="AB579" i="1" s="1"/>
  <c r="W579" i="1"/>
  <c r="X579" i="1"/>
  <c r="Y579" i="1"/>
  <c r="R579" i="1" l="1"/>
  <c r="S579" i="1"/>
  <c r="O580" i="1" l="1"/>
  <c r="Q580" i="1"/>
  <c r="N580" i="1"/>
  <c r="P580" i="1"/>
  <c r="T580" i="1" l="1"/>
  <c r="Z580" i="1" s="1"/>
  <c r="U580" i="1"/>
  <c r="W580" i="1"/>
  <c r="V580" i="1"/>
  <c r="Y580" i="1" s="1"/>
  <c r="X580" i="1"/>
  <c r="AA580" i="1"/>
  <c r="R580" i="1" l="1"/>
  <c r="AB580" i="1"/>
  <c r="S580" i="1" s="1"/>
  <c r="Q581" i="1" l="1"/>
  <c r="O581" i="1"/>
  <c r="P581" i="1"/>
  <c r="N581" i="1"/>
  <c r="U581" i="1" l="1"/>
  <c r="AA581" i="1" s="1"/>
  <c r="V581" i="1"/>
  <c r="AB581" i="1" s="1"/>
  <c r="T581" i="1"/>
  <c r="Z581" i="1" s="1"/>
  <c r="X581" i="1"/>
  <c r="S581" i="1" l="1"/>
  <c r="W581" i="1"/>
  <c r="Y581" i="1"/>
  <c r="R581" i="1" l="1"/>
  <c r="O582" i="1"/>
  <c r="Q582" i="1"/>
  <c r="P582" i="1" l="1"/>
  <c r="N582" i="1"/>
  <c r="U582" i="1" l="1"/>
  <c r="AA582" i="1" s="1"/>
  <c r="V582" i="1"/>
  <c r="AB582" i="1" s="1"/>
  <c r="T582" i="1"/>
  <c r="Z582" i="1" s="1"/>
  <c r="Y582" i="1"/>
  <c r="X582" i="1"/>
  <c r="W582" i="1"/>
  <c r="R582" i="1" s="1"/>
  <c r="N583" i="1" s="1"/>
  <c r="P583" i="1" l="1"/>
  <c r="S582" i="1"/>
  <c r="Q583" i="1" l="1"/>
  <c r="O583" i="1"/>
  <c r="U583" i="1" l="1"/>
  <c r="X583" i="1" s="1"/>
  <c r="V583" i="1"/>
  <c r="Y583" i="1" s="1"/>
  <c r="T583" i="1"/>
  <c r="W583" i="1" s="1"/>
  <c r="R583" i="1" l="1"/>
  <c r="AB583" i="1"/>
  <c r="Z583" i="1"/>
  <c r="AA583" i="1"/>
  <c r="S583" i="1" l="1"/>
  <c r="N584" i="1"/>
  <c r="P584" i="1"/>
  <c r="O584" i="1" l="1"/>
  <c r="Q584" i="1"/>
  <c r="V584" i="1" l="1"/>
  <c r="U584" i="1"/>
  <c r="X584" i="1" s="1"/>
  <c r="T584" i="1"/>
  <c r="Z584" i="1" l="1"/>
  <c r="W584" i="1"/>
  <c r="AA584" i="1"/>
  <c r="AB584" i="1"/>
  <c r="Y584" i="1"/>
  <c r="R584" i="1" l="1"/>
  <c r="S584" i="1"/>
  <c r="Q585" i="1" l="1"/>
  <c r="O585" i="1"/>
  <c r="N585" i="1"/>
  <c r="P585" i="1"/>
  <c r="V585" i="1" l="1"/>
  <c r="AB585" i="1" s="1"/>
  <c r="T585" i="1"/>
  <c r="Z585" i="1" s="1"/>
  <c r="U585" i="1"/>
  <c r="AA585" i="1" s="1"/>
  <c r="Y585" i="1"/>
  <c r="W585" i="1"/>
  <c r="X585" i="1" l="1"/>
  <c r="R585" i="1" s="1"/>
  <c r="S585" i="1"/>
  <c r="P586" i="1" l="1"/>
  <c r="N586" i="1"/>
  <c r="O586" i="1"/>
  <c r="Q586" i="1"/>
  <c r="T586" i="1" l="1"/>
  <c r="Z586" i="1" s="1"/>
  <c r="U586" i="1"/>
  <c r="V586" i="1"/>
  <c r="AB586" i="1" s="1"/>
  <c r="W586" i="1"/>
  <c r="Y586" i="1"/>
  <c r="X586" i="1"/>
  <c r="AA586" i="1"/>
  <c r="S586" i="1" l="1"/>
  <c r="R586" i="1"/>
  <c r="P587" i="1" l="1"/>
  <c r="N587" i="1"/>
  <c r="Q587" i="1"/>
  <c r="O587" i="1"/>
  <c r="T587" i="1" l="1"/>
  <c r="W587" i="1" s="1"/>
  <c r="U587" i="1"/>
  <c r="X587" i="1" s="1"/>
  <c r="V587" i="1"/>
  <c r="Y587" i="1" s="1"/>
  <c r="R587" i="1" l="1"/>
  <c r="Z587" i="1"/>
  <c r="S587" i="1" s="1"/>
  <c r="AB587" i="1"/>
  <c r="AA587" i="1"/>
  <c r="O588" i="1" l="1"/>
  <c r="Q588" i="1"/>
  <c r="P588" i="1"/>
  <c r="N588" i="1"/>
  <c r="T588" i="1" l="1"/>
  <c r="Z588" i="1" s="1"/>
  <c r="V588" i="1"/>
  <c r="W588" i="1"/>
  <c r="U588" i="1"/>
  <c r="Y588" i="1"/>
  <c r="X588" i="1"/>
  <c r="R588" i="1" s="1"/>
  <c r="N589" i="1" s="1"/>
  <c r="AA588" i="1"/>
  <c r="AB588" i="1"/>
  <c r="P589" i="1" l="1"/>
  <c r="S588" i="1"/>
  <c r="O589" i="1" l="1"/>
  <c r="Q589" i="1"/>
  <c r="V589" i="1" l="1"/>
  <c r="T589" i="1"/>
  <c r="U589" i="1"/>
  <c r="X589" i="1" s="1"/>
  <c r="Z589" i="1" l="1"/>
  <c r="W589" i="1"/>
  <c r="R589" i="1" s="1"/>
  <c r="AB589" i="1"/>
  <c r="Y589" i="1"/>
  <c r="AA589" i="1"/>
  <c r="N590" i="1" l="1"/>
  <c r="P590" i="1"/>
  <c r="S589" i="1"/>
  <c r="O590" i="1" l="1"/>
  <c r="Q590" i="1"/>
  <c r="U590" i="1"/>
  <c r="X590" i="1" s="1"/>
  <c r="V590" i="1"/>
  <c r="AB590" i="1" s="1"/>
  <c r="T590" i="1"/>
  <c r="Z590" i="1" s="1"/>
  <c r="Y590" i="1"/>
  <c r="W590" i="1"/>
  <c r="R590" i="1" l="1"/>
  <c r="AA590" i="1"/>
  <c r="S590" i="1"/>
  <c r="O591" i="1" s="1"/>
  <c r="Q591" i="1"/>
  <c r="P591" i="1" l="1"/>
  <c r="N591" i="1"/>
  <c r="T591" i="1" l="1"/>
  <c r="Z591" i="1" s="1"/>
  <c r="S591" i="1" s="1"/>
  <c r="U591" i="1"/>
  <c r="AA591" i="1" s="1"/>
  <c r="V591" i="1"/>
  <c r="AB591" i="1" s="1"/>
  <c r="W591" i="1"/>
  <c r="Y591" i="1" l="1"/>
  <c r="X591" i="1"/>
  <c r="R591" i="1" s="1"/>
  <c r="O592" i="1"/>
  <c r="Q592" i="1"/>
  <c r="P592" i="1" l="1"/>
  <c r="N592" i="1"/>
  <c r="T592" i="1" l="1"/>
  <c r="Z592" i="1" s="1"/>
  <c r="V592" i="1"/>
  <c r="AB592" i="1" s="1"/>
  <c r="U592" i="1"/>
  <c r="AA592" i="1" s="1"/>
  <c r="W592" i="1"/>
  <c r="X592" i="1" l="1"/>
  <c r="Y592" i="1"/>
  <c r="R592" i="1" s="1"/>
  <c r="S592" i="1"/>
  <c r="N593" i="1" l="1"/>
  <c r="P593" i="1"/>
  <c r="Q593" i="1"/>
  <c r="O593" i="1"/>
  <c r="T593" i="1" l="1"/>
  <c r="W593" i="1" s="1"/>
  <c r="V593" i="1"/>
  <c r="Y593" i="1" s="1"/>
  <c r="U593" i="1"/>
  <c r="X593" i="1" s="1"/>
  <c r="Z593" i="1" l="1"/>
  <c r="R593" i="1"/>
  <c r="AB593" i="1"/>
  <c r="AA593" i="1"/>
  <c r="P594" i="1" l="1"/>
  <c r="N594" i="1"/>
  <c r="S593" i="1"/>
  <c r="Q594" i="1" l="1"/>
  <c r="O594" i="1"/>
  <c r="V594" i="1" s="1"/>
  <c r="Y594" i="1" s="1"/>
  <c r="T594" i="1" l="1"/>
  <c r="W594" i="1" s="1"/>
  <c r="Z594" i="1"/>
  <c r="AB594" i="1"/>
  <c r="U594" i="1"/>
  <c r="X594" i="1" s="1"/>
  <c r="AA594" i="1" l="1"/>
  <c r="S594" i="1" s="1"/>
  <c r="R594" i="1"/>
  <c r="O595" i="1" l="1"/>
  <c r="Q595" i="1"/>
  <c r="N595" i="1"/>
  <c r="P595" i="1"/>
  <c r="V595" i="1" l="1"/>
  <c r="U595" i="1"/>
  <c r="T595" i="1"/>
  <c r="Y595" i="1"/>
  <c r="W595" i="1"/>
  <c r="X595" i="1"/>
  <c r="AA595" i="1"/>
  <c r="Z595" i="1"/>
  <c r="S595" i="1" s="1"/>
  <c r="Q596" i="1" s="1"/>
  <c r="AB595" i="1"/>
  <c r="R595" i="1" l="1"/>
  <c r="O596" i="1"/>
  <c r="N596" i="1" l="1"/>
  <c r="P596" i="1"/>
  <c r="V596" i="1" l="1"/>
  <c r="AB596" i="1" s="1"/>
  <c r="U596" i="1"/>
  <c r="AA596" i="1" s="1"/>
  <c r="T596" i="1"/>
  <c r="Z596" i="1" s="1"/>
  <c r="S596" i="1" s="1"/>
  <c r="X596" i="1"/>
  <c r="Y596" i="1"/>
  <c r="W596" i="1"/>
  <c r="R596" i="1" s="1"/>
  <c r="P597" i="1" s="1"/>
  <c r="Q597" i="1" l="1"/>
  <c r="O597" i="1"/>
  <c r="N597" i="1"/>
  <c r="T597" i="1" l="1"/>
  <c r="Z597" i="1" s="1"/>
  <c r="V597" i="1"/>
  <c r="AB597" i="1" s="1"/>
  <c r="U597" i="1"/>
  <c r="X597" i="1"/>
  <c r="W597" i="1"/>
  <c r="R597" i="1" s="1"/>
  <c r="Y597" i="1"/>
  <c r="AA597" i="1"/>
  <c r="N598" i="1" l="1"/>
  <c r="P598" i="1"/>
  <c r="S597" i="1"/>
  <c r="O598" i="1" l="1"/>
  <c r="Q598" i="1"/>
  <c r="U598" i="1"/>
  <c r="T598" i="1"/>
  <c r="Z598" i="1" s="1"/>
  <c r="V598" i="1"/>
  <c r="AB598" i="1" s="1"/>
  <c r="X598" i="1"/>
  <c r="Y598" i="1"/>
  <c r="W598" i="1" l="1"/>
  <c r="R598" i="1" s="1"/>
  <c r="AA598" i="1"/>
  <c r="S598" i="1" s="1"/>
  <c r="Q599" i="1" l="1"/>
  <c r="O599" i="1"/>
  <c r="N599" i="1"/>
  <c r="P599" i="1"/>
  <c r="V599" i="1" l="1"/>
  <c r="AB599" i="1" s="1"/>
  <c r="U599" i="1"/>
  <c r="T599" i="1"/>
  <c r="Z599" i="1" s="1"/>
  <c r="X599" i="1"/>
  <c r="W599" i="1"/>
  <c r="Y599" i="1"/>
  <c r="AA599" i="1"/>
  <c r="R599" i="1" l="1"/>
  <c r="S599" i="1"/>
  <c r="Q600" i="1" l="1"/>
  <c r="O600" i="1"/>
  <c r="N600" i="1"/>
  <c r="P600" i="1"/>
  <c r="T600" i="1" l="1"/>
  <c r="Z600" i="1" s="1"/>
  <c r="V600" i="1"/>
  <c r="AB600" i="1" s="1"/>
  <c r="U600" i="1"/>
  <c r="AA600" i="1" s="1"/>
  <c r="W600" i="1"/>
  <c r="S600" i="1" l="1"/>
  <c r="X600" i="1"/>
  <c r="R600" i="1" s="1"/>
  <c r="Y600" i="1"/>
  <c r="P601" i="1" l="1"/>
  <c r="N601" i="1"/>
  <c r="O601" i="1"/>
  <c r="Q601" i="1"/>
  <c r="V601" i="1" l="1"/>
  <c r="AB601" i="1" s="1"/>
  <c r="U601" i="1"/>
  <c r="T601" i="1"/>
  <c r="Z601" i="1" s="1"/>
  <c r="S601" i="1" s="1"/>
  <c r="Q602" i="1" s="1"/>
  <c r="Y601" i="1"/>
  <c r="X601" i="1"/>
  <c r="AA601" i="1"/>
  <c r="O602" i="1" l="1"/>
  <c r="W601" i="1"/>
  <c r="R601" i="1" s="1"/>
  <c r="N602" i="1" l="1"/>
  <c r="P602" i="1"/>
  <c r="V602" i="1" l="1"/>
  <c r="AB602" i="1" s="1"/>
  <c r="T602" i="1"/>
  <c r="Z602" i="1" s="1"/>
  <c r="U602" i="1"/>
  <c r="AA602" i="1" s="1"/>
  <c r="W602" i="1"/>
  <c r="Y602" i="1"/>
  <c r="X602" i="1" l="1"/>
  <c r="R602" i="1" s="1"/>
  <c r="S602" i="1"/>
  <c r="N603" i="1" l="1"/>
  <c r="P603" i="1"/>
  <c r="Q603" i="1"/>
  <c r="O603" i="1"/>
  <c r="T603" i="1" l="1"/>
  <c r="Z603" i="1" s="1"/>
  <c r="V603" i="1"/>
  <c r="Y603" i="1" s="1"/>
  <c r="U603" i="1"/>
  <c r="X603" i="1" s="1"/>
  <c r="W603" i="1"/>
  <c r="R603" i="1" s="1"/>
  <c r="P604" i="1" s="1"/>
  <c r="N604" i="1" l="1"/>
  <c r="AB603" i="1"/>
  <c r="AA603" i="1"/>
  <c r="S603" i="1" s="1"/>
  <c r="O604" i="1" l="1"/>
  <c r="Q604" i="1"/>
  <c r="V604" i="1"/>
  <c r="T604" i="1"/>
  <c r="Z604" i="1" s="1"/>
  <c r="U604" i="1"/>
  <c r="X604" i="1" s="1"/>
  <c r="Y604" i="1"/>
  <c r="W604" i="1" l="1"/>
  <c r="R604" i="1" s="1"/>
  <c r="AA604" i="1"/>
  <c r="S604" i="1" s="1"/>
  <c r="AB604" i="1"/>
  <c r="Q605" i="1" l="1"/>
  <c r="O605" i="1"/>
  <c r="P605" i="1"/>
  <c r="N605" i="1"/>
  <c r="V605" i="1" l="1"/>
  <c r="AB605" i="1" s="1"/>
  <c r="T605" i="1"/>
  <c r="Z605" i="1" s="1"/>
  <c r="U605" i="1"/>
  <c r="X605" i="1"/>
  <c r="Y605" i="1"/>
  <c r="AA605" i="1" l="1"/>
  <c r="S605" i="1" s="1"/>
  <c r="W605" i="1"/>
  <c r="R605" i="1" s="1"/>
  <c r="O606" i="1" l="1"/>
  <c r="Q606" i="1"/>
  <c r="P606" i="1"/>
  <c r="N606" i="1"/>
  <c r="U606" i="1" l="1"/>
  <c r="X606" i="1"/>
  <c r="T606" i="1"/>
  <c r="Z606" i="1" s="1"/>
  <c r="V606" i="1"/>
  <c r="AB606" i="1" s="1"/>
  <c r="W606" i="1"/>
  <c r="AA606" i="1"/>
  <c r="Y606" i="1" l="1"/>
  <c r="R606" i="1" s="1"/>
  <c r="S606" i="1"/>
  <c r="N607" i="1" l="1"/>
  <c r="P607" i="1"/>
  <c r="Q607" i="1"/>
  <c r="O607" i="1"/>
  <c r="T607" i="1" l="1"/>
  <c r="Z607" i="1" s="1"/>
  <c r="V607" i="1"/>
  <c r="AB607" i="1" s="1"/>
  <c r="U607" i="1"/>
  <c r="AA607" i="1" s="1"/>
  <c r="Y607" i="1"/>
  <c r="X607" i="1" l="1"/>
  <c r="W607" i="1"/>
  <c r="R607" i="1" s="1"/>
  <c r="S607" i="1"/>
  <c r="P608" i="1" l="1"/>
  <c r="N608" i="1"/>
  <c r="Q608" i="1"/>
  <c r="O608" i="1"/>
  <c r="U608" i="1" l="1"/>
  <c r="V608" i="1"/>
  <c r="T608" i="1"/>
  <c r="Z608" i="1" s="1"/>
  <c r="Y608" i="1"/>
  <c r="X608" i="1"/>
  <c r="W608" i="1"/>
  <c r="R608" i="1" s="1"/>
  <c r="N609" i="1" s="1"/>
  <c r="AA608" i="1"/>
  <c r="AB608" i="1"/>
  <c r="S608" i="1" s="1"/>
  <c r="O609" i="1" s="1"/>
  <c r="V609" i="1" l="1"/>
  <c r="AB609" i="1" s="1"/>
  <c r="T609" i="1"/>
  <c r="Z609" i="1" s="1"/>
  <c r="U609" i="1"/>
  <c r="AA609" i="1" s="1"/>
  <c r="W609" i="1"/>
  <c r="Y609" i="1"/>
  <c r="X609" i="1"/>
  <c r="R609" i="1" s="1"/>
  <c r="Q609" i="1"/>
  <c r="P609" i="1"/>
  <c r="S609" i="1" l="1"/>
  <c r="P610" i="1"/>
  <c r="N610" i="1"/>
  <c r="Q610" i="1" l="1"/>
  <c r="O610" i="1"/>
  <c r="U610" i="1"/>
  <c r="T610" i="1"/>
  <c r="V610" i="1"/>
  <c r="AA610" i="1" l="1"/>
  <c r="X610" i="1"/>
  <c r="W610" i="1"/>
  <c r="Z610" i="1"/>
  <c r="Y610" i="1"/>
  <c r="AB610" i="1"/>
  <c r="R610" i="1" l="1"/>
  <c r="P611" i="1" s="1"/>
  <c r="N611" i="1"/>
  <c r="S610" i="1"/>
  <c r="O611" i="1" l="1"/>
  <c r="Q611" i="1"/>
  <c r="V611" i="1" l="1"/>
  <c r="U611" i="1"/>
  <c r="X611" i="1" s="1"/>
  <c r="T611" i="1"/>
  <c r="AA611" i="1" l="1"/>
  <c r="Z611" i="1"/>
  <c r="W611" i="1"/>
  <c r="AB611" i="1"/>
  <c r="S611" i="1" s="1"/>
  <c r="Y611" i="1"/>
  <c r="Q612" i="1" l="1"/>
  <c r="O612" i="1"/>
  <c r="R611" i="1"/>
  <c r="P612" i="1" l="1"/>
  <c r="N612" i="1"/>
  <c r="V612" i="1" l="1"/>
  <c r="U612" i="1"/>
  <c r="AA612" i="1" s="1"/>
  <c r="T612" i="1"/>
  <c r="X612" i="1" l="1"/>
  <c r="W612" i="1"/>
  <c r="Z612" i="1"/>
  <c r="Y612" i="1"/>
  <c r="AB612" i="1"/>
  <c r="S612" i="1" l="1"/>
  <c r="R612" i="1"/>
  <c r="N613" i="1" l="1"/>
  <c r="P613" i="1"/>
  <c r="Q613" i="1"/>
  <c r="O613" i="1"/>
  <c r="T613" i="1" l="1"/>
  <c r="W613" i="1" s="1"/>
  <c r="U613" i="1"/>
  <c r="X613" i="1" s="1"/>
  <c r="V613" i="1"/>
  <c r="Y613" i="1" s="1"/>
  <c r="AA613" i="1" l="1"/>
  <c r="AB613" i="1"/>
  <c r="R613" i="1"/>
  <c r="Z613" i="1"/>
  <c r="S613" i="1" s="1"/>
  <c r="O614" i="1" l="1"/>
  <c r="Q614" i="1"/>
  <c r="P614" i="1"/>
  <c r="N614" i="1"/>
  <c r="V614" i="1" l="1"/>
  <c r="Y614" i="1" s="1"/>
  <c r="T614" i="1"/>
  <c r="W614" i="1" s="1"/>
  <c r="U614" i="1"/>
  <c r="X614" i="1" s="1"/>
  <c r="AA614" i="1" l="1"/>
  <c r="AB614" i="1"/>
  <c r="R614" i="1"/>
  <c r="P615" i="1" s="1"/>
  <c r="Z614" i="1"/>
  <c r="S614" i="1" s="1"/>
  <c r="N615" i="1" l="1"/>
  <c r="O615" i="1"/>
  <c r="Q615" i="1"/>
  <c r="T615" i="1" l="1"/>
  <c r="W615" i="1" s="1"/>
  <c r="U615" i="1"/>
  <c r="X615" i="1" s="1"/>
  <c r="V615" i="1"/>
  <c r="Y615" i="1" s="1"/>
  <c r="Z615" i="1"/>
  <c r="AA615" i="1" l="1"/>
  <c r="R615" i="1"/>
  <c r="P616" i="1" s="1"/>
  <c r="AB615" i="1"/>
  <c r="S615" i="1" s="1"/>
  <c r="N616" i="1" l="1"/>
  <c r="Q616" i="1"/>
  <c r="O616" i="1"/>
  <c r="V616" i="1" l="1"/>
  <c r="Y616" i="1" s="1"/>
  <c r="T616" i="1"/>
  <c r="W616" i="1" s="1"/>
  <c r="U616" i="1"/>
  <c r="X616" i="1" s="1"/>
  <c r="AB616" i="1"/>
  <c r="AA616" i="1" l="1"/>
  <c r="Z616" i="1"/>
  <c r="R616" i="1"/>
  <c r="N617" i="1" s="1"/>
  <c r="P617" i="1"/>
  <c r="S616" i="1"/>
  <c r="Q617" i="1" l="1"/>
  <c r="O617" i="1"/>
  <c r="V617" i="1" l="1"/>
  <c r="AB617" i="1" s="1"/>
  <c r="U617" i="1"/>
  <c r="AA617" i="1" s="1"/>
  <c r="T617" i="1"/>
  <c r="Z617" i="1" s="1"/>
  <c r="Y617" i="1"/>
  <c r="S617" i="1" l="1"/>
  <c r="O618" i="1" s="1"/>
  <c r="X617" i="1"/>
  <c r="W617" i="1"/>
  <c r="R617" i="1" s="1"/>
  <c r="Q618" i="1" l="1"/>
  <c r="N618" i="1"/>
  <c r="P618" i="1"/>
  <c r="T618" i="1"/>
  <c r="U618" i="1"/>
  <c r="AA618" i="1" s="1"/>
  <c r="V618" i="1"/>
  <c r="Y618" i="1" l="1"/>
  <c r="AB618" i="1"/>
  <c r="X618" i="1"/>
  <c r="W618" i="1"/>
  <c r="Z618" i="1"/>
  <c r="S618" i="1" s="1"/>
  <c r="R618" i="1" l="1"/>
  <c r="P619" i="1"/>
  <c r="N619" i="1"/>
  <c r="Q619" i="1"/>
  <c r="O619" i="1"/>
  <c r="V619" i="1" l="1"/>
  <c r="Y619" i="1" s="1"/>
  <c r="T619" i="1"/>
  <c r="W619" i="1" s="1"/>
  <c r="U619" i="1"/>
  <c r="X619" i="1" s="1"/>
  <c r="AA619" i="1" l="1"/>
  <c r="Z619" i="1"/>
  <c r="AB619" i="1"/>
  <c r="R619" i="1"/>
  <c r="S619" i="1" l="1"/>
  <c r="P620" i="1"/>
  <c r="N620" i="1"/>
  <c r="Q620" i="1"/>
  <c r="O620" i="1"/>
  <c r="U620" i="1" l="1"/>
  <c r="AA620" i="1" s="1"/>
  <c r="T620" i="1"/>
  <c r="Z620" i="1" s="1"/>
  <c r="V620" i="1"/>
  <c r="Y620" i="1" s="1"/>
  <c r="AB620" i="1" l="1"/>
  <c r="S620" i="1" s="1"/>
  <c r="W620" i="1"/>
  <c r="X620" i="1"/>
  <c r="R620" i="1" l="1"/>
  <c r="O621" i="1"/>
  <c r="Q621" i="1"/>
  <c r="P621" i="1"/>
  <c r="N621" i="1"/>
  <c r="U621" i="1" l="1"/>
  <c r="AA621" i="1" s="1"/>
  <c r="T621" i="1"/>
  <c r="Z621" i="1" s="1"/>
  <c r="V621" i="1"/>
  <c r="Y621" i="1" s="1"/>
  <c r="X621" i="1" l="1"/>
  <c r="W621" i="1"/>
  <c r="R621" i="1" s="1"/>
  <c r="AB621" i="1"/>
  <c r="S621" i="1" s="1"/>
  <c r="N622" i="1" l="1"/>
  <c r="P622" i="1"/>
  <c r="Q622" i="1"/>
  <c r="O622" i="1"/>
  <c r="V622" i="1" l="1"/>
  <c r="AB622" i="1" s="1"/>
  <c r="T622" i="1"/>
  <c r="W622" i="1" s="1"/>
  <c r="U622" i="1"/>
  <c r="AA622" i="1" s="1"/>
  <c r="Y622" i="1"/>
  <c r="Z622" i="1" l="1"/>
  <c r="S622" i="1"/>
  <c r="X622" i="1"/>
  <c r="R622" i="1" s="1"/>
  <c r="P623" i="1" l="1"/>
  <c r="N623" i="1"/>
  <c r="Q623" i="1"/>
  <c r="O623" i="1"/>
  <c r="U623" i="1" l="1"/>
  <c r="AA623" i="1" s="1"/>
  <c r="T623" i="1"/>
  <c r="Z623" i="1" s="1"/>
  <c r="V623" i="1"/>
  <c r="AB623" i="1" s="1"/>
  <c r="X623" i="1" l="1"/>
  <c r="W623" i="1"/>
  <c r="Y623" i="1"/>
  <c r="S623" i="1"/>
  <c r="R623" i="1" l="1"/>
  <c r="Q624" i="1"/>
  <c r="O624" i="1"/>
  <c r="P624" i="1"/>
  <c r="N624" i="1"/>
  <c r="V624" i="1" l="1"/>
  <c r="AB624" i="1" s="1"/>
  <c r="T624" i="1"/>
  <c r="Z624" i="1" s="1"/>
  <c r="U624" i="1"/>
  <c r="AA624" i="1" s="1"/>
  <c r="W624" i="1" l="1"/>
  <c r="S624" i="1"/>
  <c r="O625" i="1" s="1"/>
  <c r="Y624" i="1"/>
  <c r="X624" i="1"/>
  <c r="R624" i="1" s="1"/>
  <c r="Q625" i="1" l="1"/>
  <c r="N625" i="1"/>
  <c r="P625" i="1"/>
  <c r="T625" i="1" l="1"/>
  <c r="Z625" i="1" s="1"/>
  <c r="U625" i="1"/>
  <c r="AA625" i="1" s="1"/>
  <c r="V625" i="1"/>
  <c r="AB625" i="1" s="1"/>
  <c r="X625" i="1" l="1"/>
  <c r="W625" i="1"/>
  <c r="Y625" i="1"/>
  <c r="S625" i="1"/>
  <c r="R625" i="1" l="1"/>
  <c r="O626" i="1"/>
  <c r="Q626" i="1"/>
  <c r="P626" i="1"/>
  <c r="N626" i="1"/>
  <c r="V626" i="1" l="1"/>
  <c r="AB626" i="1" s="1"/>
  <c r="T626" i="1"/>
  <c r="W626" i="1" s="1"/>
  <c r="U626" i="1"/>
  <c r="AA626" i="1" s="1"/>
  <c r="Z626" i="1"/>
  <c r="Y626" i="1" l="1"/>
  <c r="S626" i="1"/>
  <c r="X626" i="1"/>
  <c r="R626" i="1" s="1"/>
  <c r="P627" i="1" l="1"/>
  <c r="N627" i="1"/>
  <c r="O627" i="1"/>
  <c r="Q627" i="1"/>
  <c r="V627" i="1" l="1"/>
  <c r="AB627" i="1" s="1"/>
  <c r="T627" i="1"/>
  <c r="U627" i="1"/>
  <c r="AA627" i="1" s="1"/>
  <c r="Y627" i="1" l="1"/>
  <c r="X627" i="1"/>
  <c r="W627" i="1"/>
  <c r="Z627" i="1"/>
  <c r="S627" i="1" s="1"/>
  <c r="R627" i="1" l="1"/>
  <c r="Q628" i="1"/>
  <c r="O628" i="1"/>
  <c r="P628" i="1"/>
  <c r="N628" i="1"/>
  <c r="T628" i="1" l="1"/>
  <c r="W628" i="1" s="1"/>
  <c r="V628" i="1"/>
  <c r="Y628" i="1" s="1"/>
  <c r="U628" i="1"/>
  <c r="AA628" i="1" s="1"/>
  <c r="Z628" i="1"/>
  <c r="AB628" i="1" l="1"/>
  <c r="X628" i="1"/>
  <c r="S628" i="1"/>
  <c r="R628" i="1"/>
  <c r="O629" i="1" l="1"/>
  <c r="Q629" i="1"/>
  <c r="N629" i="1"/>
  <c r="P629" i="1"/>
  <c r="V629" i="1" l="1"/>
  <c r="Y629" i="1" s="1"/>
  <c r="T629" i="1"/>
  <c r="U629" i="1"/>
  <c r="AA629" i="1" s="1"/>
  <c r="AB629" i="1"/>
  <c r="X629" i="1" l="1"/>
  <c r="W629" i="1"/>
  <c r="R629" i="1" s="1"/>
  <c r="Z629" i="1"/>
  <c r="S629" i="1" s="1"/>
  <c r="N630" i="1" l="1"/>
  <c r="P630" i="1"/>
  <c r="Q630" i="1"/>
  <c r="O630" i="1"/>
  <c r="U630" i="1" l="1"/>
  <c r="AA630" i="1" s="1"/>
  <c r="V630" i="1"/>
  <c r="AB630" i="1" s="1"/>
  <c r="T630" i="1"/>
  <c r="X630" i="1" l="1"/>
  <c r="Y630" i="1"/>
  <c r="Z630" i="1"/>
  <c r="S630" i="1" s="1"/>
  <c r="W630" i="1"/>
  <c r="R630" i="1" s="1"/>
  <c r="O631" i="1" l="1"/>
  <c r="Q631" i="1"/>
  <c r="P631" i="1"/>
  <c r="N631" i="1"/>
  <c r="V631" i="1" l="1"/>
  <c r="AB631" i="1" s="1"/>
  <c r="T631" i="1"/>
  <c r="Z631" i="1" s="1"/>
  <c r="Y631" i="1"/>
  <c r="U631" i="1"/>
  <c r="AA631" i="1" s="1"/>
  <c r="W631" i="1" l="1"/>
  <c r="S631" i="1"/>
  <c r="X631" i="1"/>
  <c r="R631" i="1" s="1"/>
  <c r="Q632" i="1" l="1"/>
  <c r="O632" i="1"/>
  <c r="N632" i="1"/>
  <c r="P632" i="1"/>
  <c r="T632" i="1" l="1"/>
  <c r="V632" i="1"/>
  <c r="AB632" i="1" s="1"/>
  <c r="U632" i="1"/>
  <c r="AA632" i="1" s="1"/>
  <c r="X632" i="1" l="1"/>
  <c r="Y632" i="1"/>
  <c r="Z632" i="1"/>
  <c r="S632" i="1" s="1"/>
  <c r="W632" i="1"/>
  <c r="R632" i="1" s="1"/>
  <c r="N633" i="1" l="1"/>
  <c r="P633" i="1"/>
  <c r="Q633" i="1"/>
  <c r="O633" i="1"/>
  <c r="V633" i="1" l="1"/>
  <c r="AB633" i="1" s="1"/>
  <c r="U633" i="1"/>
  <c r="AA633" i="1" s="1"/>
  <c r="T633" i="1"/>
  <c r="Z633" i="1" s="1"/>
  <c r="S633" i="1" l="1"/>
  <c r="Y633" i="1"/>
  <c r="W633" i="1"/>
  <c r="X633" i="1"/>
  <c r="R633" i="1" l="1"/>
  <c r="Q634" i="1"/>
  <c r="O634" i="1"/>
  <c r="P634" i="1" l="1"/>
  <c r="N634" i="1"/>
  <c r="T634" i="1" l="1"/>
  <c r="Z634" i="1" s="1"/>
  <c r="V634" i="1"/>
  <c r="AB634" i="1" s="1"/>
  <c r="U634" i="1"/>
  <c r="AA634" i="1" s="1"/>
  <c r="Y634" i="1" l="1"/>
  <c r="W634" i="1"/>
  <c r="X634" i="1"/>
  <c r="S634" i="1"/>
  <c r="R634" i="1" l="1"/>
  <c r="P635" i="1" s="1"/>
  <c r="O635" i="1"/>
  <c r="Q635" i="1"/>
  <c r="N635" i="1"/>
  <c r="T635" i="1" l="1"/>
  <c r="Z635" i="1" s="1"/>
  <c r="U635" i="1"/>
  <c r="AA635" i="1" s="1"/>
  <c r="V635" i="1"/>
  <c r="AB635" i="1" s="1"/>
  <c r="X635" i="1" l="1"/>
  <c r="Y635" i="1"/>
  <c r="S635" i="1"/>
  <c r="Q636" i="1" s="1"/>
  <c r="W635" i="1"/>
  <c r="R635" i="1" s="1"/>
  <c r="O636" i="1"/>
  <c r="N636" i="1" l="1"/>
  <c r="P636" i="1"/>
  <c r="T636" i="1" l="1"/>
  <c r="Z636" i="1" s="1"/>
  <c r="V636" i="1"/>
  <c r="AB636" i="1" s="1"/>
  <c r="U636" i="1"/>
  <c r="AA636" i="1" s="1"/>
  <c r="S636" i="1" l="1"/>
  <c r="Y636" i="1"/>
  <c r="X636" i="1"/>
  <c r="W636" i="1"/>
  <c r="R636" i="1" s="1"/>
  <c r="Q637" i="1"/>
  <c r="O637" i="1"/>
  <c r="N637" i="1" l="1"/>
  <c r="P637" i="1"/>
  <c r="T637" i="1" l="1"/>
  <c r="Z637" i="1" s="1"/>
  <c r="V637" i="1"/>
  <c r="AB637" i="1" s="1"/>
  <c r="U637" i="1"/>
  <c r="AA637" i="1" s="1"/>
  <c r="X637" i="1" l="1"/>
  <c r="W637" i="1"/>
  <c r="S637" i="1"/>
  <c r="Y637" i="1"/>
  <c r="R637" i="1" l="1"/>
  <c r="P638" i="1" s="1"/>
  <c r="N638" i="1"/>
  <c r="O638" i="1"/>
  <c r="Q638" i="1"/>
  <c r="T638" i="1" l="1"/>
  <c r="Z638" i="1" s="1"/>
  <c r="V638" i="1"/>
  <c r="AB638" i="1" s="1"/>
  <c r="U638" i="1"/>
  <c r="AA638" i="1" s="1"/>
  <c r="Y638" i="1" l="1"/>
  <c r="W638" i="1"/>
  <c r="X638" i="1"/>
  <c r="S638" i="1"/>
  <c r="R638" i="1" l="1"/>
  <c r="N639" i="1"/>
  <c r="P639" i="1"/>
  <c r="Q639" i="1"/>
  <c r="O639" i="1"/>
  <c r="U639" i="1" l="1"/>
  <c r="AA639" i="1" s="1"/>
  <c r="T639" i="1"/>
  <c r="Z639" i="1" s="1"/>
  <c r="X639" i="1"/>
  <c r="V639" i="1"/>
  <c r="AB639" i="1" s="1"/>
  <c r="W639" i="1" l="1"/>
  <c r="Y639" i="1"/>
  <c r="R639" i="1" s="1"/>
  <c r="S639" i="1"/>
  <c r="P640" i="1" l="1"/>
  <c r="N640" i="1"/>
  <c r="Q640" i="1"/>
  <c r="O640" i="1"/>
  <c r="V640" i="1" l="1"/>
  <c r="AB640" i="1" s="1"/>
  <c r="T640" i="1"/>
  <c r="Z640" i="1" s="1"/>
  <c r="U640" i="1"/>
  <c r="AA640" i="1" s="1"/>
  <c r="Y640" i="1" l="1"/>
  <c r="S640" i="1"/>
  <c r="X640" i="1"/>
  <c r="W640" i="1"/>
  <c r="R640" i="1" s="1"/>
  <c r="P641" i="1" l="1"/>
  <c r="N641" i="1"/>
  <c r="O641" i="1"/>
  <c r="Q641" i="1"/>
  <c r="U641" i="1" l="1"/>
  <c r="AA641" i="1" s="1"/>
  <c r="V641" i="1"/>
  <c r="AB641" i="1" s="1"/>
  <c r="T641" i="1"/>
  <c r="Z641" i="1" s="1"/>
  <c r="S641" i="1" l="1"/>
  <c r="Y641" i="1"/>
  <c r="X641" i="1"/>
  <c r="W641" i="1"/>
  <c r="R641" i="1" l="1"/>
  <c r="P642" i="1" s="1"/>
  <c r="O642" i="1"/>
  <c r="Q642" i="1"/>
  <c r="N642" i="1" l="1"/>
  <c r="U642" i="1" s="1"/>
  <c r="AA642" i="1" s="1"/>
  <c r="T642" i="1" l="1"/>
  <c r="W642" i="1" s="1"/>
  <c r="R642" i="1" s="1"/>
  <c r="V642" i="1"/>
  <c r="Y642" i="1" s="1"/>
  <c r="X642" i="1"/>
  <c r="AB642" i="1"/>
  <c r="Z642" i="1"/>
  <c r="P643" i="1"/>
  <c r="N643" i="1"/>
  <c r="S642" i="1" l="1"/>
  <c r="O643" i="1" s="1"/>
  <c r="U643" i="1"/>
  <c r="X643" i="1" s="1"/>
  <c r="T643" i="1"/>
  <c r="Z643" i="1" s="1"/>
  <c r="V643" i="1"/>
  <c r="Y643" i="1" s="1"/>
  <c r="Q643" i="1"/>
  <c r="AA643" i="1" l="1"/>
  <c r="AB643" i="1"/>
  <c r="S643" i="1" s="1"/>
  <c r="W643" i="1"/>
  <c r="R643" i="1" s="1"/>
  <c r="P644" i="1" s="1"/>
  <c r="O644" i="1"/>
  <c r="Q644" i="1"/>
  <c r="N644" i="1" l="1"/>
  <c r="V644" i="1" s="1"/>
  <c r="Y644" i="1" s="1"/>
  <c r="U644" i="1"/>
  <c r="AA644" i="1" s="1"/>
  <c r="T644" i="1" l="1"/>
  <c r="W644" i="1" s="1"/>
  <c r="AB644" i="1"/>
  <c r="Z644" i="1"/>
  <c r="X644" i="1"/>
  <c r="R644" i="1" s="1"/>
  <c r="S644" i="1" l="1"/>
  <c r="Q645" i="1" s="1"/>
  <c r="O645" i="1"/>
  <c r="N645" i="1"/>
  <c r="P645" i="1"/>
  <c r="V645" i="1" l="1"/>
  <c r="AB645" i="1" s="1"/>
  <c r="U645" i="1"/>
  <c r="AA645" i="1" s="1"/>
  <c r="T645" i="1"/>
  <c r="Z645" i="1" s="1"/>
  <c r="W645" i="1" l="1"/>
  <c r="S645" i="1"/>
  <c r="X645" i="1"/>
  <c r="Y645" i="1"/>
  <c r="R645" i="1" l="1"/>
  <c r="N646" i="1" s="1"/>
  <c r="O646" i="1"/>
  <c r="Q646" i="1"/>
  <c r="P646" i="1" l="1"/>
  <c r="V646" i="1"/>
  <c r="AB646" i="1" s="1"/>
  <c r="U646" i="1"/>
  <c r="AA646" i="1" s="1"/>
  <c r="T646" i="1"/>
  <c r="Z646" i="1" s="1"/>
  <c r="S646" i="1" l="1"/>
  <c r="Q647" i="1" s="1"/>
  <c r="Y646" i="1"/>
  <c r="O647" i="1"/>
  <c r="W646" i="1"/>
  <c r="X646" i="1"/>
  <c r="R646" i="1" l="1"/>
  <c r="N647" i="1" l="1"/>
  <c r="P647" i="1"/>
  <c r="U647" i="1" l="1"/>
  <c r="AA647" i="1" s="1"/>
  <c r="V647" i="1"/>
  <c r="AB647" i="1" s="1"/>
  <c r="T647" i="1"/>
  <c r="Z647" i="1" s="1"/>
  <c r="S647" i="1" s="1"/>
  <c r="Y647" i="1"/>
  <c r="W647" i="1" l="1"/>
  <c r="Q648" i="1"/>
  <c r="O648" i="1"/>
  <c r="X647" i="1"/>
  <c r="R647" i="1" l="1"/>
  <c r="P648" i="1" s="1"/>
  <c r="N648" i="1"/>
  <c r="T648" i="1" l="1"/>
  <c r="Z648" i="1" s="1"/>
  <c r="V648" i="1"/>
  <c r="AB648" i="1" s="1"/>
  <c r="U648" i="1"/>
  <c r="AA648" i="1" s="1"/>
  <c r="X648" i="1" l="1"/>
  <c r="S648" i="1"/>
  <c r="W648" i="1"/>
  <c r="Y648" i="1"/>
  <c r="O649" i="1"/>
  <c r="Q649" i="1"/>
  <c r="R648" i="1" l="1"/>
  <c r="N649" i="1" l="1"/>
  <c r="P649" i="1"/>
  <c r="U649" i="1" l="1"/>
  <c r="AA649" i="1" s="1"/>
  <c r="T649" i="1"/>
  <c r="V649" i="1"/>
  <c r="AB649" i="1" s="1"/>
  <c r="W649" i="1" l="1"/>
  <c r="Z649" i="1"/>
  <c r="S649" i="1" s="1"/>
  <c r="X649" i="1"/>
  <c r="Y649" i="1"/>
  <c r="R649" i="1" s="1"/>
  <c r="O650" i="1" l="1"/>
  <c r="Q650" i="1"/>
  <c r="N650" i="1"/>
  <c r="P650" i="1"/>
  <c r="U650" i="1" l="1"/>
  <c r="AA650" i="1" s="1"/>
  <c r="V650" i="1"/>
  <c r="Y650" i="1" s="1"/>
  <c r="T650" i="1"/>
  <c r="Z650" i="1" s="1"/>
  <c r="X650" i="1"/>
  <c r="AB650" i="1"/>
  <c r="W650" i="1" l="1"/>
  <c r="R650" i="1" s="1"/>
  <c r="S650" i="1"/>
  <c r="Q651" i="1" l="1"/>
  <c r="O651" i="1"/>
  <c r="N651" i="1"/>
  <c r="P651" i="1"/>
  <c r="V651" i="1" l="1"/>
  <c r="AB651" i="1" s="1"/>
  <c r="T651" i="1"/>
  <c r="Z651" i="1" s="1"/>
  <c r="U651" i="1"/>
  <c r="AA651" i="1" s="1"/>
  <c r="Y651" i="1"/>
  <c r="W651" i="1" l="1"/>
  <c r="X651" i="1"/>
  <c r="S651" i="1"/>
  <c r="O652" i="1" s="1"/>
  <c r="R651" i="1"/>
  <c r="Q652" i="1" l="1"/>
  <c r="N652" i="1"/>
  <c r="P652" i="1"/>
  <c r="U652" i="1" l="1"/>
  <c r="AA652" i="1" s="1"/>
  <c r="T652" i="1"/>
  <c r="Z652" i="1" s="1"/>
  <c r="V652" i="1"/>
  <c r="AB652" i="1" s="1"/>
  <c r="W652" i="1" l="1"/>
  <c r="Y652" i="1"/>
  <c r="X652" i="1"/>
  <c r="R652" i="1" s="1"/>
  <c r="S652" i="1"/>
  <c r="P653" i="1" l="1"/>
  <c r="N653" i="1"/>
  <c r="Q653" i="1"/>
  <c r="O653" i="1"/>
  <c r="U653" i="1" l="1"/>
  <c r="AA653" i="1" s="1"/>
  <c r="T653" i="1"/>
  <c r="X653" i="1"/>
  <c r="V653" i="1"/>
  <c r="Y653" i="1" s="1"/>
  <c r="W653" i="1" l="1"/>
  <c r="R653" i="1" s="1"/>
  <c r="Z653" i="1"/>
  <c r="AB653" i="1"/>
  <c r="S653" i="1" l="1"/>
  <c r="N654" i="1"/>
  <c r="P654" i="1"/>
  <c r="Q654" i="1" l="1"/>
  <c r="O654" i="1"/>
  <c r="U654" i="1" l="1"/>
  <c r="X654" i="1" s="1"/>
  <c r="T654" i="1"/>
  <c r="W654" i="1" s="1"/>
  <c r="V654" i="1"/>
  <c r="AA654" i="1" l="1"/>
  <c r="Z654" i="1"/>
  <c r="AB654" i="1"/>
  <c r="S654" i="1" s="1"/>
  <c r="Y654" i="1"/>
  <c r="R654" i="1" s="1"/>
  <c r="O655" i="1" l="1"/>
  <c r="Q655" i="1"/>
  <c r="N655" i="1"/>
  <c r="P655" i="1"/>
  <c r="T655" i="1" l="1"/>
  <c r="U655" i="1"/>
  <c r="AA655" i="1" s="1"/>
  <c r="V655" i="1"/>
  <c r="Y655" i="1" l="1"/>
  <c r="AB655" i="1"/>
  <c r="X655" i="1"/>
  <c r="W655" i="1"/>
  <c r="R655" i="1" s="1"/>
  <c r="Z655" i="1"/>
  <c r="S655" i="1" s="1"/>
  <c r="P656" i="1" l="1"/>
  <c r="N656" i="1"/>
  <c r="Q656" i="1"/>
  <c r="O656" i="1"/>
  <c r="U656" i="1" l="1"/>
  <c r="AA656" i="1" s="1"/>
  <c r="T656" i="1"/>
  <c r="Z656" i="1" s="1"/>
  <c r="V656" i="1"/>
  <c r="Y656" i="1" s="1"/>
  <c r="W656" i="1" l="1"/>
  <c r="X656" i="1"/>
  <c r="AB656" i="1"/>
  <c r="S656" i="1" s="1"/>
  <c r="R656" i="1" l="1"/>
  <c r="P657" i="1"/>
  <c r="N657" i="1"/>
  <c r="Q657" i="1"/>
  <c r="O657" i="1"/>
  <c r="U657" i="1" l="1"/>
  <c r="AA657" i="1" s="1"/>
  <c r="T657" i="1"/>
  <c r="Z657" i="1" s="1"/>
  <c r="V657" i="1"/>
  <c r="AB657" i="1" s="1"/>
  <c r="X657" i="1"/>
  <c r="Y657" i="1" l="1"/>
  <c r="S657" i="1"/>
  <c r="Q658" i="1" s="1"/>
  <c r="W657" i="1"/>
  <c r="R657" i="1" s="1"/>
  <c r="O658" i="1" l="1"/>
  <c r="P658" i="1"/>
  <c r="N658" i="1"/>
  <c r="T658" i="1" l="1"/>
  <c r="Z658" i="1" s="1"/>
  <c r="U658" i="1"/>
  <c r="AA658" i="1" s="1"/>
  <c r="V658" i="1"/>
  <c r="AB658" i="1" s="1"/>
  <c r="W658" i="1" l="1"/>
  <c r="Y658" i="1"/>
  <c r="X658" i="1"/>
  <c r="S658" i="1"/>
  <c r="R658" i="1" l="1"/>
  <c r="N659" i="1"/>
  <c r="P659" i="1"/>
  <c r="Q659" i="1"/>
  <c r="O659" i="1"/>
  <c r="T659" i="1" l="1"/>
  <c r="W659" i="1" s="1"/>
  <c r="V659" i="1"/>
  <c r="Y659" i="1" s="1"/>
  <c r="U659" i="1"/>
  <c r="X659" i="1" s="1"/>
  <c r="R659" i="1" s="1"/>
  <c r="AA659" i="1" l="1"/>
  <c r="Z659" i="1"/>
  <c r="AB659" i="1"/>
  <c r="P660" i="1"/>
  <c r="N660" i="1"/>
  <c r="S659" i="1" l="1"/>
  <c r="Q660" i="1" s="1"/>
  <c r="O660" i="1"/>
  <c r="T660" i="1" l="1"/>
  <c r="V660" i="1"/>
  <c r="AB660" i="1" s="1"/>
  <c r="U660" i="1"/>
  <c r="AA660" i="1" s="1"/>
  <c r="Z660" i="1"/>
  <c r="W660" i="1"/>
  <c r="Y660" i="1"/>
  <c r="S660" i="1" l="1"/>
  <c r="X660" i="1"/>
  <c r="R660" i="1" s="1"/>
  <c r="P661" i="1" s="1"/>
  <c r="O661" i="1"/>
  <c r="Q661" i="1"/>
  <c r="N661" i="1" l="1"/>
  <c r="U661" i="1" s="1"/>
  <c r="AA661" i="1" s="1"/>
  <c r="T661" i="1" l="1"/>
  <c r="Z661" i="1" s="1"/>
  <c r="V661" i="1"/>
  <c r="X661" i="1"/>
  <c r="W661" i="1"/>
  <c r="AB661" i="1" l="1"/>
  <c r="S661" i="1" s="1"/>
  <c r="Y661" i="1"/>
  <c r="R661" i="1" s="1"/>
  <c r="P662" i="1" l="1"/>
  <c r="N662" i="1"/>
  <c r="Q662" i="1"/>
  <c r="O662" i="1"/>
  <c r="T662" i="1"/>
  <c r="Z662" i="1" s="1"/>
  <c r="U662" i="1"/>
  <c r="W662" i="1"/>
  <c r="AA662" i="1" l="1"/>
  <c r="V662" i="1"/>
  <c r="X662" i="1"/>
  <c r="AB662" i="1" l="1"/>
  <c r="S662" i="1" s="1"/>
  <c r="Y662" i="1"/>
  <c r="R662" i="1" s="1"/>
  <c r="P663" i="1" l="1"/>
  <c r="N663" i="1"/>
  <c r="Q663" i="1"/>
  <c r="O663" i="1"/>
  <c r="T663" i="1" l="1"/>
  <c r="V663" i="1"/>
  <c r="AB663" i="1" s="1"/>
  <c r="W663" i="1"/>
  <c r="Y663" i="1"/>
  <c r="U663" i="1"/>
  <c r="X663" i="1" s="1"/>
  <c r="R663" i="1" s="1"/>
  <c r="Z663" i="1"/>
  <c r="P664" i="1" l="1"/>
  <c r="N664" i="1"/>
  <c r="AA663" i="1"/>
  <c r="S663" i="1"/>
  <c r="O664" i="1" l="1"/>
  <c r="Q664" i="1"/>
  <c r="U664" i="1"/>
  <c r="X664" i="1" s="1"/>
  <c r="T664" i="1"/>
  <c r="W664" i="1" s="1"/>
  <c r="R664" i="1" s="1"/>
  <c r="V664" i="1"/>
  <c r="Y664" i="1" s="1"/>
  <c r="N665" i="1" l="1"/>
  <c r="P665" i="1"/>
  <c r="AA664" i="1"/>
  <c r="AB664" i="1"/>
  <c r="Z664" i="1"/>
  <c r="S664" i="1" s="1"/>
  <c r="Q665" i="1" s="1"/>
  <c r="O665" i="1" l="1"/>
  <c r="U665" i="1"/>
  <c r="V665" i="1"/>
  <c r="T665" i="1"/>
  <c r="X665" i="1"/>
  <c r="AA665" i="1" l="1"/>
  <c r="Z665" i="1"/>
  <c r="W665" i="1"/>
  <c r="AB665" i="1"/>
  <c r="Y665" i="1"/>
  <c r="R665" i="1" l="1"/>
  <c r="S665" i="1"/>
  <c r="Q666" i="1" l="1"/>
  <c r="O666" i="1"/>
  <c r="P666" i="1"/>
  <c r="N666" i="1"/>
  <c r="T666" i="1" l="1"/>
  <c r="Z666" i="1" s="1"/>
  <c r="V666" i="1"/>
  <c r="AB666" i="1" s="1"/>
  <c r="W666" i="1"/>
  <c r="U666" i="1"/>
  <c r="AA666" i="1" s="1"/>
  <c r="Y666" i="1"/>
  <c r="X666" i="1" l="1"/>
  <c r="R666" i="1" s="1"/>
  <c r="S666" i="1"/>
  <c r="P667" i="1" l="1"/>
  <c r="N667" i="1"/>
  <c r="O667" i="1"/>
  <c r="Q667" i="1"/>
  <c r="V667" i="1" l="1"/>
  <c r="AB667" i="1" s="1"/>
  <c r="U667" i="1"/>
  <c r="AA667" i="1" s="1"/>
  <c r="T667" i="1"/>
  <c r="Z667" i="1" s="1"/>
  <c r="Y667" i="1"/>
  <c r="W667" i="1" l="1"/>
  <c r="S667" i="1"/>
  <c r="X667" i="1"/>
  <c r="R667" i="1" s="1"/>
  <c r="P668" i="1" l="1"/>
  <c r="N668" i="1"/>
  <c r="O668" i="1"/>
  <c r="Q668" i="1"/>
  <c r="U668" i="1" l="1"/>
  <c r="AA668" i="1" s="1"/>
  <c r="T668" i="1"/>
  <c r="Z668" i="1" s="1"/>
  <c r="V668" i="1"/>
  <c r="AB668" i="1" s="1"/>
  <c r="W668" i="1"/>
  <c r="Y668" i="1" l="1"/>
  <c r="S668" i="1"/>
  <c r="O669" i="1" s="1"/>
  <c r="X668" i="1"/>
  <c r="R668" i="1" s="1"/>
  <c r="Q669" i="1" l="1"/>
  <c r="N669" i="1"/>
  <c r="P669" i="1"/>
  <c r="U669" i="1" l="1"/>
  <c r="AA669" i="1" s="1"/>
  <c r="T669" i="1"/>
  <c r="Z669" i="1" s="1"/>
  <c r="V669" i="1"/>
  <c r="AB669" i="1" s="1"/>
  <c r="X669" i="1"/>
  <c r="W669" i="1" l="1"/>
  <c r="Y669" i="1"/>
  <c r="R669" i="1" s="1"/>
  <c r="S669" i="1"/>
  <c r="Q670" i="1" s="1"/>
  <c r="O670" i="1"/>
  <c r="P670" i="1" l="1"/>
  <c r="N670" i="1"/>
  <c r="T670" i="1" l="1"/>
  <c r="Z670" i="1" s="1"/>
  <c r="V670" i="1"/>
  <c r="AB670" i="1" s="1"/>
  <c r="U670" i="1"/>
  <c r="AA670" i="1" s="1"/>
  <c r="Y670" i="1" l="1"/>
  <c r="W670" i="1"/>
  <c r="X670" i="1"/>
  <c r="S670" i="1"/>
  <c r="R670" i="1" l="1"/>
  <c r="P671" i="1" s="1"/>
  <c r="O671" i="1"/>
  <c r="Q671" i="1"/>
  <c r="N671" i="1" l="1"/>
  <c r="U671" i="1" s="1"/>
  <c r="V671" i="1"/>
  <c r="AB671" i="1" s="1"/>
  <c r="AA671" i="1" l="1"/>
  <c r="X671" i="1"/>
  <c r="T671" i="1"/>
  <c r="Z671" i="1" s="1"/>
  <c r="S671" i="1" s="1"/>
  <c r="Q672" i="1" s="1"/>
  <c r="Y671" i="1"/>
  <c r="W671" i="1"/>
  <c r="R671" i="1" s="1"/>
  <c r="O672" i="1" l="1"/>
  <c r="N672" i="1"/>
  <c r="P672" i="1"/>
  <c r="U672" i="1" l="1"/>
  <c r="AA672" i="1" s="1"/>
  <c r="V672" i="1"/>
  <c r="T672" i="1"/>
  <c r="Y672" i="1" l="1"/>
  <c r="AB672" i="1"/>
  <c r="W672" i="1"/>
  <c r="Z672" i="1"/>
  <c r="X672" i="1"/>
  <c r="S672" i="1" l="1"/>
  <c r="R672" i="1"/>
  <c r="P673" i="1" l="1"/>
  <c r="N673" i="1"/>
  <c r="Q673" i="1"/>
  <c r="O673" i="1"/>
  <c r="V673" i="1" l="1"/>
  <c r="Y673" i="1" s="1"/>
  <c r="U673" i="1"/>
  <c r="X673" i="1" s="1"/>
  <c r="T673" i="1"/>
  <c r="W673" i="1" s="1"/>
  <c r="R673" i="1" s="1"/>
  <c r="P674" i="1" s="1"/>
  <c r="AA673" i="1" l="1"/>
  <c r="AB673" i="1"/>
  <c r="N674" i="1"/>
  <c r="Z673" i="1"/>
  <c r="S673" i="1" s="1"/>
  <c r="Q674" i="1" l="1"/>
  <c r="O674" i="1"/>
  <c r="T674" i="1" l="1"/>
  <c r="U674" i="1"/>
  <c r="AA674" i="1" s="1"/>
  <c r="V674" i="1"/>
  <c r="Y674" i="1" s="1"/>
  <c r="Z674" i="1"/>
  <c r="W674" i="1"/>
  <c r="X674" i="1"/>
  <c r="AB674" i="1"/>
  <c r="S674" i="1" l="1"/>
  <c r="Q675" i="1" s="1"/>
  <c r="R674" i="1"/>
  <c r="O675" i="1"/>
  <c r="P675" i="1"/>
  <c r="N675" i="1"/>
  <c r="U675" i="1" l="1"/>
  <c r="AA675" i="1" s="1"/>
  <c r="T675" i="1"/>
  <c r="Z675" i="1" s="1"/>
  <c r="V675" i="1"/>
  <c r="AB675" i="1" s="1"/>
  <c r="W675" i="1" l="1"/>
  <c r="Y675" i="1"/>
  <c r="S675" i="1"/>
  <c r="X675" i="1"/>
  <c r="R675" i="1" s="1"/>
  <c r="N676" i="1" l="1"/>
  <c r="P676" i="1"/>
  <c r="Q676" i="1"/>
  <c r="O676" i="1"/>
  <c r="T676" i="1" l="1"/>
  <c r="Z676" i="1" s="1"/>
  <c r="U676" i="1"/>
  <c r="AA676" i="1" s="1"/>
  <c r="V676" i="1"/>
  <c r="AB676" i="1" s="1"/>
  <c r="X676" i="1" l="1"/>
  <c r="Y676" i="1"/>
  <c r="S676" i="1"/>
  <c r="W676" i="1"/>
  <c r="R676" i="1" s="1"/>
  <c r="P677" i="1" l="1"/>
  <c r="N677" i="1"/>
  <c r="O677" i="1"/>
  <c r="Q677" i="1"/>
  <c r="V677" i="1" l="1"/>
  <c r="AB677" i="1" s="1"/>
  <c r="T677" i="1"/>
  <c r="Z677" i="1" s="1"/>
  <c r="U677" i="1"/>
  <c r="AA677" i="1" s="1"/>
  <c r="W677" i="1"/>
  <c r="Y677" i="1" l="1"/>
  <c r="X677" i="1"/>
  <c r="R677" i="1" s="1"/>
  <c r="S677" i="1"/>
  <c r="Q678" i="1" s="1"/>
  <c r="O678" i="1" l="1"/>
  <c r="P678" i="1"/>
  <c r="N678" i="1"/>
  <c r="T678" i="1" s="1"/>
  <c r="Z678" i="1" s="1"/>
  <c r="V678" i="1" l="1"/>
  <c r="U678" i="1"/>
  <c r="AA678" i="1" s="1"/>
  <c r="W678" i="1"/>
  <c r="AB678" i="1"/>
  <c r="Y678" i="1"/>
  <c r="S678" i="1" l="1"/>
  <c r="X678" i="1"/>
  <c r="R678" i="1" s="1"/>
  <c r="Q679" i="1"/>
  <c r="O679" i="1"/>
  <c r="N679" i="1" l="1"/>
  <c r="P679" i="1"/>
  <c r="V679" i="1"/>
  <c r="U679" i="1"/>
  <c r="X679" i="1" s="1"/>
  <c r="T679" i="1"/>
  <c r="Z679" i="1" s="1"/>
  <c r="Y679" i="1"/>
  <c r="AB679" i="1"/>
  <c r="AA679" i="1" l="1"/>
  <c r="S679" i="1" s="1"/>
  <c r="W679" i="1"/>
  <c r="R679" i="1" s="1"/>
  <c r="P680" i="1" l="1"/>
  <c r="N680" i="1"/>
  <c r="Q680" i="1"/>
  <c r="O680" i="1"/>
  <c r="U680" i="1" l="1"/>
  <c r="AA680" i="1" s="1"/>
  <c r="V680" i="1"/>
  <c r="AB680" i="1" s="1"/>
  <c r="X680" i="1"/>
  <c r="T680" i="1"/>
  <c r="Z680" i="1" s="1"/>
  <c r="Y680" i="1" l="1"/>
  <c r="W680" i="1"/>
  <c r="R680" i="1" s="1"/>
  <c r="P681" i="1" s="1"/>
  <c r="S680" i="1"/>
  <c r="N681" i="1" l="1"/>
  <c r="Q681" i="1"/>
  <c r="O681" i="1"/>
  <c r="U681" i="1" l="1"/>
  <c r="AA681" i="1" s="1"/>
  <c r="V681" i="1"/>
  <c r="AB681" i="1" s="1"/>
  <c r="T681" i="1"/>
  <c r="Z681" i="1" s="1"/>
  <c r="X681" i="1"/>
  <c r="Y681" i="1"/>
  <c r="S681" i="1" l="1"/>
  <c r="O682" i="1" s="1"/>
  <c r="W681" i="1"/>
  <c r="Q682" i="1"/>
  <c r="R681" i="1"/>
  <c r="N682" i="1" s="1"/>
  <c r="P682" i="1" l="1"/>
  <c r="T682" i="1"/>
  <c r="Z682" i="1" s="1"/>
  <c r="U682" i="1"/>
  <c r="AA682" i="1" s="1"/>
  <c r="V682" i="1"/>
  <c r="AB682" i="1" s="1"/>
  <c r="X682" i="1"/>
  <c r="W682" i="1"/>
  <c r="S682" i="1" l="1"/>
  <c r="Y682" i="1"/>
  <c r="R682" i="1" s="1"/>
  <c r="N683" i="1" s="1"/>
  <c r="Q683" i="1"/>
  <c r="O683" i="1"/>
  <c r="P683" i="1" l="1"/>
  <c r="U683" i="1"/>
  <c r="X683" i="1" s="1"/>
  <c r="V683" i="1"/>
  <c r="Y683" i="1" s="1"/>
  <c r="T683" i="1"/>
  <c r="W683" i="1" s="1"/>
  <c r="AA683" i="1" l="1"/>
  <c r="AB683" i="1"/>
  <c r="Z683" i="1"/>
  <c r="R683" i="1"/>
  <c r="S683" i="1" l="1"/>
  <c r="N684" i="1"/>
  <c r="P684" i="1"/>
  <c r="O684" i="1" l="1"/>
  <c r="Q684" i="1"/>
  <c r="V684" i="1" l="1"/>
  <c r="Y684" i="1" s="1"/>
  <c r="T684" i="1"/>
  <c r="W684" i="1" s="1"/>
  <c r="U684" i="1"/>
  <c r="X684" i="1" s="1"/>
  <c r="AA684" i="1" l="1"/>
  <c r="R684" i="1"/>
  <c r="P685" i="1" s="1"/>
  <c r="Z684" i="1"/>
  <c r="AB684" i="1"/>
  <c r="N685" i="1" l="1"/>
  <c r="S684" i="1"/>
  <c r="Q685" i="1" l="1"/>
  <c r="O685" i="1"/>
  <c r="U685" i="1" l="1"/>
  <c r="AA685" i="1" s="1"/>
  <c r="T685" i="1"/>
  <c r="V685" i="1"/>
  <c r="Y685" i="1" s="1"/>
  <c r="Z685" i="1" l="1"/>
  <c r="W685" i="1"/>
  <c r="AB685" i="1"/>
  <c r="X685" i="1"/>
  <c r="R685" i="1" l="1"/>
  <c r="S685" i="1"/>
  <c r="Q686" i="1" l="1"/>
  <c r="O686" i="1"/>
  <c r="N686" i="1"/>
  <c r="P686" i="1"/>
  <c r="V686" i="1" l="1"/>
  <c r="AB686" i="1" s="1"/>
  <c r="U686" i="1"/>
  <c r="AA686" i="1" s="1"/>
  <c r="T686" i="1"/>
  <c r="Z686" i="1" s="1"/>
  <c r="Y686" i="1" l="1"/>
  <c r="S686" i="1"/>
  <c r="O687" i="1" s="1"/>
  <c r="W686" i="1"/>
  <c r="X686" i="1"/>
  <c r="R686" i="1" s="1"/>
  <c r="Q687" i="1" l="1"/>
  <c r="P687" i="1"/>
  <c r="N687" i="1"/>
  <c r="U687" i="1" l="1"/>
  <c r="AA687" i="1" s="1"/>
  <c r="T687" i="1"/>
  <c r="Z687" i="1" s="1"/>
  <c r="V687" i="1"/>
  <c r="Y687" i="1" l="1"/>
  <c r="AB687" i="1"/>
  <c r="W687" i="1"/>
  <c r="X687" i="1"/>
  <c r="S687" i="1"/>
  <c r="Q688" i="1" l="1"/>
  <c r="O688" i="1"/>
  <c r="R687" i="1"/>
  <c r="P688" i="1" l="1"/>
  <c r="N688" i="1"/>
  <c r="V688" i="1" l="1"/>
  <c r="AB688" i="1" s="1"/>
  <c r="T688" i="1"/>
  <c r="Z688" i="1" s="1"/>
  <c r="U688" i="1"/>
  <c r="AA688" i="1" s="1"/>
  <c r="W688" i="1" l="1"/>
  <c r="X688" i="1"/>
  <c r="S688" i="1"/>
  <c r="Y688" i="1"/>
  <c r="R688" i="1" l="1"/>
  <c r="N689" i="1" s="1"/>
  <c r="O689" i="1"/>
  <c r="Q689" i="1"/>
  <c r="P689" i="1" l="1"/>
  <c r="U689" i="1"/>
  <c r="X689" i="1" s="1"/>
  <c r="V689" i="1"/>
  <c r="Y689" i="1" s="1"/>
  <c r="T689" i="1"/>
  <c r="Z689" i="1" s="1"/>
  <c r="AA689" i="1" l="1"/>
  <c r="W689" i="1"/>
  <c r="R689" i="1" s="1"/>
  <c r="AB689" i="1"/>
  <c r="P690" i="1" l="1"/>
  <c r="N690" i="1"/>
  <c r="S689" i="1"/>
  <c r="Q690" i="1" l="1"/>
  <c r="O690" i="1"/>
  <c r="V690" i="1" l="1"/>
  <c r="AB690" i="1" s="1"/>
  <c r="U690" i="1"/>
  <c r="AA690" i="1" s="1"/>
  <c r="T690" i="1"/>
  <c r="Z690" i="1" s="1"/>
  <c r="Y690" i="1"/>
  <c r="W690" i="1" l="1"/>
  <c r="S690" i="1"/>
  <c r="Q691" i="1" s="1"/>
  <c r="X690" i="1"/>
  <c r="R690" i="1" s="1"/>
  <c r="O691" i="1" l="1"/>
  <c r="P691" i="1"/>
  <c r="N691" i="1"/>
  <c r="T691" i="1" s="1"/>
  <c r="U691" i="1" l="1"/>
  <c r="AA691" i="1" s="1"/>
  <c r="S691" i="1" s="1"/>
  <c r="V691" i="1"/>
  <c r="AB691" i="1" s="1"/>
  <c r="Z691" i="1"/>
  <c r="W691" i="1"/>
  <c r="X691" i="1"/>
  <c r="Y691" i="1" l="1"/>
  <c r="R691" i="1" s="1"/>
  <c r="Q692" i="1"/>
  <c r="O692" i="1"/>
  <c r="P692" i="1" l="1"/>
  <c r="N692" i="1"/>
  <c r="U692" i="1" s="1"/>
  <c r="AA692" i="1" s="1"/>
  <c r="T692" i="1" l="1"/>
  <c r="Z692" i="1" s="1"/>
  <c r="V692" i="1"/>
  <c r="AB692" i="1" s="1"/>
  <c r="S692" i="1" s="1"/>
  <c r="X692" i="1"/>
  <c r="W692" i="1"/>
  <c r="Y692" i="1"/>
  <c r="O693" i="1" l="1"/>
  <c r="Q693" i="1"/>
  <c r="R692" i="1"/>
  <c r="N693" i="1" s="1"/>
  <c r="P693" i="1" l="1"/>
  <c r="T693" i="1"/>
  <c r="Z693" i="1" s="1"/>
  <c r="V693" i="1"/>
  <c r="AB693" i="1" s="1"/>
  <c r="U693" i="1"/>
  <c r="AA693" i="1" s="1"/>
  <c r="W693" i="1"/>
  <c r="X693" i="1" l="1"/>
  <c r="S693" i="1"/>
  <c r="Q694" i="1" s="1"/>
  <c r="Y693" i="1"/>
  <c r="R693" i="1" s="1"/>
  <c r="O694" i="1" l="1"/>
  <c r="P694" i="1"/>
  <c r="N694" i="1"/>
  <c r="T694" i="1" l="1"/>
  <c r="Z694" i="1" s="1"/>
  <c r="U694" i="1"/>
  <c r="AA694" i="1" s="1"/>
  <c r="V694" i="1"/>
  <c r="AB694" i="1" s="1"/>
  <c r="X694" i="1" l="1"/>
  <c r="W694" i="1"/>
  <c r="Y694" i="1"/>
  <c r="S694" i="1"/>
  <c r="R694" i="1" l="1"/>
  <c r="P695" i="1" s="1"/>
  <c r="N695" i="1"/>
  <c r="O695" i="1"/>
  <c r="Q695" i="1"/>
  <c r="T695" i="1" l="1"/>
  <c r="Z695" i="1" s="1"/>
  <c r="V695" i="1"/>
  <c r="AB695" i="1" s="1"/>
  <c r="U695" i="1"/>
  <c r="AA695" i="1" s="1"/>
  <c r="Y695" i="1"/>
  <c r="W695" i="1" l="1"/>
  <c r="X695" i="1"/>
  <c r="R695" i="1" s="1"/>
  <c r="S695" i="1"/>
  <c r="P696" i="1" l="1"/>
  <c r="N696" i="1"/>
  <c r="O696" i="1"/>
  <c r="Q696" i="1"/>
  <c r="T696" i="1" l="1"/>
  <c r="Z696" i="1" s="1"/>
  <c r="V696" i="1"/>
  <c r="Y696" i="1" s="1"/>
  <c r="U696" i="1"/>
  <c r="X696" i="1" s="1"/>
  <c r="AA696" i="1" l="1"/>
  <c r="W696" i="1"/>
  <c r="R696" i="1" s="1"/>
  <c r="AB696" i="1"/>
  <c r="S696" i="1" l="1"/>
  <c r="P697" i="1"/>
  <c r="N697" i="1"/>
  <c r="Q697" i="1" l="1"/>
  <c r="O697" i="1"/>
  <c r="V697" i="1" l="1"/>
  <c r="Y697" i="1" s="1"/>
  <c r="T697" i="1"/>
  <c r="W697" i="1" s="1"/>
  <c r="U697" i="1"/>
  <c r="X697" i="1" s="1"/>
  <c r="AB697" i="1" l="1"/>
  <c r="AA697" i="1"/>
  <c r="R697" i="1"/>
  <c r="Z697" i="1"/>
  <c r="S697" i="1" l="1"/>
  <c r="P698" i="1"/>
  <c r="N698" i="1"/>
  <c r="Q698" i="1" l="1"/>
  <c r="O698" i="1"/>
  <c r="AA698" i="1" l="1"/>
  <c r="U698" i="1"/>
  <c r="X698" i="1" s="1"/>
  <c r="V698" i="1"/>
  <c r="Y698" i="1" s="1"/>
  <c r="T698" i="1"/>
  <c r="W698" i="1" s="1"/>
  <c r="R698" i="1" l="1"/>
  <c r="AB698" i="1"/>
  <c r="Z698" i="1"/>
  <c r="S698" i="1" l="1"/>
  <c r="Q699" i="1" s="1"/>
  <c r="N699" i="1"/>
  <c r="P699" i="1"/>
  <c r="O699" i="1" l="1"/>
  <c r="T699" i="1"/>
  <c r="Z699" i="1" s="1"/>
  <c r="U699" i="1"/>
  <c r="AA699" i="1" l="1"/>
  <c r="V699" i="1"/>
  <c r="AB699" i="1" s="1"/>
  <c r="S699" i="1" s="1"/>
  <c r="O700" i="1" s="1"/>
  <c r="X699" i="1"/>
  <c r="W699" i="1"/>
  <c r="Y699" i="1" l="1"/>
  <c r="R699" i="1"/>
  <c r="P700" i="1" s="1"/>
  <c r="Q700" i="1"/>
  <c r="N700" i="1" l="1"/>
  <c r="U700" i="1"/>
  <c r="AA700" i="1" s="1"/>
  <c r="T700" i="1"/>
  <c r="Z700" i="1" s="1"/>
  <c r="V700" i="1"/>
  <c r="AB700" i="1" s="1"/>
  <c r="W700" i="1" l="1"/>
  <c r="Y700" i="1"/>
  <c r="S700" i="1"/>
  <c r="X700" i="1"/>
  <c r="Q701" i="1" l="1"/>
  <c r="O701" i="1"/>
  <c r="R700" i="1"/>
  <c r="P701" i="1" l="1"/>
  <c r="N701" i="1"/>
  <c r="T701" i="1" l="1"/>
  <c r="Z701" i="1" s="1"/>
  <c r="U701" i="1"/>
  <c r="AA701" i="1" s="1"/>
  <c r="V701" i="1"/>
  <c r="W701" i="1" l="1"/>
  <c r="Y701" i="1"/>
  <c r="AB701" i="1"/>
  <c r="S701" i="1" s="1"/>
  <c r="X701" i="1"/>
  <c r="R701" i="1" s="1"/>
  <c r="P702" i="1" l="1"/>
  <c r="N702" i="1"/>
  <c r="O702" i="1"/>
  <c r="Q702" i="1"/>
  <c r="V702" i="1" l="1"/>
  <c r="Y702" i="1" s="1"/>
  <c r="T702" i="1"/>
  <c r="Z702" i="1" s="1"/>
  <c r="U702" i="1"/>
  <c r="X702" i="1" s="1"/>
  <c r="AA702" i="1" l="1"/>
  <c r="W702" i="1"/>
  <c r="AB702" i="1"/>
  <c r="S702" i="1"/>
  <c r="R702" i="1"/>
  <c r="O703" i="1" l="1"/>
  <c r="Q703" i="1"/>
  <c r="N703" i="1"/>
  <c r="P703" i="1"/>
  <c r="U703" i="1" l="1"/>
  <c r="AA703" i="1" s="1"/>
  <c r="T703" i="1"/>
  <c r="V703" i="1"/>
  <c r="W703" i="1" l="1"/>
  <c r="Z703" i="1"/>
  <c r="Y703" i="1"/>
  <c r="AB703" i="1"/>
  <c r="X703" i="1"/>
  <c r="S703" i="1" l="1"/>
  <c r="R703" i="1"/>
  <c r="P704" i="1" l="1"/>
  <c r="N704" i="1"/>
  <c r="Q704" i="1"/>
  <c r="O704" i="1"/>
  <c r="U704" i="1" l="1"/>
  <c r="X704" i="1" s="1"/>
  <c r="T704" i="1"/>
  <c r="W704" i="1" s="1"/>
  <c r="V704" i="1"/>
  <c r="Y704" i="1" s="1"/>
  <c r="AA704" i="1" l="1"/>
  <c r="Z704" i="1"/>
  <c r="R704" i="1"/>
  <c r="AB704" i="1"/>
  <c r="S704" i="1" s="1"/>
  <c r="Q705" i="1" l="1"/>
  <c r="O705" i="1"/>
  <c r="P705" i="1"/>
  <c r="N705" i="1"/>
  <c r="T705" i="1" l="1"/>
  <c r="W705" i="1" s="1"/>
  <c r="V705" i="1"/>
  <c r="Y705" i="1" s="1"/>
  <c r="U705" i="1"/>
  <c r="X705" i="1" s="1"/>
  <c r="AA705" i="1" l="1"/>
  <c r="R705" i="1"/>
  <c r="Z705" i="1"/>
  <c r="AB705" i="1"/>
  <c r="S705" i="1" l="1"/>
  <c r="P706" i="1"/>
  <c r="N706" i="1"/>
  <c r="O706" i="1" l="1"/>
  <c r="Q706" i="1"/>
  <c r="V706" i="1" l="1"/>
  <c r="Y706" i="1" s="1"/>
  <c r="T706" i="1"/>
  <c r="W706" i="1" s="1"/>
  <c r="U706" i="1"/>
  <c r="X706" i="1" s="1"/>
  <c r="AB706" i="1" l="1"/>
  <c r="AA706" i="1"/>
  <c r="R706" i="1"/>
  <c r="Z706" i="1"/>
  <c r="S706" i="1" l="1"/>
  <c r="Q707" i="1" s="1"/>
  <c r="N707" i="1"/>
  <c r="P707" i="1"/>
  <c r="O707" i="1" l="1"/>
  <c r="V707" i="1"/>
  <c r="Y707" i="1" s="1"/>
  <c r="T707" i="1" l="1"/>
  <c r="W707" i="1" s="1"/>
  <c r="U707" i="1"/>
  <c r="X707" i="1" s="1"/>
  <c r="AB707" i="1"/>
  <c r="R707" i="1" l="1"/>
  <c r="P708" i="1" s="1"/>
  <c r="AA707" i="1"/>
  <c r="Z707" i="1"/>
  <c r="S707" i="1" s="1"/>
  <c r="O708" i="1" s="1"/>
  <c r="N708" i="1"/>
  <c r="V708" i="1" l="1"/>
  <c r="Y708" i="1" s="1"/>
  <c r="T708" i="1"/>
  <c r="W708" i="1" s="1"/>
  <c r="Q708" i="1"/>
  <c r="U708" i="1"/>
  <c r="X708" i="1" s="1"/>
  <c r="R708" i="1" s="1"/>
  <c r="Z708" i="1"/>
  <c r="AB708" i="1" l="1"/>
  <c r="AA708" i="1"/>
  <c r="S708" i="1" s="1"/>
  <c r="P709" i="1"/>
  <c r="N709" i="1"/>
  <c r="Q709" i="1" l="1"/>
  <c r="O709" i="1"/>
  <c r="U709" i="1"/>
  <c r="X709" i="1" s="1"/>
  <c r="T709" i="1"/>
  <c r="W709" i="1" s="1"/>
  <c r="V709" i="1"/>
  <c r="Y709" i="1" s="1"/>
  <c r="AA709" i="1" l="1"/>
  <c r="Z709" i="1"/>
  <c r="AB709" i="1"/>
  <c r="R709" i="1"/>
  <c r="S709" i="1" l="1"/>
  <c r="Q710" i="1" s="1"/>
  <c r="O710" i="1"/>
  <c r="P710" i="1"/>
  <c r="N710" i="1"/>
  <c r="T710" i="1" l="1"/>
  <c r="Z710" i="1" s="1"/>
  <c r="U710" i="1"/>
  <c r="AA710" i="1" s="1"/>
  <c r="V710" i="1"/>
  <c r="Y710" i="1" s="1"/>
  <c r="W710" i="1" l="1"/>
  <c r="X710" i="1"/>
  <c r="R710" i="1" s="1"/>
  <c r="AB710" i="1"/>
  <c r="S710" i="1" s="1"/>
  <c r="O711" i="1" l="1"/>
  <c r="Q711" i="1"/>
  <c r="P711" i="1"/>
  <c r="N711" i="1"/>
  <c r="V711" i="1" l="1"/>
  <c r="AB711" i="1" s="1"/>
  <c r="U711" i="1"/>
  <c r="AA711" i="1" s="1"/>
  <c r="T711" i="1"/>
  <c r="Z711" i="1" s="1"/>
  <c r="X711" i="1" l="1"/>
  <c r="W711" i="1"/>
  <c r="S711" i="1"/>
  <c r="Y711" i="1"/>
  <c r="R711" i="1" s="1"/>
  <c r="N712" i="1" l="1"/>
  <c r="P712" i="1"/>
  <c r="Q712" i="1"/>
  <c r="O712" i="1"/>
  <c r="V712" i="1" l="1"/>
  <c r="AB712" i="1" s="1"/>
  <c r="T712" i="1"/>
  <c r="Z712" i="1" s="1"/>
  <c r="U712" i="1"/>
  <c r="AA712" i="1" s="1"/>
  <c r="S712" i="1" l="1"/>
  <c r="O713" i="1" s="1"/>
  <c r="W712" i="1"/>
  <c r="X712" i="1"/>
  <c r="Y712" i="1"/>
  <c r="Q713" i="1" l="1"/>
  <c r="R712" i="1"/>
  <c r="P713" i="1" s="1"/>
  <c r="N713" i="1" l="1"/>
  <c r="U713" i="1" s="1"/>
  <c r="AA713" i="1" s="1"/>
  <c r="T713" i="1" l="1"/>
  <c r="Z713" i="1" s="1"/>
  <c r="X713" i="1"/>
  <c r="V713" i="1"/>
  <c r="W713" i="1"/>
  <c r="AB713" i="1" l="1"/>
  <c r="S713" i="1" s="1"/>
  <c r="Q714" i="1" s="1"/>
  <c r="Y713" i="1"/>
  <c r="R713" i="1" s="1"/>
  <c r="O714" i="1"/>
  <c r="P714" i="1" l="1"/>
  <c r="N714" i="1"/>
  <c r="V714" i="1" s="1"/>
  <c r="AB714" i="1" s="1"/>
  <c r="T714" i="1" l="1"/>
  <c r="Z714" i="1" s="1"/>
  <c r="S714" i="1" s="1"/>
  <c r="O715" i="1" s="1"/>
  <c r="U714" i="1"/>
  <c r="AA714" i="1" s="1"/>
  <c r="W714" i="1"/>
  <c r="Y714" i="1"/>
  <c r="X714" i="1" l="1"/>
  <c r="Q715" i="1"/>
  <c r="R714" i="1"/>
  <c r="N715" i="1" l="1"/>
  <c r="P715" i="1"/>
  <c r="V715" i="1" l="1"/>
  <c r="U715" i="1"/>
  <c r="AA715" i="1" s="1"/>
  <c r="T715" i="1"/>
  <c r="X715" i="1" l="1"/>
  <c r="W715" i="1"/>
  <c r="Z715" i="1"/>
  <c r="Y715" i="1"/>
  <c r="AB715" i="1"/>
  <c r="S715" i="1" l="1"/>
  <c r="Q716" i="1" s="1"/>
  <c r="O716" i="1"/>
  <c r="R715" i="1"/>
  <c r="N716" i="1" l="1"/>
  <c r="P716" i="1"/>
  <c r="T716" i="1" l="1"/>
  <c r="Z716" i="1" s="1"/>
  <c r="U716" i="1"/>
  <c r="AA716" i="1" s="1"/>
  <c r="V716" i="1"/>
  <c r="AB716" i="1" s="1"/>
  <c r="W716" i="1"/>
  <c r="X716" i="1" l="1"/>
  <c r="Y716" i="1"/>
  <c r="R716" i="1" s="1"/>
  <c r="S716" i="1"/>
  <c r="P717" i="1" l="1"/>
  <c r="N717" i="1"/>
  <c r="O717" i="1"/>
  <c r="Q717" i="1"/>
  <c r="T717" i="1" l="1"/>
  <c r="Z717" i="1" s="1"/>
  <c r="U717" i="1"/>
  <c r="AA717" i="1" s="1"/>
  <c r="V717" i="1"/>
  <c r="AB717" i="1" s="1"/>
  <c r="W717" i="1" l="1"/>
  <c r="Y717" i="1"/>
  <c r="S717" i="1"/>
  <c r="X717" i="1"/>
  <c r="R717" i="1" s="1"/>
  <c r="P718" i="1" l="1"/>
  <c r="N718" i="1"/>
  <c r="O718" i="1"/>
  <c r="Q718" i="1"/>
  <c r="V718" i="1" l="1"/>
  <c r="AB718" i="1" s="1"/>
  <c r="T718" i="1"/>
  <c r="Z718" i="1" s="1"/>
  <c r="U718" i="1"/>
  <c r="AA718" i="1" s="1"/>
  <c r="Y718" i="1"/>
  <c r="W718" i="1"/>
  <c r="X718" i="1" l="1"/>
  <c r="R718" i="1" s="1"/>
  <c r="S718" i="1"/>
  <c r="Q719" i="1" l="1"/>
  <c r="O719" i="1"/>
  <c r="P719" i="1"/>
  <c r="N719" i="1"/>
  <c r="T719" i="1" l="1"/>
  <c r="Z719" i="1" s="1"/>
  <c r="V719" i="1"/>
  <c r="AB719" i="1" s="1"/>
  <c r="U719" i="1"/>
  <c r="AA719" i="1" s="1"/>
  <c r="W719" i="1"/>
  <c r="Y719" i="1"/>
  <c r="X719" i="1" l="1"/>
  <c r="R719" i="1" s="1"/>
  <c r="S719" i="1"/>
  <c r="P720" i="1" l="1"/>
  <c r="N720" i="1"/>
  <c r="O720" i="1"/>
  <c r="Q720" i="1"/>
  <c r="U720" i="1"/>
  <c r="V720" i="1"/>
  <c r="AB720" i="1" s="1"/>
  <c r="AA720" i="1" l="1"/>
  <c r="T720" i="1"/>
  <c r="W720" i="1" s="1"/>
  <c r="Y720" i="1"/>
  <c r="X720" i="1"/>
  <c r="Z720" i="1" l="1"/>
  <c r="S720" i="1" s="1"/>
  <c r="O721" i="1" s="1"/>
  <c r="R720" i="1"/>
  <c r="P721" i="1" s="1"/>
  <c r="N721" i="1"/>
  <c r="Q721" i="1"/>
  <c r="U721" i="1" l="1"/>
  <c r="AA721" i="1" s="1"/>
  <c r="T721" i="1"/>
  <c r="Z721" i="1" s="1"/>
  <c r="V721" i="1"/>
  <c r="AB721" i="1" s="1"/>
  <c r="X721" i="1" l="1"/>
  <c r="W721" i="1"/>
  <c r="Y721" i="1"/>
  <c r="S721" i="1"/>
  <c r="R721" i="1" l="1"/>
  <c r="P722" i="1" s="1"/>
  <c r="Q722" i="1"/>
  <c r="O722" i="1"/>
  <c r="N722" i="1"/>
  <c r="T722" i="1" l="1"/>
  <c r="Z722" i="1" s="1"/>
  <c r="V722" i="1"/>
  <c r="AB722" i="1" s="1"/>
  <c r="U722" i="1"/>
  <c r="AA722" i="1" s="1"/>
  <c r="Y722" i="1" l="1"/>
  <c r="X722" i="1"/>
  <c r="W722" i="1"/>
  <c r="R722" i="1" s="1"/>
  <c r="S722" i="1"/>
  <c r="O723" i="1" l="1"/>
  <c r="Q723" i="1"/>
  <c r="P723" i="1"/>
  <c r="N723" i="1"/>
  <c r="U723" i="1" l="1"/>
  <c r="AA723" i="1" s="1"/>
  <c r="V723" i="1"/>
  <c r="AB723" i="1" s="1"/>
  <c r="T723" i="1"/>
  <c r="Z723" i="1" s="1"/>
  <c r="X723" i="1"/>
  <c r="Y723" i="1" l="1"/>
  <c r="W723" i="1"/>
  <c r="S723" i="1"/>
  <c r="Q724" i="1" l="1"/>
  <c r="O724" i="1"/>
  <c r="R723" i="1"/>
  <c r="P724" i="1" l="1"/>
  <c r="N724" i="1"/>
  <c r="V724" i="1" l="1"/>
  <c r="AB724" i="1" s="1"/>
  <c r="U724" i="1"/>
  <c r="AA724" i="1" s="1"/>
  <c r="T724" i="1"/>
  <c r="Z724" i="1" s="1"/>
  <c r="Y724" i="1"/>
  <c r="X724" i="1"/>
  <c r="S724" i="1" l="1"/>
  <c r="W724" i="1"/>
  <c r="R724" i="1" s="1"/>
  <c r="Q725" i="1"/>
  <c r="O725" i="1"/>
  <c r="P725" i="1" l="1"/>
  <c r="N725" i="1"/>
  <c r="U725" i="1" l="1"/>
  <c r="AA725" i="1" s="1"/>
  <c r="V725" i="1"/>
  <c r="AB725" i="1" s="1"/>
  <c r="T725" i="1"/>
  <c r="Z725" i="1" s="1"/>
  <c r="X725" i="1"/>
  <c r="Y725" i="1" l="1"/>
  <c r="S725" i="1"/>
  <c r="Q726" i="1" s="1"/>
  <c r="W725" i="1"/>
  <c r="R725" i="1" s="1"/>
  <c r="O726" i="1" l="1"/>
  <c r="P726" i="1"/>
  <c r="N726" i="1"/>
  <c r="T726" i="1" l="1"/>
  <c r="Z726" i="1" s="1"/>
  <c r="V726" i="1"/>
  <c r="AB726" i="1" s="1"/>
  <c r="U726" i="1"/>
  <c r="AA726" i="1" s="1"/>
  <c r="Y726" i="1" l="1"/>
  <c r="W726" i="1"/>
  <c r="X726" i="1"/>
  <c r="S726" i="1"/>
  <c r="R726" i="1" l="1"/>
  <c r="P727" i="1" s="1"/>
  <c r="N727" i="1"/>
  <c r="O727" i="1"/>
  <c r="Q727" i="1"/>
  <c r="U727" i="1" l="1"/>
  <c r="X727" i="1" s="1"/>
  <c r="V727" i="1"/>
  <c r="AB727" i="1" s="1"/>
  <c r="T727" i="1"/>
  <c r="Z727" i="1" s="1"/>
  <c r="AA727" i="1" l="1"/>
  <c r="Y727" i="1"/>
  <c r="S727" i="1"/>
  <c r="O728" i="1" s="1"/>
  <c r="W727" i="1"/>
  <c r="R727" i="1" s="1"/>
  <c r="Q728" i="1" l="1"/>
  <c r="P728" i="1"/>
  <c r="N728" i="1"/>
  <c r="V728" i="1" l="1"/>
  <c r="AB728" i="1" s="1"/>
  <c r="T728" i="1"/>
  <c r="Z728" i="1" s="1"/>
  <c r="U728" i="1"/>
  <c r="AA728" i="1" s="1"/>
  <c r="Y728" i="1"/>
  <c r="X728" i="1" l="1"/>
  <c r="S728" i="1"/>
  <c r="W728" i="1"/>
  <c r="R728" i="1" s="1"/>
  <c r="P729" i="1" l="1"/>
  <c r="N729" i="1"/>
  <c r="Q729" i="1"/>
  <c r="O729" i="1"/>
  <c r="U729" i="1" l="1"/>
  <c r="AA729" i="1" s="1"/>
  <c r="V729" i="1"/>
  <c r="AB729" i="1" s="1"/>
  <c r="T729" i="1"/>
  <c r="Z729" i="1" s="1"/>
  <c r="X729" i="1"/>
  <c r="Y729" i="1"/>
  <c r="S729" i="1" l="1"/>
  <c r="O730" i="1" s="1"/>
  <c r="Q730" i="1"/>
  <c r="W729" i="1"/>
  <c r="R729" i="1" s="1"/>
  <c r="P730" i="1" l="1"/>
  <c r="N730" i="1"/>
  <c r="T730" i="1" l="1"/>
  <c r="Z730" i="1" s="1"/>
  <c r="V730" i="1"/>
  <c r="AB730" i="1" s="1"/>
  <c r="U730" i="1"/>
  <c r="AA730" i="1" s="1"/>
  <c r="S730" i="1" l="1"/>
  <c r="X730" i="1"/>
  <c r="O731" i="1"/>
  <c r="Q731" i="1"/>
  <c r="Y730" i="1"/>
  <c r="W730" i="1"/>
  <c r="R730" i="1" s="1"/>
  <c r="N731" i="1" l="1"/>
  <c r="P731" i="1"/>
  <c r="V731" i="1" l="1"/>
  <c r="AB731" i="1" s="1"/>
  <c r="T731" i="1"/>
  <c r="Z731" i="1" s="1"/>
  <c r="U731" i="1"/>
  <c r="AA731" i="1" s="1"/>
  <c r="Y731" i="1" l="1"/>
  <c r="S731" i="1"/>
  <c r="O732" i="1" s="1"/>
  <c r="W731" i="1"/>
  <c r="X731" i="1"/>
  <c r="Q732" i="1" l="1"/>
  <c r="R731" i="1"/>
  <c r="P732" i="1" l="1"/>
  <c r="N732" i="1"/>
  <c r="U732" i="1" l="1"/>
  <c r="AA732" i="1" s="1"/>
  <c r="T732" i="1"/>
  <c r="Z732" i="1" s="1"/>
  <c r="V732" i="1"/>
  <c r="AB732" i="1" s="1"/>
  <c r="W732" i="1" l="1"/>
  <c r="X732" i="1"/>
  <c r="S732" i="1"/>
  <c r="Y732" i="1"/>
  <c r="R732" i="1" s="1"/>
  <c r="N733" i="1" l="1"/>
  <c r="P733" i="1"/>
  <c r="Q733" i="1"/>
  <c r="O733" i="1"/>
  <c r="V733" i="1" l="1"/>
  <c r="AB733" i="1" s="1"/>
  <c r="T733" i="1"/>
  <c r="Z733" i="1" s="1"/>
  <c r="U733" i="1"/>
  <c r="AA733" i="1" s="1"/>
  <c r="W733" i="1" l="1"/>
  <c r="Y733" i="1"/>
  <c r="S733" i="1"/>
  <c r="X733" i="1"/>
  <c r="R733" i="1" l="1"/>
  <c r="N734" i="1"/>
  <c r="P734" i="1"/>
  <c r="O734" i="1"/>
  <c r="Q734" i="1"/>
  <c r="T734" i="1" l="1"/>
  <c r="Z734" i="1" s="1"/>
  <c r="U734" i="1"/>
  <c r="AA734" i="1" s="1"/>
  <c r="V734" i="1"/>
  <c r="AB734" i="1" s="1"/>
  <c r="W734" i="1" l="1"/>
  <c r="Y734" i="1"/>
  <c r="S734" i="1"/>
  <c r="X734" i="1"/>
  <c r="R734" i="1" s="1"/>
  <c r="O735" i="1" l="1"/>
  <c r="Q735" i="1"/>
  <c r="P735" i="1"/>
  <c r="N735" i="1"/>
  <c r="U735" i="1" l="1"/>
  <c r="AA735" i="1" s="1"/>
  <c r="V735" i="1"/>
  <c r="AB735" i="1" s="1"/>
  <c r="T735" i="1"/>
  <c r="Z735" i="1" s="1"/>
  <c r="S735" i="1" l="1"/>
  <c r="Q736" i="1" s="1"/>
  <c r="X735" i="1"/>
  <c r="Y735" i="1"/>
  <c r="W735" i="1"/>
  <c r="O736" i="1" l="1"/>
  <c r="R735" i="1"/>
  <c r="P736" i="1" l="1"/>
  <c r="N736" i="1"/>
  <c r="V736" i="1" l="1"/>
  <c r="AB736" i="1" s="1"/>
  <c r="T736" i="1"/>
  <c r="Z736" i="1" s="1"/>
  <c r="U736" i="1"/>
  <c r="AA736" i="1" s="1"/>
  <c r="X736" i="1" l="1"/>
  <c r="S736" i="1"/>
  <c r="Q737" i="1" s="1"/>
  <c r="Y736" i="1"/>
  <c r="O737" i="1"/>
  <c r="W736" i="1"/>
  <c r="R736" i="1" l="1"/>
  <c r="N737" i="1" s="1"/>
  <c r="P737" i="1"/>
  <c r="V737" i="1" l="1"/>
  <c r="AB737" i="1" s="1"/>
  <c r="U737" i="1"/>
  <c r="AA737" i="1" s="1"/>
  <c r="T737" i="1"/>
  <c r="Z737" i="1" s="1"/>
  <c r="X737" i="1" l="1"/>
  <c r="W737" i="1"/>
  <c r="Y737" i="1"/>
  <c r="S737" i="1"/>
  <c r="R737" i="1" l="1"/>
  <c r="P738" i="1" s="1"/>
  <c r="N738" i="1"/>
  <c r="O738" i="1"/>
  <c r="Q738" i="1"/>
  <c r="U738" i="1" l="1"/>
  <c r="AA738" i="1" s="1"/>
  <c r="V738" i="1"/>
  <c r="T738" i="1"/>
  <c r="Z738" i="1" l="1"/>
  <c r="W738" i="1"/>
  <c r="X738" i="1"/>
  <c r="AB738" i="1"/>
  <c r="Y738" i="1"/>
  <c r="R738" i="1" l="1"/>
  <c r="P739" i="1" s="1"/>
  <c r="N739" i="1"/>
  <c r="S738" i="1"/>
  <c r="O739" i="1" l="1"/>
  <c r="Q739" i="1"/>
  <c r="V739" i="1" l="1"/>
  <c r="Y739" i="1" s="1"/>
  <c r="U739" i="1"/>
  <c r="AA739" i="1" s="1"/>
  <c r="T739" i="1"/>
  <c r="W739" i="1" s="1"/>
  <c r="X739" i="1" l="1"/>
  <c r="R739" i="1" s="1"/>
  <c r="Z739" i="1"/>
  <c r="AB739" i="1"/>
  <c r="N740" i="1" l="1"/>
  <c r="P740" i="1"/>
  <c r="S739" i="1"/>
  <c r="O740" i="1" l="1"/>
  <c r="Q740" i="1"/>
  <c r="V740" i="1"/>
  <c r="Y740" i="1" s="1"/>
  <c r="U740" i="1"/>
  <c r="X740" i="1" s="1"/>
  <c r="T740" i="1"/>
  <c r="W740" i="1" s="1"/>
  <c r="AA740" i="1" l="1"/>
  <c r="R740" i="1"/>
  <c r="P741" i="1" s="1"/>
  <c r="AB740" i="1"/>
  <c r="Z740" i="1"/>
  <c r="N741" i="1"/>
  <c r="S740" i="1" l="1"/>
  <c r="Q741" i="1" l="1"/>
  <c r="O741" i="1"/>
  <c r="T741" i="1" l="1"/>
  <c r="V741" i="1"/>
  <c r="U741" i="1"/>
  <c r="AA741" i="1" s="1"/>
  <c r="AB741" i="1" l="1"/>
  <c r="Y741" i="1"/>
  <c r="X741" i="1"/>
  <c r="Z741" i="1"/>
  <c r="S741" i="1" s="1"/>
  <c r="W741" i="1"/>
  <c r="R741" i="1" l="1"/>
  <c r="O742" i="1"/>
  <c r="Q742" i="1"/>
  <c r="P742" i="1" l="1"/>
  <c r="N742" i="1"/>
  <c r="U742" i="1" l="1"/>
  <c r="AA742" i="1" s="1"/>
  <c r="V742" i="1"/>
  <c r="AB742" i="1" s="1"/>
  <c r="T742" i="1"/>
  <c r="X742" i="1" l="1"/>
  <c r="Y742" i="1"/>
  <c r="W742" i="1"/>
  <c r="Z742" i="1"/>
  <c r="S742" i="1" s="1"/>
  <c r="Q743" i="1" l="1"/>
  <c r="O743" i="1"/>
  <c r="R742" i="1"/>
  <c r="N743" i="1" l="1"/>
  <c r="P743" i="1"/>
  <c r="U743" i="1" l="1"/>
  <c r="AA743" i="1" s="1"/>
  <c r="T743" i="1"/>
  <c r="Z743" i="1" s="1"/>
  <c r="V743" i="1"/>
  <c r="Y743" i="1" l="1"/>
  <c r="AB743" i="1"/>
  <c r="S743" i="1" s="1"/>
  <c r="X743" i="1"/>
  <c r="W743" i="1"/>
  <c r="R743" i="1" s="1"/>
  <c r="O744" i="1" l="1"/>
  <c r="Q744" i="1"/>
  <c r="N744" i="1"/>
  <c r="P744" i="1"/>
  <c r="U744" i="1" l="1"/>
  <c r="AA744" i="1" s="1"/>
  <c r="T744" i="1"/>
  <c r="W744" i="1" s="1"/>
  <c r="V744" i="1"/>
  <c r="AB744" i="1" s="1"/>
  <c r="X744" i="1"/>
  <c r="Z744" i="1" l="1"/>
  <c r="Y744" i="1"/>
  <c r="R744" i="1" s="1"/>
  <c r="S744" i="1"/>
  <c r="Q745" i="1" l="1"/>
  <c r="O745" i="1"/>
  <c r="P745" i="1"/>
  <c r="N745" i="1"/>
  <c r="V745" i="1" l="1"/>
  <c r="AB745" i="1" s="1"/>
  <c r="U745" i="1"/>
  <c r="AA745" i="1" s="1"/>
  <c r="T745" i="1"/>
  <c r="W745" i="1" s="1"/>
  <c r="Y745" i="1"/>
  <c r="Z745" i="1" l="1"/>
  <c r="S745" i="1" s="1"/>
  <c r="Q746" i="1" s="1"/>
  <c r="X745" i="1"/>
  <c r="R745" i="1" s="1"/>
  <c r="O746" i="1" l="1"/>
  <c r="P746" i="1"/>
  <c r="N746" i="1"/>
  <c r="U746" i="1" l="1"/>
  <c r="AA746" i="1" s="1"/>
  <c r="V746" i="1"/>
  <c r="AB746" i="1" s="1"/>
  <c r="T746" i="1"/>
  <c r="Z746" i="1" s="1"/>
  <c r="W746" i="1" l="1"/>
  <c r="Y746" i="1"/>
  <c r="S746" i="1"/>
  <c r="Q747" i="1" s="1"/>
  <c r="X746" i="1"/>
  <c r="R746" i="1" s="1"/>
  <c r="O747" i="1"/>
  <c r="N747" i="1" l="1"/>
  <c r="U747" i="1" s="1"/>
  <c r="AA747" i="1" s="1"/>
  <c r="P747" i="1"/>
  <c r="V747" i="1" l="1"/>
  <c r="AB747" i="1" s="1"/>
  <c r="T747" i="1"/>
  <c r="Z747" i="1" s="1"/>
  <c r="S747" i="1" s="1"/>
  <c r="X747" i="1"/>
  <c r="W747" i="1" l="1"/>
  <c r="Y747" i="1"/>
  <c r="R747" i="1" s="1"/>
  <c r="Q748" i="1"/>
  <c r="O748" i="1"/>
  <c r="P748" i="1" l="1"/>
  <c r="N748" i="1"/>
  <c r="U748" i="1" s="1"/>
  <c r="AA748" i="1" s="1"/>
  <c r="T748" i="1" l="1"/>
  <c r="W748" i="1" s="1"/>
  <c r="V748" i="1"/>
  <c r="AB748" i="1" s="1"/>
  <c r="X748" i="1"/>
  <c r="Z748" i="1"/>
  <c r="S748" i="1" s="1"/>
  <c r="Y748" i="1"/>
  <c r="R748" i="1" s="1"/>
  <c r="N749" i="1" l="1"/>
  <c r="P749" i="1"/>
  <c r="O749" i="1"/>
  <c r="Q749" i="1"/>
  <c r="T749" i="1" l="1"/>
  <c r="W749" i="1" s="1"/>
  <c r="V749" i="1"/>
  <c r="Y749" i="1" s="1"/>
  <c r="U749" i="1"/>
  <c r="X749" i="1" s="1"/>
  <c r="AA749" i="1" l="1"/>
  <c r="R749" i="1"/>
  <c r="AB749" i="1"/>
  <c r="Z749" i="1"/>
  <c r="S749" i="1" s="1"/>
  <c r="O750" i="1" l="1"/>
  <c r="Q750" i="1"/>
  <c r="P750" i="1"/>
  <c r="N750" i="1"/>
  <c r="V750" i="1" l="1"/>
  <c r="AB750" i="1" s="1"/>
  <c r="U750" i="1"/>
  <c r="AA750" i="1" s="1"/>
  <c r="T750" i="1"/>
  <c r="Z750" i="1" s="1"/>
  <c r="X750" i="1" l="1"/>
  <c r="Y750" i="1"/>
  <c r="S750" i="1"/>
  <c r="Q751" i="1" s="1"/>
  <c r="W750" i="1"/>
  <c r="O751" i="1"/>
  <c r="R750" i="1" l="1"/>
  <c r="N751" i="1" s="1"/>
  <c r="P751" i="1" l="1"/>
  <c r="V751" i="1"/>
  <c r="AB751" i="1" s="1"/>
  <c r="U751" i="1"/>
  <c r="AA751" i="1" s="1"/>
  <c r="T751" i="1"/>
  <c r="Z751" i="1" s="1"/>
  <c r="Y751" i="1" l="1"/>
  <c r="S751" i="1"/>
  <c r="X751" i="1"/>
  <c r="W751" i="1"/>
  <c r="R751" i="1" s="1"/>
  <c r="Q752" i="1"/>
  <c r="O752" i="1"/>
  <c r="P752" i="1" l="1"/>
  <c r="N752" i="1"/>
  <c r="T752" i="1" l="1"/>
  <c r="Z752" i="1" s="1"/>
  <c r="V752" i="1"/>
  <c r="AB752" i="1" s="1"/>
  <c r="U752" i="1"/>
  <c r="AA752" i="1" s="1"/>
  <c r="W752" i="1"/>
  <c r="Y752" i="1" l="1"/>
  <c r="X752" i="1"/>
  <c r="R752" i="1" s="1"/>
  <c r="S752" i="1"/>
  <c r="N753" i="1" l="1"/>
  <c r="P753" i="1"/>
  <c r="Q753" i="1"/>
  <c r="O753" i="1"/>
  <c r="V753" i="1" l="1"/>
  <c r="AB753" i="1" s="1"/>
  <c r="T753" i="1"/>
  <c r="Z753" i="1" s="1"/>
  <c r="U753" i="1"/>
  <c r="AA753" i="1" s="1"/>
  <c r="S753" i="1" l="1"/>
  <c r="O754" i="1" s="1"/>
  <c r="Y753" i="1"/>
  <c r="X753" i="1"/>
  <c r="Q754" i="1"/>
  <c r="W753" i="1"/>
  <c r="R753" i="1" l="1"/>
  <c r="N754" i="1"/>
  <c r="P754" i="1"/>
  <c r="V754" i="1" l="1"/>
  <c r="AB754" i="1" s="1"/>
  <c r="T754" i="1"/>
  <c r="Z754" i="1" s="1"/>
  <c r="U754" i="1"/>
  <c r="AA754" i="1" s="1"/>
  <c r="W754" i="1" l="1"/>
  <c r="X754" i="1"/>
  <c r="S754" i="1"/>
  <c r="Y754" i="1"/>
  <c r="R754" i="1" s="1"/>
  <c r="P755" i="1" l="1"/>
  <c r="N755" i="1"/>
  <c r="Q755" i="1"/>
  <c r="O755" i="1"/>
  <c r="V755" i="1" l="1"/>
  <c r="AB755" i="1" s="1"/>
  <c r="T755" i="1"/>
  <c r="Z755" i="1" s="1"/>
  <c r="U755" i="1"/>
  <c r="AA755" i="1" s="1"/>
  <c r="Y755" i="1"/>
  <c r="S755" i="1" l="1"/>
  <c r="X755" i="1"/>
  <c r="W755" i="1"/>
  <c r="R755" i="1" l="1"/>
  <c r="P756" i="1"/>
  <c r="N756" i="1"/>
  <c r="Q756" i="1"/>
  <c r="O756" i="1"/>
  <c r="T756" i="1" l="1"/>
  <c r="Z756" i="1" s="1"/>
  <c r="U756" i="1"/>
  <c r="AA756" i="1" s="1"/>
  <c r="V756" i="1"/>
  <c r="AB756" i="1" s="1"/>
  <c r="X756" i="1"/>
  <c r="Y756" i="1" l="1"/>
  <c r="W756" i="1"/>
  <c r="R756" i="1" s="1"/>
  <c r="S756" i="1"/>
  <c r="Q757" i="1" l="1"/>
  <c r="O757" i="1"/>
  <c r="P757" i="1"/>
  <c r="N757" i="1"/>
  <c r="V757" i="1" l="1"/>
  <c r="AB757" i="1" s="1"/>
  <c r="U757" i="1"/>
  <c r="AA757" i="1" s="1"/>
  <c r="T757" i="1"/>
  <c r="Z757" i="1" s="1"/>
  <c r="Y757" i="1"/>
  <c r="X757" i="1"/>
  <c r="S757" i="1" l="1"/>
  <c r="Q758" i="1" s="1"/>
  <c r="W757" i="1"/>
  <c r="R757" i="1" s="1"/>
  <c r="O758" i="1"/>
  <c r="N758" i="1" l="1"/>
  <c r="P758" i="1"/>
  <c r="T758" i="1" l="1"/>
  <c r="Z758" i="1" s="1"/>
  <c r="V758" i="1"/>
  <c r="AB758" i="1" s="1"/>
  <c r="U758" i="1"/>
  <c r="AA758" i="1" s="1"/>
  <c r="W758" i="1"/>
  <c r="Y758" i="1" l="1"/>
  <c r="X758" i="1"/>
  <c r="R758" i="1" s="1"/>
  <c r="S758" i="1"/>
  <c r="Q759" i="1" l="1"/>
  <c r="O759" i="1"/>
  <c r="N759" i="1"/>
  <c r="P759" i="1"/>
  <c r="U759" i="1" l="1"/>
  <c r="AA759" i="1" s="1"/>
  <c r="V759" i="1"/>
  <c r="AB759" i="1" s="1"/>
  <c r="T759" i="1"/>
  <c r="Z759" i="1" s="1"/>
  <c r="Y759" i="1" l="1"/>
  <c r="X759" i="1"/>
  <c r="S759" i="1"/>
  <c r="O760" i="1" s="1"/>
  <c r="W759" i="1"/>
  <c r="Q760" i="1"/>
  <c r="R759" i="1" l="1"/>
  <c r="P760" i="1" s="1"/>
  <c r="N760" i="1" l="1"/>
  <c r="V760" i="1" s="1"/>
  <c r="AB760" i="1" s="1"/>
  <c r="T760" i="1" l="1"/>
  <c r="Z760" i="1" s="1"/>
  <c r="Y760" i="1"/>
  <c r="U760" i="1"/>
  <c r="AA760" i="1" s="1"/>
  <c r="W760" i="1"/>
  <c r="X760" i="1" l="1"/>
  <c r="R760" i="1"/>
  <c r="P761" i="1" s="1"/>
  <c r="S760" i="1"/>
  <c r="N761" i="1" l="1"/>
  <c r="Q761" i="1"/>
  <c r="O761" i="1"/>
  <c r="T761" i="1" l="1"/>
  <c r="V761" i="1"/>
  <c r="AB761" i="1" s="1"/>
  <c r="Z761" i="1"/>
  <c r="W761" i="1"/>
  <c r="U761" i="1"/>
  <c r="AA761" i="1" s="1"/>
  <c r="S761" i="1" s="1"/>
  <c r="Q762" i="1" s="1"/>
  <c r="Y761" i="1"/>
  <c r="X761" i="1" l="1"/>
  <c r="R761" i="1" s="1"/>
  <c r="O762" i="1"/>
  <c r="N762" i="1"/>
  <c r="P762" i="1"/>
  <c r="T762" i="1" l="1"/>
  <c r="Z762" i="1" s="1"/>
  <c r="U762" i="1"/>
  <c r="AA762" i="1" s="1"/>
  <c r="V762" i="1"/>
  <c r="AB762" i="1" s="1"/>
  <c r="X762" i="1" l="1"/>
  <c r="Y762" i="1"/>
  <c r="S762" i="1"/>
  <c r="W762" i="1"/>
  <c r="R762" i="1" s="1"/>
  <c r="P763" i="1" l="1"/>
  <c r="N763" i="1"/>
  <c r="Q763" i="1"/>
  <c r="O763" i="1"/>
  <c r="T763" i="1" l="1"/>
  <c r="Z763" i="1" s="1"/>
  <c r="U763" i="1"/>
  <c r="AA763" i="1" s="1"/>
  <c r="V763" i="1"/>
  <c r="AB763" i="1" s="1"/>
  <c r="W763" i="1"/>
  <c r="Y763" i="1" l="1"/>
  <c r="X763" i="1"/>
  <c r="S763" i="1"/>
  <c r="R763" i="1" l="1"/>
  <c r="N764" i="1" s="1"/>
  <c r="O764" i="1"/>
  <c r="Q764" i="1"/>
  <c r="P764" i="1" l="1"/>
  <c r="T764" i="1"/>
  <c r="W764" i="1" s="1"/>
  <c r="V764" i="1"/>
  <c r="Y764" i="1" s="1"/>
  <c r="U764" i="1"/>
  <c r="X764" i="1" s="1"/>
  <c r="AA764" i="1" l="1"/>
  <c r="R764" i="1"/>
  <c r="Z764" i="1"/>
  <c r="AB764" i="1"/>
  <c r="S764" i="1" l="1"/>
  <c r="N765" i="1"/>
  <c r="P765" i="1"/>
  <c r="Q765" i="1" l="1"/>
  <c r="O765" i="1"/>
  <c r="T765" i="1" l="1"/>
  <c r="U765" i="1"/>
  <c r="AA765" i="1" s="1"/>
  <c r="V765" i="1"/>
  <c r="AB765" i="1" s="1"/>
  <c r="Z765" i="1"/>
  <c r="W765" i="1"/>
  <c r="Y765" i="1" l="1"/>
  <c r="X765" i="1"/>
  <c r="R765" i="1" s="1"/>
  <c r="S765" i="1"/>
  <c r="O766" i="1" l="1"/>
  <c r="Q766" i="1"/>
  <c r="N766" i="1"/>
  <c r="P766" i="1"/>
  <c r="V766" i="1" l="1"/>
  <c r="T766" i="1"/>
  <c r="U766" i="1"/>
  <c r="AA766" i="1" s="1"/>
  <c r="W766" i="1" l="1"/>
  <c r="Z766" i="1"/>
  <c r="X766" i="1"/>
  <c r="Y766" i="1"/>
  <c r="AB766" i="1"/>
  <c r="S766" i="1" l="1"/>
  <c r="R766" i="1"/>
  <c r="P767" i="1" l="1"/>
  <c r="N767" i="1"/>
  <c r="O767" i="1"/>
  <c r="Q767" i="1"/>
  <c r="AA767" i="1" l="1"/>
  <c r="U767" i="1"/>
  <c r="V767" i="1"/>
  <c r="AB767" i="1" s="1"/>
  <c r="T767" i="1"/>
  <c r="Z767" i="1" s="1"/>
  <c r="S767" i="1" l="1"/>
  <c r="O768" i="1" s="1"/>
  <c r="Y767" i="1"/>
  <c r="X767" i="1"/>
  <c r="Q768" i="1"/>
  <c r="W767" i="1"/>
  <c r="R767" i="1" l="1"/>
  <c r="P768" i="1" s="1"/>
  <c r="N768" i="1" l="1"/>
  <c r="V768" i="1" s="1"/>
  <c r="AB768" i="1" s="1"/>
  <c r="T768" i="1" l="1"/>
  <c r="Z768" i="1" s="1"/>
  <c r="U768" i="1"/>
  <c r="AA768" i="1" s="1"/>
  <c r="S768" i="1" s="1"/>
  <c r="Y768" i="1"/>
  <c r="X768" i="1"/>
  <c r="W768" i="1"/>
  <c r="R768" i="1" s="1"/>
  <c r="N769" i="1" l="1"/>
  <c r="P769" i="1"/>
  <c r="O769" i="1"/>
  <c r="Q769" i="1"/>
  <c r="V769" i="1" l="1"/>
  <c r="AB769" i="1" s="1"/>
  <c r="U769" i="1"/>
  <c r="AA769" i="1" s="1"/>
  <c r="T769" i="1"/>
  <c r="Z769" i="1" s="1"/>
  <c r="Y769" i="1"/>
  <c r="X769" i="1" l="1"/>
  <c r="W769" i="1"/>
  <c r="R769" i="1" s="1"/>
  <c r="S769" i="1"/>
  <c r="Q770" i="1" s="1"/>
  <c r="P770" i="1" l="1"/>
  <c r="N770" i="1"/>
  <c r="O770" i="1"/>
  <c r="U770" i="1" l="1"/>
  <c r="AA770" i="1" s="1"/>
  <c r="T770" i="1"/>
  <c r="Z770" i="1" s="1"/>
  <c r="V770" i="1"/>
  <c r="AB770" i="1" s="1"/>
  <c r="X770" i="1" l="1"/>
  <c r="W770" i="1"/>
  <c r="Y770" i="1"/>
  <c r="S770" i="1"/>
  <c r="R770" i="1" l="1"/>
  <c r="P771" i="1"/>
  <c r="N771" i="1"/>
  <c r="Q771" i="1"/>
  <c r="O771" i="1"/>
  <c r="U771" i="1" l="1"/>
  <c r="AA771" i="1" s="1"/>
  <c r="T771" i="1"/>
  <c r="Z771" i="1" s="1"/>
  <c r="V771" i="1"/>
  <c r="AB771" i="1" s="1"/>
  <c r="X771" i="1"/>
  <c r="W771" i="1"/>
  <c r="S771" i="1" l="1"/>
  <c r="Q772" i="1" s="1"/>
  <c r="Y771" i="1"/>
  <c r="R771" i="1"/>
  <c r="O772" i="1"/>
  <c r="N772" i="1"/>
  <c r="P772" i="1"/>
  <c r="T772" i="1" l="1"/>
  <c r="Z772" i="1" s="1"/>
  <c r="V772" i="1"/>
  <c r="AB772" i="1" s="1"/>
  <c r="U772" i="1"/>
  <c r="AA772" i="1" s="1"/>
  <c r="W772" i="1" l="1"/>
  <c r="X772" i="1"/>
  <c r="S772" i="1"/>
  <c r="Y772" i="1"/>
  <c r="Q773" i="1" l="1"/>
  <c r="O773" i="1"/>
  <c r="R772" i="1"/>
  <c r="P773" i="1" l="1"/>
  <c r="N773" i="1"/>
  <c r="V773" i="1" l="1"/>
  <c r="AB773" i="1" s="1"/>
  <c r="T773" i="1"/>
  <c r="Z773" i="1" s="1"/>
  <c r="U773" i="1"/>
  <c r="AA773" i="1" s="1"/>
  <c r="W773" i="1"/>
  <c r="Y773" i="1" l="1"/>
  <c r="S773" i="1"/>
  <c r="O774" i="1" s="1"/>
  <c r="X773" i="1"/>
  <c r="R773" i="1" s="1"/>
  <c r="Q774" i="1" l="1"/>
  <c r="N774" i="1"/>
  <c r="P774" i="1"/>
  <c r="U774" i="1" l="1"/>
  <c r="AA774" i="1" s="1"/>
  <c r="V774" i="1"/>
  <c r="AB774" i="1" s="1"/>
  <c r="T774" i="1"/>
  <c r="Z774" i="1" s="1"/>
  <c r="Y774" i="1" l="1"/>
  <c r="X774" i="1"/>
  <c r="W774" i="1"/>
  <c r="R774" i="1" s="1"/>
  <c r="S774" i="1"/>
  <c r="O775" i="1" s="1"/>
  <c r="Q775" i="1" l="1"/>
  <c r="P775" i="1"/>
  <c r="N775" i="1"/>
  <c r="U775" i="1" l="1"/>
  <c r="AA775" i="1" s="1"/>
  <c r="V775" i="1"/>
  <c r="AB775" i="1" s="1"/>
  <c r="T775" i="1"/>
  <c r="Z775" i="1" s="1"/>
  <c r="Y775" i="1" l="1"/>
  <c r="W775" i="1"/>
  <c r="X775" i="1"/>
  <c r="S775" i="1"/>
  <c r="Q776" i="1" s="1"/>
  <c r="O776" i="1" l="1"/>
  <c r="R775" i="1"/>
  <c r="N776" i="1" s="1"/>
  <c r="V776" i="1" s="1"/>
  <c r="AB776" i="1" s="1"/>
  <c r="P776" i="1" l="1"/>
  <c r="U776" i="1"/>
  <c r="AA776" i="1" s="1"/>
  <c r="Y776" i="1"/>
  <c r="T776" i="1"/>
  <c r="Z776" i="1" s="1"/>
  <c r="X776" i="1"/>
  <c r="S776" i="1" l="1"/>
  <c r="W776" i="1"/>
  <c r="R776" i="1" s="1"/>
  <c r="Q777" i="1"/>
  <c r="O777" i="1"/>
  <c r="P777" i="1" l="1"/>
  <c r="N777" i="1"/>
  <c r="T777" i="1" s="1"/>
  <c r="W777" i="1" s="1"/>
  <c r="U777" i="1" l="1"/>
  <c r="AA777" i="1" s="1"/>
  <c r="V777" i="1"/>
  <c r="Y777" i="1" s="1"/>
  <c r="Z777" i="1"/>
  <c r="AB777" i="1"/>
  <c r="X777" i="1" l="1"/>
  <c r="R777" i="1" s="1"/>
  <c r="S777" i="1"/>
  <c r="P778" i="1" l="1"/>
  <c r="N778" i="1"/>
  <c r="O778" i="1"/>
  <c r="Q778" i="1"/>
  <c r="V778" i="1" l="1"/>
  <c r="Y778" i="1" s="1"/>
  <c r="T778" i="1"/>
  <c r="W778" i="1" s="1"/>
  <c r="U778" i="1"/>
  <c r="X778" i="1" s="1"/>
  <c r="AA778" i="1" l="1"/>
  <c r="R778" i="1"/>
  <c r="P779" i="1"/>
  <c r="N779" i="1"/>
  <c r="Z778" i="1"/>
  <c r="AB778" i="1"/>
  <c r="S778" i="1" l="1"/>
  <c r="Q779" i="1" l="1"/>
  <c r="O779" i="1"/>
  <c r="U779" i="1" l="1"/>
  <c r="AA779" i="1" s="1"/>
  <c r="T779" i="1"/>
  <c r="V779" i="1"/>
  <c r="Z779" i="1" l="1"/>
  <c r="W779" i="1"/>
  <c r="AB779" i="1"/>
  <c r="Y779" i="1"/>
  <c r="X779" i="1"/>
  <c r="R779" i="1" l="1"/>
  <c r="S779" i="1"/>
  <c r="Q780" i="1" l="1"/>
  <c r="O780" i="1"/>
  <c r="P780" i="1"/>
  <c r="N780" i="1"/>
  <c r="U780" i="1" l="1"/>
  <c r="AA780" i="1" s="1"/>
  <c r="T780" i="1"/>
  <c r="Z780" i="1" s="1"/>
  <c r="V780" i="1"/>
  <c r="AB780" i="1" s="1"/>
  <c r="W780" i="1" l="1"/>
  <c r="Y780" i="1"/>
  <c r="S780" i="1"/>
  <c r="O781" i="1" s="1"/>
  <c r="X780" i="1"/>
  <c r="R780" i="1" s="1"/>
  <c r="Q781" i="1" l="1"/>
  <c r="P781" i="1"/>
  <c r="N781" i="1"/>
  <c r="V781" i="1" l="1"/>
  <c r="AB781" i="1" s="1"/>
  <c r="U781" i="1"/>
  <c r="AA781" i="1" s="1"/>
  <c r="T781" i="1"/>
  <c r="Z781" i="1" s="1"/>
  <c r="Y781" i="1"/>
  <c r="X781" i="1" l="1"/>
  <c r="S781" i="1"/>
  <c r="Q782" i="1" s="1"/>
  <c r="W781" i="1"/>
  <c r="R781" i="1" s="1"/>
  <c r="O782" i="1" l="1"/>
  <c r="N782" i="1"/>
  <c r="P782" i="1"/>
  <c r="V782" i="1" l="1"/>
  <c r="AB782" i="1" s="1"/>
  <c r="U782" i="1"/>
  <c r="AA782" i="1" s="1"/>
  <c r="T782" i="1"/>
  <c r="Z782" i="1" s="1"/>
  <c r="X782" i="1" l="1"/>
  <c r="W782" i="1"/>
  <c r="Y782" i="1"/>
  <c r="R782" i="1" s="1"/>
  <c r="P783" i="1" s="1"/>
  <c r="S782" i="1"/>
  <c r="O783" i="1" s="1"/>
  <c r="Q783" i="1" l="1"/>
  <c r="N783" i="1"/>
  <c r="T783" i="1" s="1"/>
  <c r="Z783" i="1" s="1"/>
  <c r="W783" i="1" l="1"/>
  <c r="U783" i="1"/>
  <c r="AA783" i="1" s="1"/>
  <c r="V783" i="1"/>
  <c r="AB783" i="1" s="1"/>
  <c r="S783" i="1" s="1"/>
  <c r="X783" i="1" l="1"/>
  <c r="Y783" i="1"/>
  <c r="O784" i="1"/>
  <c r="Q784" i="1"/>
  <c r="R783" i="1" l="1"/>
  <c r="P784" i="1" l="1"/>
  <c r="N784" i="1"/>
  <c r="U784" i="1" l="1"/>
  <c r="AA784" i="1" s="1"/>
  <c r="T784" i="1"/>
  <c r="V784" i="1"/>
  <c r="AB784" i="1" s="1"/>
  <c r="Z784" i="1" l="1"/>
  <c r="W784" i="1"/>
  <c r="Y784" i="1"/>
  <c r="X784" i="1"/>
  <c r="R784" i="1" l="1"/>
  <c r="S784" i="1"/>
  <c r="O785" i="1" l="1"/>
  <c r="Q785" i="1"/>
  <c r="N785" i="1"/>
  <c r="P785" i="1"/>
  <c r="V785" i="1" l="1"/>
  <c r="AB785" i="1" s="1"/>
  <c r="T785" i="1"/>
  <c r="Z785" i="1" s="1"/>
  <c r="U785" i="1"/>
  <c r="AA785" i="1" s="1"/>
  <c r="Y785" i="1"/>
  <c r="W785" i="1" l="1"/>
  <c r="X785" i="1"/>
  <c r="R785" i="1" s="1"/>
  <c r="S785" i="1"/>
  <c r="P786" i="1" l="1"/>
  <c r="N786" i="1"/>
  <c r="O786" i="1"/>
  <c r="Q786" i="1"/>
  <c r="V786" i="1" l="1"/>
  <c r="AB786" i="1" s="1"/>
  <c r="U786" i="1"/>
  <c r="AA786" i="1" s="1"/>
  <c r="T786" i="1"/>
  <c r="Z786" i="1" s="1"/>
  <c r="Y786" i="1" l="1"/>
  <c r="S786" i="1"/>
  <c r="X786" i="1"/>
  <c r="Q787" i="1"/>
  <c r="O787" i="1"/>
  <c r="W786" i="1"/>
  <c r="R786" i="1" s="1"/>
  <c r="N787" i="1" l="1"/>
  <c r="P787" i="1"/>
  <c r="V787" i="1" l="1"/>
  <c r="AB787" i="1" s="1"/>
  <c r="T787" i="1"/>
  <c r="Z787" i="1" s="1"/>
  <c r="U787" i="1"/>
  <c r="AA787" i="1" s="1"/>
  <c r="Y787" i="1"/>
  <c r="W787" i="1" l="1"/>
  <c r="X787" i="1"/>
  <c r="S787" i="1"/>
  <c r="R787" i="1"/>
  <c r="N788" i="1" l="1"/>
  <c r="P788" i="1"/>
  <c r="Q788" i="1"/>
  <c r="O788" i="1"/>
  <c r="T788" i="1" l="1"/>
  <c r="Z788" i="1" s="1"/>
  <c r="V788" i="1"/>
  <c r="AB788" i="1" s="1"/>
  <c r="U788" i="1"/>
  <c r="AA788" i="1" s="1"/>
  <c r="W788" i="1"/>
  <c r="Y788" i="1" l="1"/>
  <c r="X788" i="1"/>
  <c r="R788" i="1" s="1"/>
  <c r="S788" i="1"/>
  <c r="Q789" i="1" l="1"/>
  <c r="O789" i="1"/>
  <c r="P789" i="1"/>
  <c r="N789" i="1"/>
  <c r="V789" i="1" l="1"/>
  <c r="U789" i="1"/>
  <c r="AA789" i="1" s="1"/>
  <c r="T789" i="1"/>
  <c r="Z789" i="1" l="1"/>
  <c r="W789" i="1"/>
  <c r="AB789" i="1"/>
  <c r="Y789" i="1"/>
  <c r="X789" i="1"/>
  <c r="R789" i="1" l="1"/>
  <c r="S789" i="1"/>
  <c r="Q790" i="1" l="1"/>
  <c r="O790" i="1"/>
  <c r="N790" i="1"/>
  <c r="P790" i="1"/>
  <c r="V790" i="1" l="1"/>
  <c r="AB790" i="1" s="1"/>
  <c r="U790" i="1"/>
  <c r="AA790" i="1" s="1"/>
  <c r="T790" i="1"/>
  <c r="Z790" i="1" s="1"/>
  <c r="Y790" i="1"/>
  <c r="X790" i="1"/>
  <c r="S790" i="1" l="1"/>
  <c r="W790" i="1"/>
  <c r="R790" i="1" s="1"/>
  <c r="P791" i="1" s="1"/>
  <c r="Q791" i="1"/>
  <c r="O791" i="1"/>
  <c r="N791" i="1"/>
  <c r="V791" i="1" l="1"/>
  <c r="U791" i="1"/>
  <c r="AA791" i="1" s="1"/>
  <c r="T791" i="1"/>
  <c r="X791" i="1" l="1"/>
  <c r="W791" i="1"/>
  <c r="Z791" i="1"/>
  <c r="Y791" i="1"/>
  <c r="AB791" i="1"/>
  <c r="S791" i="1" l="1"/>
  <c r="Q792" i="1" s="1"/>
  <c r="O792" i="1"/>
  <c r="R791" i="1"/>
  <c r="N792" i="1" l="1"/>
  <c r="P792" i="1"/>
  <c r="V792" i="1" l="1"/>
  <c r="AB792" i="1" s="1"/>
  <c r="U792" i="1"/>
  <c r="AA792" i="1" s="1"/>
  <c r="T792" i="1"/>
  <c r="Z792" i="1" s="1"/>
  <c r="S792" i="1" s="1"/>
  <c r="Y792" i="1"/>
  <c r="X792" i="1"/>
  <c r="Q793" i="1" l="1"/>
  <c r="O793" i="1"/>
  <c r="W792" i="1"/>
  <c r="R792" i="1" s="1"/>
  <c r="P793" i="1" l="1"/>
  <c r="N793" i="1"/>
  <c r="T793" i="1" l="1"/>
  <c r="Z793" i="1" s="1"/>
  <c r="V793" i="1"/>
  <c r="AB793" i="1" s="1"/>
  <c r="U793" i="1"/>
  <c r="AA793" i="1" s="1"/>
  <c r="X793" i="1" l="1"/>
  <c r="Y793" i="1"/>
  <c r="S793" i="1"/>
  <c r="W793" i="1"/>
  <c r="R793" i="1" s="1"/>
  <c r="N794" i="1" l="1"/>
  <c r="P794" i="1"/>
  <c r="Q794" i="1"/>
  <c r="O794" i="1"/>
  <c r="T794" i="1" l="1"/>
  <c r="Z794" i="1" s="1"/>
  <c r="V794" i="1"/>
  <c r="AB794" i="1" s="1"/>
  <c r="U794" i="1"/>
  <c r="AA794" i="1" s="1"/>
  <c r="W794" i="1"/>
  <c r="Y794" i="1"/>
  <c r="X794" i="1" l="1"/>
  <c r="R794" i="1" s="1"/>
  <c r="P795" i="1" s="1"/>
  <c r="S794" i="1"/>
  <c r="N795" i="1" l="1"/>
  <c r="Q795" i="1"/>
  <c r="O795" i="1"/>
  <c r="U795" i="1" l="1"/>
  <c r="AA795" i="1" s="1"/>
  <c r="T795" i="1"/>
  <c r="W795" i="1" s="1"/>
  <c r="V795" i="1"/>
  <c r="AB795" i="1" s="1"/>
  <c r="Y795" i="1"/>
  <c r="X795" i="1"/>
  <c r="Z795" i="1"/>
  <c r="S795" i="1" l="1"/>
  <c r="O796" i="1"/>
  <c r="Q796" i="1"/>
  <c r="R795" i="1"/>
  <c r="P796" i="1" l="1"/>
  <c r="N796" i="1"/>
  <c r="T796" i="1" l="1"/>
  <c r="Z796" i="1" s="1"/>
  <c r="V796" i="1"/>
  <c r="AB796" i="1" s="1"/>
  <c r="U796" i="1"/>
  <c r="AA796" i="1" s="1"/>
  <c r="W796" i="1"/>
  <c r="Y796" i="1"/>
  <c r="X796" i="1" l="1"/>
  <c r="R796" i="1" s="1"/>
  <c r="S796" i="1"/>
  <c r="Q797" i="1" l="1"/>
  <c r="O797" i="1"/>
  <c r="N797" i="1"/>
  <c r="P797" i="1"/>
  <c r="U797" i="1" l="1"/>
  <c r="AA797" i="1" s="1"/>
  <c r="V797" i="1"/>
  <c r="AB797" i="1" s="1"/>
  <c r="T797" i="1"/>
  <c r="Z797" i="1" s="1"/>
  <c r="X797" i="1" l="1"/>
  <c r="W797" i="1"/>
  <c r="R797" i="1" s="1"/>
  <c r="Y797" i="1"/>
  <c r="S797" i="1"/>
  <c r="O798" i="1" l="1"/>
  <c r="Q798" i="1"/>
  <c r="P798" i="1"/>
  <c r="N798" i="1"/>
  <c r="T798" i="1" l="1"/>
  <c r="U798" i="1"/>
  <c r="AA798" i="1" s="1"/>
  <c r="V798" i="1"/>
  <c r="X798" i="1" l="1"/>
  <c r="AB798" i="1"/>
  <c r="Y798" i="1"/>
  <c r="W798" i="1"/>
  <c r="R798" i="1" s="1"/>
  <c r="Z798" i="1"/>
  <c r="S798" i="1" s="1"/>
  <c r="O799" i="1" l="1"/>
  <c r="Q799" i="1"/>
  <c r="N799" i="1"/>
  <c r="P799" i="1"/>
  <c r="T799" i="1" l="1"/>
  <c r="V799" i="1"/>
  <c r="U799" i="1"/>
  <c r="AA799" i="1" s="1"/>
  <c r="Y799" i="1" l="1"/>
  <c r="AB799" i="1"/>
  <c r="X799" i="1"/>
  <c r="W799" i="1"/>
  <c r="Z799" i="1"/>
  <c r="S799" i="1" s="1"/>
  <c r="O800" i="1" s="1"/>
  <c r="Q800" i="1" l="1"/>
  <c r="R799" i="1"/>
  <c r="P800" i="1" l="1"/>
  <c r="N800" i="1"/>
  <c r="V800" i="1" l="1"/>
  <c r="U800" i="1"/>
  <c r="AA800" i="1" s="1"/>
  <c r="T800" i="1"/>
  <c r="X800" i="1" l="1"/>
  <c r="W800" i="1"/>
  <c r="Z800" i="1"/>
  <c r="Y800" i="1"/>
  <c r="AB800" i="1"/>
  <c r="S800" i="1" l="1"/>
  <c r="R800" i="1"/>
  <c r="N801" i="1" l="1"/>
  <c r="P801" i="1"/>
  <c r="O801" i="1"/>
  <c r="Q801" i="1"/>
  <c r="U801" i="1" l="1"/>
  <c r="AA801" i="1" s="1"/>
  <c r="V801" i="1"/>
  <c r="T801" i="1"/>
  <c r="AB801" i="1" l="1"/>
  <c r="Y801" i="1"/>
  <c r="Z801" i="1"/>
  <c r="W801" i="1"/>
  <c r="X801" i="1"/>
  <c r="R801" i="1" l="1"/>
  <c r="S801" i="1"/>
  <c r="Q802" i="1" l="1"/>
  <c r="O802" i="1"/>
  <c r="P802" i="1"/>
  <c r="N802" i="1"/>
  <c r="U802" i="1" l="1"/>
  <c r="AA802" i="1" s="1"/>
  <c r="V802" i="1"/>
  <c r="AB802" i="1" s="1"/>
  <c r="T802" i="1"/>
  <c r="Z802" i="1" s="1"/>
  <c r="Y802" i="1"/>
  <c r="X802" i="1"/>
  <c r="S802" i="1" l="1"/>
  <c r="O803" i="1"/>
  <c r="Q803" i="1"/>
  <c r="W802" i="1"/>
  <c r="R802" i="1" s="1"/>
  <c r="N803" i="1" l="1"/>
  <c r="P803" i="1"/>
  <c r="V803" i="1" l="1"/>
  <c r="AB803" i="1" s="1"/>
  <c r="T803" i="1"/>
  <c r="Z803" i="1" s="1"/>
  <c r="U803" i="1"/>
  <c r="AA803" i="1" s="1"/>
  <c r="Y803" i="1"/>
  <c r="X803" i="1" l="1"/>
  <c r="W803" i="1"/>
  <c r="R803" i="1" s="1"/>
  <c r="S803" i="1"/>
  <c r="O804" i="1" l="1"/>
  <c r="Q804" i="1"/>
  <c r="P804" i="1"/>
  <c r="N804" i="1"/>
  <c r="T804" i="1" l="1"/>
  <c r="Z804" i="1" s="1"/>
  <c r="V804" i="1"/>
  <c r="AB804" i="1" s="1"/>
  <c r="U804" i="1"/>
  <c r="AA804" i="1" s="1"/>
  <c r="W804" i="1"/>
  <c r="Y804" i="1"/>
  <c r="X804" i="1"/>
  <c r="R804" i="1" l="1"/>
  <c r="S804" i="1"/>
  <c r="Q805" i="1" l="1"/>
  <c r="O805" i="1"/>
  <c r="N805" i="1"/>
  <c r="P805" i="1"/>
  <c r="T805" i="1" l="1"/>
  <c r="U805" i="1"/>
  <c r="AA805" i="1" s="1"/>
  <c r="V805" i="1"/>
  <c r="AB805" i="1" l="1"/>
  <c r="Y805" i="1"/>
  <c r="Z805" i="1"/>
  <c r="S805" i="1" s="1"/>
  <c r="W805" i="1"/>
  <c r="X805" i="1"/>
  <c r="R805" i="1" l="1"/>
  <c r="O806" i="1"/>
  <c r="Q806" i="1"/>
  <c r="P806" i="1" l="1"/>
  <c r="N806" i="1"/>
  <c r="U806" i="1" l="1"/>
  <c r="AA806" i="1" s="1"/>
  <c r="V806" i="1"/>
  <c r="AB806" i="1" s="1"/>
  <c r="T806" i="1"/>
  <c r="Y806" i="1" l="1"/>
  <c r="Z806" i="1"/>
  <c r="W806" i="1"/>
  <c r="X806" i="1"/>
  <c r="S806" i="1" l="1"/>
  <c r="R806" i="1"/>
  <c r="P807" i="1" l="1"/>
  <c r="N807" i="1"/>
  <c r="O807" i="1"/>
  <c r="Q807" i="1"/>
  <c r="V807" i="1" l="1"/>
  <c r="AB807" i="1" s="1"/>
  <c r="U807" i="1"/>
  <c r="AA807" i="1" s="1"/>
  <c r="T807" i="1"/>
  <c r="Z807" i="1" s="1"/>
  <c r="X807" i="1"/>
  <c r="Y807" i="1"/>
  <c r="S807" i="1" l="1"/>
  <c r="W807" i="1"/>
  <c r="R807" i="1" s="1"/>
  <c r="O808" i="1"/>
  <c r="Q808" i="1"/>
  <c r="P808" i="1" l="1"/>
  <c r="N808" i="1"/>
  <c r="V808" i="1" s="1"/>
  <c r="U808" i="1" l="1"/>
  <c r="AA808" i="1" s="1"/>
  <c r="T808" i="1"/>
  <c r="Z808" i="1" s="1"/>
  <c r="X808" i="1"/>
  <c r="AB808" i="1"/>
  <c r="Y808" i="1"/>
  <c r="S808" i="1"/>
  <c r="W808" i="1"/>
  <c r="R808" i="1" s="1"/>
  <c r="P809" i="1" s="1"/>
  <c r="N809" i="1" l="1"/>
  <c r="O809" i="1"/>
  <c r="Q809" i="1"/>
  <c r="T809" i="1" l="1"/>
  <c r="Z809" i="1" s="1"/>
  <c r="U809" i="1"/>
  <c r="AA809" i="1" s="1"/>
  <c r="S809" i="1" s="1"/>
  <c r="Q810" i="1" s="1"/>
  <c r="V809" i="1"/>
  <c r="AB809" i="1" s="1"/>
  <c r="X809" i="1"/>
  <c r="W809" i="1"/>
  <c r="Y809" i="1" l="1"/>
  <c r="R809" i="1" s="1"/>
  <c r="O810" i="1"/>
  <c r="P810" i="1" l="1"/>
  <c r="N810" i="1"/>
  <c r="V810" i="1" s="1"/>
  <c r="AB810" i="1" s="1"/>
  <c r="T810" i="1"/>
  <c r="Z810" i="1" s="1"/>
  <c r="U810" i="1"/>
  <c r="AA810" i="1" s="1"/>
  <c r="Y810" i="1" l="1"/>
  <c r="X810" i="1"/>
  <c r="S810" i="1"/>
  <c r="O811" i="1" s="1"/>
  <c r="W810" i="1"/>
  <c r="R810" i="1" s="1"/>
  <c r="Q811" i="1" l="1"/>
  <c r="N811" i="1"/>
  <c r="P811" i="1"/>
  <c r="V811" i="1" l="1"/>
  <c r="AB811" i="1" s="1"/>
  <c r="U811" i="1"/>
  <c r="AA811" i="1" s="1"/>
  <c r="T811" i="1"/>
  <c r="Z811" i="1" s="1"/>
  <c r="S811" i="1" l="1"/>
  <c r="X811" i="1"/>
  <c r="Y811" i="1"/>
  <c r="Q812" i="1"/>
  <c r="O812" i="1"/>
  <c r="W811" i="1"/>
  <c r="R811" i="1" s="1"/>
  <c r="P812" i="1" l="1"/>
  <c r="N812" i="1"/>
  <c r="U812" i="1" l="1"/>
  <c r="AA812" i="1" s="1"/>
  <c r="T812" i="1"/>
  <c r="Z812" i="1" s="1"/>
  <c r="V812" i="1"/>
  <c r="AB812" i="1" s="1"/>
  <c r="S812" i="1" l="1"/>
  <c r="X812" i="1"/>
  <c r="O813" i="1"/>
  <c r="Q813" i="1"/>
  <c r="Y812" i="1"/>
  <c r="W812" i="1"/>
  <c r="R812" i="1" s="1"/>
  <c r="N813" i="1" l="1"/>
  <c r="P813" i="1"/>
  <c r="T813" i="1" l="1"/>
  <c r="Z813" i="1" s="1"/>
  <c r="U813" i="1"/>
  <c r="AA813" i="1" s="1"/>
  <c r="V813" i="1"/>
  <c r="AB813" i="1" s="1"/>
  <c r="X813" i="1" l="1"/>
  <c r="W813" i="1"/>
  <c r="Y813" i="1"/>
  <c r="S813" i="1"/>
  <c r="R813" i="1" l="1"/>
  <c r="P814" i="1" s="1"/>
  <c r="N814" i="1"/>
  <c r="O814" i="1"/>
  <c r="Q814" i="1"/>
  <c r="V814" i="1" l="1"/>
  <c r="AB814" i="1" s="1"/>
  <c r="U814" i="1"/>
  <c r="AA814" i="1" s="1"/>
  <c r="T814" i="1"/>
  <c r="Z814" i="1" s="1"/>
  <c r="Y814" i="1" l="1"/>
  <c r="X814" i="1"/>
  <c r="W814" i="1"/>
  <c r="S814" i="1"/>
  <c r="O815" i="1" l="1"/>
  <c r="Q815" i="1"/>
  <c r="R814" i="1"/>
  <c r="P815" i="1" l="1"/>
  <c r="N815" i="1"/>
  <c r="T815" i="1" s="1"/>
  <c r="Z815" i="1" s="1"/>
  <c r="V815" i="1" l="1"/>
  <c r="AB815" i="1" s="1"/>
  <c r="U815" i="1"/>
  <c r="AA815" i="1" s="1"/>
  <c r="W815" i="1"/>
  <c r="X815" i="1" l="1"/>
  <c r="Y815" i="1"/>
  <c r="R815" i="1" s="1"/>
  <c r="S815" i="1"/>
  <c r="O816" i="1" s="1"/>
  <c r="Q816" i="1" l="1"/>
  <c r="P816" i="1"/>
  <c r="N816" i="1"/>
  <c r="T816" i="1" s="1"/>
  <c r="U816" i="1" l="1"/>
  <c r="AA816" i="1" s="1"/>
  <c r="V816" i="1"/>
  <c r="AB816" i="1" s="1"/>
  <c r="Z816" i="1"/>
  <c r="W816" i="1"/>
  <c r="X816" i="1"/>
  <c r="S816" i="1"/>
  <c r="Q817" i="1" s="1"/>
  <c r="Y816" i="1"/>
  <c r="R816" i="1" s="1"/>
  <c r="O817" i="1" l="1"/>
  <c r="P817" i="1"/>
  <c r="N817" i="1"/>
  <c r="T817" i="1" l="1"/>
  <c r="Z817" i="1" s="1"/>
  <c r="U817" i="1"/>
  <c r="AA817" i="1" s="1"/>
  <c r="V817" i="1"/>
  <c r="AB817" i="1" s="1"/>
  <c r="X817" i="1" l="1"/>
  <c r="Y817" i="1"/>
  <c r="W817" i="1"/>
  <c r="S817" i="1"/>
  <c r="R817" i="1" l="1"/>
  <c r="N818" i="1"/>
  <c r="P818" i="1"/>
  <c r="O818" i="1"/>
  <c r="Q818" i="1"/>
  <c r="T818" i="1" l="1"/>
  <c r="U818" i="1"/>
  <c r="X818" i="1" s="1"/>
  <c r="V818" i="1"/>
  <c r="AA818" i="1" l="1"/>
  <c r="AB818" i="1"/>
  <c r="Y818" i="1"/>
  <c r="Z818" i="1"/>
  <c r="W818" i="1"/>
  <c r="S818" i="1" l="1"/>
  <c r="Q819" i="1" s="1"/>
  <c r="R818" i="1"/>
  <c r="P819" i="1" s="1"/>
  <c r="O819" i="1" l="1"/>
  <c r="N819" i="1"/>
  <c r="U819" i="1" l="1"/>
  <c r="AA819" i="1" s="1"/>
  <c r="T819" i="1"/>
  <c r="Z819" i="1" s="1"/>
  <c r="V819" i="1"/>
  <c r="X819" i="1" l="1"/>
  <c r="W819" i="1"/>
  <c r="AB819" i="1"/>
  <c r="S819" i="1" s="1"/>
  <c r="Q820" i="1" s="1"/>
  <c r="Y819" i="1"/>
  <c r="R819" i="1" s="1"/>
  <c r="P820" i="1" l="1"/>
  <c r="N820" i="1"/>
  <c r="O820" i="1"/>
  <c r="U820" i="1" l="1"/>
  <c r="AA820" i="1" s="1"/>
  <c r="T820" i="1"/>
  <c r="Z820" i="1" s="1"/>
  <c r="V820" i="1"/>
  <c r="AB820" i="1" s="1"/>
  <c r="X820" i="1"/>
  <c r="W820" i="1"/>
  <c r="S820" i="1" l="1"/>
  <c r="Y820" i="1"/>
  <c r="Q821" i="1"/>
  <c r="O821" i="1"/>
  <c r="R820" i="1"/>
  <c r="N821" i="1" l="1"/>
  <c r="P821" i="1"/>
  <c r="T821" i="1" l="1"/>
  <c r="Z821" i="1" s="1"/>
  <c r="U821" i="1"/>
  <c r="AA821" i="1" s="1"/>
  <c r="V821" i="1"/>
  <c r="AB821" i="1" s="1"/>
  <c r="W821" i="1" l="1"/>
  <c r="Y821" i="1"/>
  <c r="S821" i="1"/>
  <c r="X821" i="1"/>
  <c r="R821" i="1" l="1"/>
  <c r="P822" i="1"/>
  <c r="N822" i="1"/>
  <c r="O822" i="1"/>
  <c r="Q822" i="1"/>
  <c r="U822" i="1" l="1"/>
  <c r="AA822" i="1" s="1"/>
  <c r="T822" i="1"/>
  <c r="Z822" i="1" s="1"/>
  <c r="V822" i="1"/>
  <c r="AB822" i="1" s="1"/>
  <c r="X822" i="1" l="1"/>
  <c r="S822" i="1"/>
  <c r="O823" i="1" s="1"/>
  <c r="Y822" i="1"/>
  <c r="Q823" i="1"/>
  <c r="W822" i="1"/>
  <c r="R822" i="1" s="1"/>
  <c r="P823" i="1" l="1"/>
  <c r="N823" i="1"/>
  <c r="V823" i="1" l="1"/>
  <c r="AB823" i="1" s="1"/>
  <c r="U823" i="1"/>
  <c r="AA823" i="1" s="1"/>
  <c r="T823" i="1"/>
  <c r="Z823" i="1" s="1"/>
  <c r="Y823" i="1"/>
  <c r="S823" i="1" l="1"/>
  <c r="Q824" i="1" s="1"/>
  <c r="W823" i="1"/>
  <c r="X823" i="1"/>
  <c r="O824" i="1" l="1"/>
  <c r="R823" i="1"/>
  <c r="N824" i="1" l="1"/>
  <c r="P824" i="1"/>
  <c r="T824" i="1" l="1"/>
  <c r="Z824" i="1" s="1"/>
  <c r="U824" i="1"/>
  <c r="AA824" i="1" s="1"/>
  <c r="V824" i="1"/>
  <c r="AB824" i="1" s="1"/>
  <c r="X824" i="1"/>
  <c r="W824" i="1" l="1"/>
  <c r="Y824" i="1"/>
  <c r="R824" i="1" s="1"/>
  <c r="S824" i="1"/>
  <c r="O825" i="1" l="1"/>
  <c r="Q825" i="1"/>
  <c r="P825" i="1"/>
  <c r="N825" i="1"/>
  <c r="U825" i="1" l="1"/>
  <c r="AA825" i="1" s="1"/>
  <c r="V825" i="1"/>
  <c r="Y825" i="1" s="1"/>
  <c r="T825" i="1"/>
  <c r="W825" i="1" s="1"/>
  <c r="X825" i="1" l="1"/>
  <c r="R825" i="1" s="1"/>
  <c r="AB825" i="1"/>
  <c r="Z825" i="1"/>
  <c r="S825" i="1" l="1"/>
  <c r="N826" i="1"/>
  <c r="P826" i="1"/>
  <c r="Q826" i="1"/>
  <c r="O826" i="1"/>
  <c r="V826" i="1" l="1"/>
  <c r="AB826" i="1" s="1"/>
  <c r="U826" i="1"/>
  <c r="AA826" i="1" s="1"/>
  <c r="T826" i="1"/>
  <c r="Z826" i="1" s="1"/>
  <c r="Y826" i="1"/>
  <c r="S826" i="1" l="1"/>
  <c r="Q827" i="1" s="1"/>
  <c r="W826" i="1"/>
  <c r="O827" i="1"/>
  <c r="X826" i="1"/>
  <c r="R826" i="1" l="1"/>
  <c r="P827" i="1" l="1"/>
  <c r="N827" i="1"/>
  <c r="V827" i="1" l="1"/>
  <c r="AB827" i="1" s="1"/>
  <c r="T827" i="1"/>
  <c r="Z827" i="1" s="1"/>
  <c r="U827" i="1"/>
  <c r="AA827" i="1" s="1"/>
  <c r="S827" i="1" l="1"/>
  <c r="W827" i="1"/>
  <c r="Q828" i="1"/>
  <c r="O828" i="1"/>
  <c r="X827" i="1"/>
  <c r="Y827" i="1"/>
  <c r="R827" i="1" l="1"/>
  <c r="P828" i="1" l="1"/>
  <c r="N828" i="1"/>
  <c r="T828" i="1" l="1"/>
  <c r="Z828" i="1" s="1"/>
  <c r="V828" i="1"/>
  <c r="AB828" i="1" s="1"/>
  <c r="U828" i="1"/>
  <c r="AA828" i="1" s="1"/>
  <c r="Y828" i="1" l="1"/>
  <c r="W828" i="1"/>
  <c r="X828" i="1"/>
  <c r="S828" i="1"/>
  <c r="R828" i="1" l="1"/>
  <c r="P829" i="1" s="1"/>
  <c r="N829" i="1"/>
  <c r="Q829" i="1"/>
  <c r="O829" i="1"/>
  <c r="T829" i="1" l="1"/>
  <c r="Z829" i="1" s="1"/>
  <c r="V829" i="1"/>
  <c r="AB829" i="1" s="1"/>
  <c r="U829" i="1"/>
  <c r="AA829" i="1" s="1"/>
  <c r="Y829" i="1" l="1"/>
  <c r="X829" i="1"/>
  <c r="S829" i="1"/>
  <c r="W829" i="1"/>
  <c r="Q830" i="1" l="1"/>
  <c r="O830" i="1"/>
  <c r="R829" i="1"/>
  <c r="P830" i="1" l="1"/>
  <c r="N830" i="1"/>
  <c r="U830" i="1" l="1"/>
  <c r="AA830" i="1" s="1"/>
  <c r="T830" i="1"/>
  <c r="Z830" i="1" s="1"/>
  <c r="V830" i="1"/>
  <c r="AB830" i="1" s="1"/>
  <c r="W830" i="1" l="1"/>
  <c r="Y830" i="1"/>
  <c r="S830" i="1"/>
  <c r="X830" i="1"/>
  <c r="Q831" i="1" l="1"/>
  <c r="O831" i="1"/>
  <c r="R830" i="1"/>
  <c r="N831" i="1" l="1"/>
  <c r="P831" i="1"/>
  <c r="V831" i="1" l="1"/>
  <c r="AB831" i="1" s="1"/>
  <c r="T831" i="1"/>
  <c r="Z831" i="1" s="1"/>
  <c r="U831" i="1"/>
  <c r="AA831" i="1" s="1"/>
  <c r="W831" i="1" l="1"/>
  <c r="Y831" i="1"/>
  <c r="S831" i="1"/>
  <c r="X831" i="1"/>
  <c r="R831" i="1" s="1"/>
  <c r="P832" i="1" l="1"/>
  <c r="N832" i="1"/>
  <c r="O832" i="1"/>
  <c r="Q832" i="1"/>
  <c r="T832" i="1" l="1"/>
  <c r="Z832" i="1" s="1"/>
  <c r="V832" i="1"/>
  <c r="AB832" i="1" s="1"/>
  <c r="U832" i="1"/>
  <c r="AA832" i="1" s="1"/>
  <c r="Y832" i="1" l="1"/>
  <c r="S832" i="1"/>
  <c r="W832" i="1"/>
  <c r="X832" i="1"/>
  <c r="R832" i="1" l="1"/>
  <c r="P833" i="1" s="1"/>
  <c r="O833" i="1"/>
  <c r="Q833" i="1"/>
  <c r="N833" i="1" l="1"/>
  <c r="U833" i="1" s="1"/>
  <c r="AA833" i="1" s="1"/>
  <c r="X833" i="1" l="1"/>
  <c r="V833" i="1"/>
  <c r="AB833" i="1" s="1"/>
  <c r="T833" i="1"/>
  <c r="Z833" i="1" s="1"/>
  <c r="S833" i="1" l="1"/>
  <c r="Y833" i="1"/>
  <c r="W833" i="1"/>
  <c r="R833" i="1" s="1"/>
  <c r="O834" i="1"/>
  <c r="Q834" i="1"/>
  <c r="P834" i="1" l="1"/>
  <c r="N834" i="1"/>
  <c r="V834" i="1" l="1"/>
  <c r="AB834" i="1" s="1"/>
  <c r="T834" i="1"/>
  <c r="Z834" i="1" s="1"/>
  <c r="U834" i="1"/>
  <c r="AA834" i="1" s="1"/>
  <c r="W834" i="1" l="1"/>
  <c r="S834" i="1"/>
  <c r="X834" i="1"/>
  <c r="Y834" i="1"/>
  <c r="R834" i="1" l="1"/>
  <c r="N835" i="1"/>
  <c r="P835" i="1"/>
  <c r="Q835" i="1"/>
  <c r="O835" i="1"/>
  <c r="T835" i="1" l="1"/>
  <c r="Z835" i="1" s="1"/>
  <c r="V835" i="1"/>
  <c r="AB835" i="1" s="1"/>
  <c r="U835" i="1"/>
  <c r="AA835" i="1" s="1"/>
  <c r="W835" i="1" l="1"/>
  <c r="X835" i="1"/>
  <c r="S835" i="1"/>
  <c r="Y835" i="1"/>
  <c r="R835" i="1" s="1"/>
  <c r="Q836" i="1" l="1"/>
  <c r="O836" i="1"/>
  <c r="N836" i="1"/>
  <c r="P836" i="1"/>
  <c r="T836" i="1" l="1"/>
  <c r="Z836" i="1" s="1"/>
  <c r="U836" i="1"/>
  <c r="AA836" i="1" s="1"/>
  <c r="V836" i="1"/>
  <c r="AB836" i="1" s="1"/>
  <c r="Y836" i="1" l="1"/>
  <c r="X836" i="1"/>
  <c r="S836" i="1"/>
  <c r="W836" i="1"/>
  <c r="R836" i="1" l="1"/>
  <c r="P837" i="1" s="1"/>
  <c r="Q837" i="1"/>
  <c r="O837" i="1"/>
  <c r="N837" i="1" l="1"/>
  <c r="T837" i="1" s="1"/>
  <c r="V837" i="1" l="1"/>
  <c r="AB837" i="1" s="1"/>
  <c r="Z837" i="1"/>
  <c r="W837" i="1"/>
  <c r="U837" i="1"/>
  <c r="AA837" i="1" s="1"/>
  <c r="S837" i="1" s="1"/>
  <c r="Y837" i="1"/>
  <c r="X837" i="1" l="1"/>
  <c r="R837" i="1"/>
  <c r="N838" i="1" s="1"/>
  <c r="O838" i="1"/>
  <c r="Q838" i="1"/>
  <c r="P838" i="1" l="1"/>
  <c r="U838" i="1"/>
  <c r="AA838" i="1" s="1"/>
  <c r="T838" i="1"/>
  <c r="Z838" i="1" s="1"/>
  <c r="V838" i="1"/>
  <c r="AB838" i="1" s="1"/>
  <c r="X838" i="1"/>
  <c r="S838" i="1" l="1"/>
  <c r="Q839" i="1"/>
  <c r="O839" i="1"/>
  <c r="Y838" i="1"/>
  <c r="W838" i="1"/>
  <c r="R838" i="1" l="1"/>
  <c r="P839" i="1" l="1"/>
  <c r="N839" i="1"/>
  <c r="U839" i="1" l="1"/>
  <c r="AA839" i="1" s="1"/>
  <c r="V839" i="1"/>
  <c r="AB839" i="1" s="1"/>
  <c r="T839" i="1"/>
  <c r="Z839" i="1" s="1"/>
  <c r="Y839" i="1"/>
  <c r="S839" i="1" l="1"/>
  <c r="X839" i="1"/>
  <c r="W839" i="1"/>
  <c r="R839" i="1" s="1"/>
  <c r="N840" i="1" s="1"/>
  <c r="O840" i="1"/>
  <c r="Q840" i="1"/>
  <c r="P840" i="1" l="1"/>
  <c r="U840" i="1"/>
  <c r="X840" i="1" s="1"/>
  <c r="V840" i="1"/>
  <c r="Y840" i="1" s="1"/>
  <c r="T840" i="1"/>
  <c r="W840" i="1" s="1"/>
  <c r="AA840" i="1" l="1"/>
  <c r="R840" i="1"/>
  <c r="P841" i="1" s="1"/>
  <c r="AB840" i="1"/>
  <c r="Z840" i="1"/>
  <c r="S840" i="1" s="1"/>
  <c r="N841" i="1" l="1"/>
  <c r="Q841" i="1"/>
  <c r="O841" i="1"/>
  <c r="T841" i="1" l="1"/>
  <c r="W841" i="1" s="1"/>
  <c r="U841" i="1"/>
  <c r="X841" i="1" s="1"/>
  <c r="V841" i="1"/>
  <c r="Y841" i="1" s="1"/>
  <c r="R841" i="1" s="1"/>
  <c r="Z841" i="1"/>
  <c r="AA841" i="1" l="1"/>
  <c r="AB841" i="1"/>
  <c r="S841" i="1" s="1"/>
  <c r="Q842" i="1" s="1"/>
  <c r="P842" i="1"/>
  <c r="N842" i="1"/>
  <c r="O842" i="1" l="1"/>
  <c r="V842" i="1" l="1"/>
  <c r="T842" i="1"/>
  <c r="W842" i="1" s="1"/>
  <c r="AB842" i="1"/>
  <c r="Y842" i="1"/>
  <c r="U842" i="1"/>
  <c r="AA842" i="1" s="1"/>
  <c r="Z842" i="1"/>
  <c r="S842" i="1" l="1"/>
  <c r="Q843" i="1" s="1"/>
  <c r="X842" i="1"/>
  <c r="R842" i="1" s="1"/>
  <c r="O843" i="1"/>
  <c r="P843" i="1" l="1"/>
  <c r="N843" i="1"/>
  <c r="V843" i="1" s="1"/>
  <c r="T843" i="1"/>
  <c r="W843" i="1" s="1"/>
  <c r="U843" i="1"/>
  <c r="AA843" i="1" s="1"/>
  <c r="AB843" i="1" l="1"/>
  <c r="Y843" i="1"/>
  <c r="Z843" i="1"/>
  <c r="S843" i="1"/>
  <c r="X843" i="1"/>
  <c r="R843" i="1" s="1"/>
  <c r="O844" i="1"/>
  <c r="Q844" i="1"/>
  <c r="N844" i="1" l="1"/>
  <c r="V844" i="1" s="1"/>
  <c r="AB844" i="1" s="1"/>
  <c r="P844" i="1"/>
  <c r="U844" i="1"/>
  <c r="AA844" i="1" s="1"/>
  <c r="T844" i="1" l="1"/>
  <c r="Z844" i="1" s="1"/>
  <c r="W844" i="1"/>
  <c r="Y844" i="1"/>
  <c r="S844" i="1"/>
  <c r="X844" i="1"/>
  <c r="R844" i="1" s="1"/>
  <c r="Q845" i="1" l="1"/>
  <c r="O845" i="1"/>
  <c r="P845" i="1"/>
  <c r="N845" i="1"/>
  <c r="U845" i="1" l="1"/>
  <c r="X845" i="1" s="1"/>
  <c r="V845" i="1"/>
  <c r="Y845" i="1" s="1"/>
  <c r="T845" i="1"/>
  <c r="W845" i="1" s="1"/>
  <c r="AA845" i="1" l="1"/>
  <c r="AB845" i="1"/>
  <c r="R845" i="1"/>
  <c r="P846" i="1" s="1"/>
  <c r="Z845" i="1"/>
  <c r="S845" i="1" s="1"/>
  <c r="N846" i="1" l="1"/>
  <c r="Q846" i="1"/>
  <c r="O846" i="1"/>
  <c r="U846" i="1" l="1"/>
  <c r="X846" i="1" s="1"/>
  <c r="V846" i="1"/>
  <c r="Y846" i="1" s="1"/>
  <c r="T846" i="1"/>
  <c r="W846" i="1" s="1"/>
  <c r="AA846" i="1" l="1"/>
  <c r="R846" i="1"/>
  <c r="P847" i="1" s="1"/>
  <c r="N847" i="1"/>
  <c r="Z846" i="1"/>
  <c r="AB846" i="1"/>
  <c r="S846" i="1" l="1"/>
  <c r="Q847" i="1" l="1"/>
  <c r="O847" i="1"/>
  <c r="U847" i="1" l="1"/>
  <c r="AA847" i="1" s="1"/>
  <c r="T847" i="1"/>
  <c r="V847" i="1"/>
  <c r="AB847" i="1" l="1"/>
  <c r="Y847" i="1"/>
  <c r="Z847" i="1"/>
  <c r="W847" i="1"/>
  <c r="X847" i="1"/>
  <c r="R847" i="1" l="1"/>
  <c r="S847" i="1"/>
  <c r="Q848" i="1" l="1"/>
  <c r="O848" i="1"/>
  <c r="P848" i="1"/>
  <c r="N848" i="1"/>
  <c r="T848" i="1" l="1"/>
  <c r="Z848" i="1" s="1"/>
  <c r="U848" i="1"/>
  <c r="AA848" i="1" s="1"/>
  <c r="V848" i="1"/>
  <c r="AB848" i="1" s="1"/>
  <c r="W848" i="1" l="1"/>
  <c r="S848" i="1"/>
  <c r="X848" i="1"/>
  <c r="Y848" i="1"/>
  <c r="R848" i="1" l="1"/>
  <c r="N849" i="1" s="1"/>
  <c r="O849" i="1"/>
  <c r="Q849" i="1"/>
  <c r="P849" i="1" l="1"/>
  <c r="T849" i="1"/>
  <c r="Z849" i="1" s="1"/>
  <c r="V849" i="1"/>
  <c r="Y849" i="1" s="1"/>
  <c r="U849" i="1"/>
  <c r="X849" i="1" s="1"/>
  <c r="AA849" i="1" l="1"/>
  <c r="AB849" i="1"/>
  <c r="S849" i="1" s="1"/>
  <c r="W849" i="1"/>
  <c r="R849" i="1" s="1"/>
  <c r="Q850" i="1" l="1"/>
  <c r="O850" i="1"/>
  <c r="P850" i="1"/>
  <c r="N850" i="1"/>
  <c r="T850" i="1" l="1"/>
  <c r="W850" i="1" s="1"/>
  <c r="V850" i="1"/>
  <c r="Y850" i="1" s="1"/>
  <c r="U850" i="1"/>
  <c r="X850" i="1" s="1"/>
  <c r="AA850" i="1" l="1"/>
  <c r="Z850" i="1"/>
  <c r="AB850" i="1"/>
  <c r="R850" i="1"/>
  <c r="S850" i="1" l="1"/>
  <c r="Q851" i="1" s="1"/>
  <c r="P851" i="1"/>
  <c r="N851" i="1"/>
  <c r="O851" i="1" l="1"/>
  <c r="U851" i="1"/>
  <c r="T851" i="1"/>
  <c r="Z851" i="1" s="1"/>
  <c r="V851" i="1" l="1"/>
  <c r="AA851" i="1"/>
  <c r="AB851" i="1"/>
  <c r="S851" i="1" s="1"/>
  <c r="O852" i="1" s="1"/>
  <c r="Y851" i="1"/>
  <c r="X851" i="1"/>
  <c r="W851" i="1"/>
  <c r="R851" i="1" s="1"/>
  <c r="Q852" i="1" l="1"/>
  <c r="P852" i="1"/>
  <c r="N852" i="1"/>
  <c r="U852" i="1" l="1"/>
  <c r="AA852" i="1" s="1"/>
  <c r="T852" i="1"/>
  <c r="Z852" i="1" s="1"/>
  <c r="V852" i="1"/>
  <c r="AB852" i="1" s="1"/>
  <c r="X852" i="1"/>
  <c r="Y852" i="1" l="1"/>
  <c r="S852" i="1"/>
  <c r="Q853" i="1" s="1"/>
  <c r="W852" i="1"/>
  <c r="O853" i="1"/>
  <c r="R852" i="1" l="1"/>
  <c r="N853" i="1"/>
  <c r="P853" i="1"/>
  <c r="T853" i="1" l="1"/>
  <c r="Z853" i="1" s="1"/>
  <c r="V853" i="1"/>
  <c r="AB853" i="1" s="1"/>
  <c r="U853" i="1"/>
  <c r="AA853" i="1" s="1"/>
  <c r="W853" i="1"/>
  <c r="Y853" i="1" l="1"/>
  <c r="S853" i="1"/>
  <c r="X853" i="1"/>
  <c r="R853" i="1" s="1"/>
  <c r="P854" i="1" l="1"/>
  <c r="N854" i="1"/>
  <c r="O854" i="1"/>
  <c r="Q854" i="1"/>
  <c r="U854" i="1" l="1"/>
  <c r="AA854" i="1" s="1"/>
  <c r="V854" i="1"/>
  <c r="AB854" i="1" s="1"/>
  <c r="T854" i="1"/>
  <c r="Z854" i="1" s="1"/>
  <c r="X854" i="1"/>
  <c r="Y854" i="1" l="1"/>
  <c r="S854" i="1"/>
  <c r="O855" i="1" s="1"/>
  <c r="W854" i="1"/>
  <c r="R854" i="1" s="1"/>
  <c r="Q855" i="1" l="1"/>
  <c r="P855" i="1"/>
  <c r="N855" i="1"/>
  <c r="V855" i="1" l="1"/>
  <c r="AB855" i="1" s="1"/>
  <c r="U855" i="1"/>
  <c r="AA855" i="1" s="1"/>
  <c r="T855" i="1"/>
  <c r="Z855" i="1" s="1"/>
  <c r="S855" i="1" s="1"/>
  <c r="X855" i="1"/>
  <c r="Q856" i="1" l="1"/>
  <c r="O856" i="1"/>
  <c r="W855" i="1"/>
  <c r="Y855" i="1"/>
  <c r="R855" i="1" l="1"/>
  <c r="P856" i="1" l="1"/>
  <c r="N856" i="1"/>
  <c r="T856" i="1" l="1"/>
  <c r="Z856" i="1" s="1"/>
  <c r="U856" i="1"/>
  <c r="AA856" i="1" s="1"/>
  <c r="V856" i="1"/>
  <c r="AB856" i="1" s="1"/>
  <c r="X856" i="1"/>
  <c r="W856" i="1" l="1"/>
  <c r="Y856" i="1"/>
  <c r="S856" i="1"/>
  <c r="R856" i="1" l="1"/>
  <c r="P857" i="1" s="1"/>
  <c r="N857" i="1"/>
  <c r="O857" i="1"/>
  <c r="Q857" i="1"/>
  <c r="V857" i="1" l="1"/>
  <c r="AB857" i="1" s="1"/>
  <c r="U857" i="1"/>
  <c r="AA857" i="1" s="1"/>
  <c r="T857" i="1"/>
  <c r="Z857" i="1" s="1"/>
  <c r="X857" i="1" l="1"/>
  <c r="S857" i="1"/>
  <c r="Q858" i="1" s="1"/>
  <c r="Y857" i="1"/>
  <c r="W857" i="1"/>
  <c r="O858" i="1"/>
  <c r="R857" i="1" l="1"/>
  <c r="N858" i="1"/>
  <c r="P858" i="1"/>
  <c r="V858" i="1" l="1"/>
  <c r="AB858" i="1" s="1"/>
  <c r="U858" i="1"/>
  <c r="AA858" i="1" s="1"/>
  <c r="T858" i="1"/>
  <c r="Z858" i="1" s="1"/>
  <c r="X858" i="1"/>
  <c r="Y858" i="1" l="1"/>
  <c r="W858" i="1"/>
  <c r="R858" i="1" s="1"/>
  <c r="S858" i="1"/>
  <c r="Q859" i="1" l="1"/>
  <c r="O859" i="1"/>
  <c r="P859" i="1"/>
  <c r="N859" i="1"/>
  <c r="U859" i="1" l="1"/>
  <c r="AA859" i="1" s="1"/>
  <c r="T859" i="1"/>
  <c r="Z859" i="1" s="1"/>
  <c r="V859" i="1"/>
  <c r="AB859" i="1" s="1"/>
  <c r="X859" i="1" l="1"/>
  <c r="S859" i="1"/>
  <c r="Y859" i="1"/>
  <c r="W859" i="1"/>
  <c r="R859" i="1" l="1"/>
  <c r="O860" i="1"/>
  <c r="Q860" i="1"/>
  <c r="P860" i="1" l="1"/>
  <c r="N860" i="1"/>
  <c r="T860" i="1" l="1"/>
  <c r="Z860" i="1" s="1"/>
  <c r="V860" i="1"/>
  <c r="AB860" i="1" s="1"/>
  <c r="U860" i="1"/>
  <c r="AA860" i="1" s="1"/>
  <c r="Y860" i="1"/>
  <c r="X860" i="1" l="1"/>
  <c r="W860" i="1"/>
  <c r="R860" i="1" s="1"/>
  <c r="S860" i="1"/>
  <c r="N861" i="1" l="1"/>
  <c r="P861" i="1"/>
  <c r="Q861" i="1"/>
  <c r="O861" i="1"/>
  <c r="V861" i="1" l="1"/>
  <c r="AB861" i="1" s="1"/>
  <c r="U861" i="1"/>
  <c r="AA861" i="1" s="1"/>
  <c r="T861" i="1"/>
  <c r="Z861" i="1" s="1"/>
  <c r="S861" i="1" l="1"/>
  <c r="Q862" i="1" s="1"/>
  <c r="W861" i="1"/>
  <c r="X861" i="1"/>
  <c r="Y861" i="1"/>
  <c r="O862" i="1" l="1"/>
  <c r="R861" i="1"/>
  <c r="P862" i="1" l="1"/>
  <c r="N862" i="1"/>
  <c r="T862" i="1" l="1"/>
  <c r="Z862" i="1" s="1"/>
  <c r="V862" i="1"/>
  <c r="AB862" i="1" s="1"/>
  <c r="U862" i="1"/>
  <c r="AA862" i="1" s="1"/>
  <c r="W862" i="1" l="1"/>
  <c r="X862" i="1"/>
  <c r="Y862" i="1"/>
  <c r="S862" i="1"/>
  <c r="Q863" i="1" l="1"/>
  <c r="O863" i="1"/>
  <c r="R862" i="1"/>
  <c r="P863" i="1" l="1"/>
  <c r="N863" i="1"/>
  <c r="V863" i="1" l="1"/>
  <c r="AB863" i="1" s="1"/>
  <c r="U863" i="1"/>
  <c r="AA863" i="1" s="1"/>
  <c r="T863" i="1"/>
  <c r="Z863" i="1" s="1"/>
  <c r="X863" i="1" l="1"/>
  <c r="W863" i="1"/>
  <c r="Y863" i="1"/>
  <c r="S863" i="1"/>
  <c r="R863" i="1" l="1"/>
  <c r="P864" i="1" s="1"/>
  <c r="N864" i="1"/>
  <c r="O864" i="1"/>
  <c r="Q864" i="1"/>
  <c r="V864" i="1" l="1"/>
  <c r="AB864" i="1" s="1"/>
  <c r="U864" i="1"/>
  <c r="AA864" i="1" s="1"/>
  <c r="T864" i="1"/>
  <c r="W864" i="1" s="1"/>
  <c r="X864" i="1" l="1"/>
  <c r="Z864" i="1"/>
  <c r="S864" i="1" s="1"/>
  <c r="Y864" i="1"/>
  <c r="R864" i="1" l="1"/>
  <c r="N865" i="1" s="1"/>
  <c r="O865" i="1"/>
  <c r="Q865" i="1"/>
  <c r="P865" i="1" l="1"/>
  <c r="V865" i="1"/>
  <c r="AB865" i="1" s="1"/>
  <c r="T865" i="1"/>
  <c r="Z865" i="1" s="1"/>
  <c r="U865" i="1"/>
  <c r="AA865" i="1" s="1"/>
  <c r="S865" i="1" l="1"/>
  <c r="Q866" i="1" s="1"/>
  <c r="X865" i="1"/>
  <c r="Y865" i="1"/>
  <c r="W865" i="1"/>
  <c r="R865" i="1" s="1"/>
  <c r="O866" i="1"/>
  <c r="P866" i="1" l="1"/>
  <c r="N866" i="1"/>
  <c r="V866" i="1" l="1"/>
  <c r="AB866" i="1" s="1"/>
  <c r="U866" i="1"/>
  <c r="AA866" i="1" s="1"/>
  <c r="T866" i="1"/>
  <c r="Z866" i="1" s="1"/>
  <c r="W866" i="1" l="1"/>
  <c r="X866" i="1"/>
  <c r="Y866" i="1"/>
  <c r="S866" i="1"/>
  <c r="R866" i="1" l="1"/>
  <c r="P867" i="1" s="1"/>
  <c r="Q867" i="1"/>
  <c r="O867" i="1"/>
  <c r="N867" i="1" l="1"/>
  <c r="V867" i="1" s="1"/>
  <c r="AB867" i="1" s="1"/>
  <c r="U867" i="1" l="1"/>
  <c r="AA867" i="1" s="1"/>
  <c r="Y867" i="1"/>
  <c r="T867" i="1"/>
  <c r="Z867" i="1" s="1"/>
  <c r="S867" i="1" s="1"/>
  <c r="X867" i="1" l="1"/>
  <c r="W867" i="1"/>
  <c r="R867" i="1" s="1"/>
  <c r="P868" i="1" s="1"/>
  <c r="Q868" i="1"/>
  <c r="O868" i="1"/>
  <c r="N868" i="1" l="1"/>
  <c r="V868" i="1" s="1"/>
  <c r="AB868" i="1" s="1"/>
  <c r="Y868" i="1" l="1"/>
  <c r="U868" i="1"/>
  <c r="AA868" i="1" s="1"/>
  <c r="T868" i="1"/>
  <c r="Z868" i="1" s="1"/>
  <c r="S868" i="1" s="1"/>
  <c r="W868" i="1" l="1"/>
  <c r="X868" i="1"/>
  <c r="R868" i="1" s="1"/>
  <c r="O869" i="1"/>
  <c r="Q869" i="1"/>
  <c r="N869" i="1" l="1"/>
  <c r="P869" i="1"/>
  <c r="U869" i="1" l="1"/>
  <c r="AA869" i="1" s="1"/>
  <c r="V869" i="1"/>
  <c r="AB869" i="1" s="1"/>
  <c r="T869" i="1"/>
  <c r="Z869" i="1" s="1"/>
  <c r="Y869" i="1" l="1"/>
  <c r="W869" i="1"/>
  <c r="S869" i="1"/>
  <c r="X869" i="1"/>
  <c r="O870" i="1" l="1"/>
  <c r="Q870" i="1"/>
  <c r="R869" i="1"/>
  <c r="P870" i="1" l="1"/>
  <c r="N870" i="1"/>
  <c r="T870" i="1" l="1"/>
  <c r="Z870" i="1" s="1"/>
  <c r="U870" i="1"/>
  <c r="AA870" i="1" s="1"/>
  <c r="V870" i="1"/>
  <c r="AB870" i="1" s="1"/>
  <c r="W870" i="1"/>
  <c r="Y870" i="1" l="1"/>
  <c r="X870" i="1"/>
  <c r="R870" i="1" s="1"/>
  <c r="S870" i="1"/>
  <c r="N871" i="1" l="1"/>
  <c r="P871" i="1"/>
  <c r="Q871" i="1"/>
  <c r="O871" i="1"/>
  <c r="V871" i="1" l="1"/>
  <c r="AB871" i="1" s="1"/>
  <c r="T871" i="1"/>
  <c r="Z871" i="1" s="1"/>
  <c r="U871" i="1"/>
  <c r="AA871" i="1" s="1"/>
  <c r="Y871" i="1" l="1"/>
  <c r="X871" i="1"/>
  <c r="S871" i="1"/>
  <c r="W871" i="1"/>
  <c r="R871" i="1" s="1"/>
  <c r="O872" i="1" l="1"/>
  <c r="Q872" i="1"/>
  <c r="P872" i="1"/>
  <c r="N872" i="1"/>
  <c r="U872" i="1" l="1"/>
  <c r="AA872" i="1" s="1"/>
  <c r="V872" i="1"/>
  <c r="AB872" i="1" s="1"/>
  <c r="T872" i="1"/>
  <c r="Z872" i="1" s="1"/>
  <c r="W872" i="1" l="1"/>
  <c r="X872" i="1"/>
  <c r="Y872" i="1"/>
  <c r="S872" i="1"/>
  <c r="Q873" i="1" l="1"/>
  <c r="O873" i="1"/>
  <c r="R872" i="1"/>
  <c r="P873" i="1" l="1"/>
  <c r="N873" i="1"/>
  <c r="V873" i="1" l="1"/>
  <c r="AB873" i="1" s="1"/>
  <c r="U873" i="1"/>
  <c r="AA873" i="1" s="1"/>
  <c r="T873" i="1"/>
  <c r="Z873" i="1" s="1"/>
  <c r="Y873" i="1"/>
  <c r="S873" i="1" l="1"/>
  <c r="X873" i="1"/>
  <c r="O874" i="1"/>
  <c r="Q874" i="1"/>
  <c r="W873" i="1"/>
  <c r="R873" i="1" s="1"/>
  <c r="N874" i="1" l="1"/>
  <c r="P874" i="1"/>
  <c r="V874" i="1" l="1"/>
  <c r="AB874" i="1" s="1"/>
  <c r="U874" i="1"/>
  <c r="AA874" i="1" s="1"/>
  <c r="T874" i="1"/>
  <c r="Z874" i="1" s="1"/>
  <c r="S874" i="1" s="1"/>
  <c r="X874" i="1"/>
  <c r="Y874" i="1" l="1"/>
  <c r="Q875" i="1"/>
  <c r="O875" i="1"/>
  <c r="W874" i="1"/>
  <c r="R874" i="1" s="1"/>
  <c r="P875" i="1" l="1"/>
  <c r="N875" i="1"/>
  <c r="T875" i="1" l="1"/>
  <c r="Z875" i="1" s="1"/>
  <c r="U875" i="1"/>
  <c r="AA875" i="1" s="1"/>
  <c r="V875" i="1"/>
  <c r="AB875" i="1" s="1"/>
  <c r="Y875" i="1" l="1"/>
  <c r="X875" i="1"/>
  <c r="W875" i="1"/>
  <c r="S875" i="1"/>
  <c r="R875" i="1" l="1"/>
  <c r="N876" i="1"/>
  <c r="P876" i="1"/>
  <c r="O876" i="1"/>
  <c r="Q876" i="1"/>
  <c r="T876" i="1" l="1"/>
  <c r="Z876" i="1" s="1"/>
  <c r="U876" i="1"/>
  <c r="AA876" i="1" s="1"/>
  <c r="V876" i="1"/>
  <c r="AB876" i="1" s="1"/>
  <c r="X876" i="1"/>
  <c r="S876" i="1" l="1"/>
  <c r="W876" i="1"/>
  <c r="Y876" i="1"/>
  <c r="R876" i="1" l="1"/>
  <c r="P877" i="1" s="1"/>
  <c r="Q877" i="1"/>
  <c r="O877" i="1"/>
  <c r="N877" i="1" l="1"/>
  <c r="U877" i="1" s="1"/>
  <c r="AA877" i="1" s="1"/>
  <c r="V877" i="1" l="1"/>
  <c r="AB877" i="1" s="1"/>
  <c r="T877" i="1"/>
  <c r="W877" i="1" s="1"/>
  <c r="R877" i="1" s="1"/>
  <c r="N878" i="1" s="1"/>
  <c r="X877" i="1"/>
  <c r="Y877" i="1"/>
  <c r="Z877" i="1" l="1"/>
  <c r="S877" i="1" s="1"/>
  <c r="Q878" i="1" s="1"/>
  <c r="P878" i="1"/>
  <c r="O878" i="1" l="1"/>
  <c r="T878" i="1"/>
  <c r="V878" i="1"/>
  <c r="U878" i="1" l="1"/>
  <c r="X878" i="1" s="1"/>
  <c r="Z878" i="1"/>
  <c r="W878" i="1"/>
  <c r="AB878" i="1"/>
  <c r="Y878" i="1"/>
  <c r="AA878" i="1" l="1"/>
  <c r="R878" i="1"/>
  <c r="S878" i="1"/>
  <c r="O879" i="1" l="1"/>
  <c r="Q879" i="1"/>
  <c r="P879" i="1"/>
  <c r="N879" i="1"/>
  <c r="U879" i="1" l="1"/>
  <c r="AA879" i="1" s="1"/>
  <c r="T879" i="1"/>
  <c r="Z879" i="1" s="1"/>
  <c r="V879" i="1"/>
  <c r="AB879" i="1" s="1"/>
  <c r="X879" i="1"/>
  <c r="Y879" i="1" l="1"/>
  <c r="W879" i="1"/>
  <c r="R879" i="1" s="1"/>
  <c r="S879" i="1"/>
  <c r="O880" i="1" l="1"/>
  <c r="Q880" i="1"/>
  <c r="P880" i="1"/>
  <c r="N880" i="1"/>
  <c r="V880" i="1" l="1"/>
  <c r="AB880" i="1" s="1"/>
  <c r="T880" i="1"/>
  <c r="W880" i="1" s="1"/>
  <c r="U880" i="1"/>
  <c r="AA880" i="1" s="1"/>
  <c r="Y880" i="1" l="1"/>
  <c r="X880" i="1"/>
  <c r="R880" i="1" s="1"/>
  <c r="Z880" i="1"/>
  <c r="S880" i="1" s="1"/>
  <c r="Q881" i="1" l="1"/>
  <c r="O881" i="1"/>
  <c r="N881" i="1"/>
  <c r="P881" i="1"/>
  <c r="U881" i="1" l="1"/>
  <c r="AA881" i="1" s="1"/>
  <c r="V881" i="1"/>
  <c r="AB881" i="1" s="1"/>
  <c r="T881" i="1"/>
  <c r="Z881" i="1" s="1"/>
  <c r="X881" i="1" l="1"/>
  <c r="S881" i="1"/>
  <c r="O882" i="1" s="1"/>
  <c r="Y881" i="1"/>
  <c r="W881" i="1"/>
  <c r="Q882" i="1" l="1"/>
  <c r="R881" i="1"/>
  <c r="P882" i="1" s="1"/>
  <c r="N882" i="1" l="1"/>
  <c r="T882" i="1" s="1"/>
  <c r="Z882" i="1" s="1"/>
  <c r="U882" i="1" l="1"/>
  <c r="AA882" i="1" s="1"/>
  <c r="V882" i="1"/>
  <c r="AB882" i="1" s="1"/>
  <c r="Y882" i="1"/>
  <c r="W882" i="1"/>
  <c r="X882" i="1"/>
  <c r="S882" i="1"/>
  <c r="R882" i="1" l="1"/>
  <c r="N883" i="1"/>
  <c r="P883" i="1"/>
  <c r="O883" i="1"/>
  <c r="Q883" i="1"/>
  <c r="T883" i="1" l="1"/>
  <c r="Z883" i="1" s="1"/>
  <c r="V883" i="1"/>
  <c r="Y883" i="1" s="1"/>
  <c r="U883" i="1"/>
  <c r="AA883" i="1" s="1"/>
  <c r="X883" i="1" l="1"/>
  <c r="AB883" i="1"/>
  <c r="S883" i="1" s="1"/>
  <c r="W883" i="1"/>
  <c r="R883" i="1" s="1"/>
  <c r="Q884" i="1" l="1"/>
  <c r="O884" i="1"/>
  <c r="N884" i="1"/>
  <c r="P884" i="1"/>
  <c r="T884" i="1" l="1"/>
  <c r="Z884" i="1" s="1"/>
  <c r="U884" i="1"/>
  <c r="X884" i="1" s="1"/>
  <c r="V884" i="1"/>
  <c r="AB884" i="1" s="1"/>
  <c r="AA884" i="1" l="1"/>
  <c r="S884" i="1"/>
  <c r="O885" i="1" s="1"/>
  <c r="Y884" i="1"/>
  <c r="W884" i="1"/>
  <c r="Q885" i="1"/>
  <c r="R884" i="1" l="1"/>
  <c r="P885" i="1" s="1"/>
  <c r="N885" i="1" l="1"/>
  <c r="V885" i="1" s="1"/>
  <c r="AB885" i="1" s="1"/>
  <c r="T885" i="1" l="1"/>
  <c r="Z885" i="1" s="1"/>
  <c r="U885" i="1"/>
  <c r="AA885" i="1" s="1"/>
  <c r="S885" i="1" s="1"/>
  <c r="Q886" i="1" s="1"/>
  <c r="Y885" i="1"/>
  <c r="W885" i="1"/>
  <c r="X885" i="1" l="1"/>
  <c r="R885" i="1" s="1"/>
  <c r="O886" i="1"/>
  <c r="P886" i="1" l="1"/>
  <c r="N886" i="1"/>
  <c r="U886" i="1"/>
  <c r="AA886" i="1" s="1"/>
  <c r="V886" i="1"/>
  <c r="AB886" i="1" s="1"/>
  <c r="T886" i="1"/>
  <c r="Z886" i="1" s="1"/>
  <c r="Y886" i="1" l="1"/>
  <c r="S886" i="1"/>
  <c r="O887" i="1" s="1"/>
  <c r="X886" i="1"/>
  <c r="W886" i="1"/>
  <c r="R886" i="1" l="1"/>
  <c r="Q887" i="1"/>
  <c r="P887" i="1"/>
  <c r="N887" i="1"/>
  <c r="U887" i="1" l="1"/>
  <c r="AA887" i="1" s="1"/>
  <c r="T887" i="1"/>
  <c r="Z887" i="1" s="1"/>
  <c r="V887" i="1"/>
  <c r="AB887" i="1" s="1"/>
  <c r="X887" i="1"/>
  <c r="W887" i="1" l="1"/>
  <c r="Y887" i="1"/>
  <c r="S887" i="1"/>
  <c r="R887" i="1" l="1"/>
  <c r="N888" i="1"/>
  <c r="P888" i="1"/>
  <c r="Q888" i="1"/>
  <c r="O888" i="1"/>
  <c r="U888" i="1" l="1"/>
  <c r="AA888" i="1" s="1"/>
  <c r="V888" i="1"/>
  <c r="Y888" i="1" s="1"/>
  <c r="T888" i="1"/>
  <c r="W888" i="1" s="1"/>
  <c r="AB888" i="1" l="1"/>
  <c r="Z888" i="1"/>
  <c r="S888" i="1" s="1"/>
  <c r="X888" i="1"/>
  <c r="R888" i="1" s="1"/>
  <c r="P889" i="1" l="1"/>
  <c r="N889" i="1"/>
  <c r="O889" i="1"/>
  <c r="Q889" i="1"/>
  <c r="AA889" i="1" l="1"/>
  <c r="T889" i="1"/>
  <c r="Z889" i="1" s="1"/>
  <c r="U889" i="1"/>
  <c r="V889" i="1"/>
  <c r="AB889" i="1" s="1"/>
  <c r="W889" i="1"/>
  <c r="X889" i="1"/>
  <c r="Y889" i="1" l="1"/>
  <c r="R889" i="1" s="1"/>
  <c r="S889" i="1"/>
  <c r="P890" i="1" l="1"/>
  <c r="N890" i="1"/>
  <c r="O890" i="1"/>
  <c r="Q890" i="1"/>
  <c r="U890" i="1" l="1"/>
  <c r="AA890" i="1" s="1"/>
  <c r="T890" i="1"/>
  <c r="Z890" i="1" s="1"/>
  <c r="V890" i="1"/>
  <c r="AB890" i="1" s="1"/>
  <c r="W890" i="1" l="1"/>
  <c r="Y890" i="1"/>
  <c r="S890" i="1"/>
  <c r="X890" i="1"/>
  <c r="R890" i="1" s="1"/>
  <c r="P891" i="1" l="1"/>
  <c r="N891" i="1"/>
  <c r="O891" i="1"/>
  <c r="Q891" i="1"/>
  <c r="T891" i="1" l="1"/>
  <c r="Z891" i="1" s="1"/>
  <c r="U891" i="1"/>
  <c r="AA891" i="1" s="1"/>
  <c r="V891" i="1"/>
  <c r="AB891" i="1" s="1"/>
  <c r="W891" i="1"/>
  <c r="X891" i="1"/>
  <c r="Y891" i="1" l="1"/>
  <c r="R891" i="1"/>
  <c r="S891" i="1"/>
  <c r="O892" i="1" l="1"/>
  <c r="Q892" i="1"/>
  <c r="P892" i="1"/>
  <c r="N892" i="1"/>
  <c r="T892" i="1" l="1"/>
  <c r="Z892" i="1" s="1"/>
  <c r="V892" i="1"/>
  <c r="AB892" i="1" s="1"/>
  <c r="U892" i="1"/>
  <c r="X892" i="1" s="1"/>
  <c r="W892" i="1"/>
  <c r="Y892" i="1"/>
  <c r="AA892" i="1" l="1"/>
  <c r="R892" i="1"/>
  <c r="S892" i="1"/>
  <c r="Q893" i="1" l="1"/>
  <c r="O893" i="1"/>
  <c r="N893" i="1"/>
  <c r="P893" i="1"/>
  <c r="U893" i="1" l="1"/>
  <c r="AA893" i="1" s="1"/>
  <c r="V893" i="1"/>
  <c r="AB893" i="1" s="1"/>
  <c r="T893" i="1"/>
  <c r="Z893" i="1" s="1"/>
  <c r="Y893" i="1" l="1"/>
  <c r="X893" i="1"/>
  <c r="S893" i="1"/>
  <c r="O894" i="1" s="1"/>
  <c r="W893" i="1"/>
  <c r="R893" i="1" s="1"/>
  <c r="Q894" i="1" l="1"/>
  <c r="N894" i="1"/>
  <c r="P894" i="1"/>
  <c r="U894" i="1" l="1"/>
  <c r="AA894" i="1" s="1"/>
  <c r="T894" i="1"/>
  <c r="Z894" i="1" s="1"/>
  <c r="V894" i="1"/>
  <c r="AB894" i="1" s="1"/>
  <c r="W894" i="1" l="1"/>
  <c r="Y894" i="1"/>
  <c r="S894" i="1"/>
  <c r="X894" i="1"/>
  <c r="R894" i="1" l="1"/>
  <c r="P895" i="1" s="1"/>
  <c r="Q895" i="1"/>
  <c r="O895" i="1"/>
  <c r="N895" i="1" l="1"/>
  <c r="V895" i="1" s="1"/>
  <c r="AB895" i="1" s="1"/>
  <c r="T895" i="1" l="1"/>
  <c r="Z895" i="1" s="1"/>
  <c r="U895" i="1"/>
  <c r="AA895" i="1" s="1"/>
  <c r="Y895" i="1"/>
  <c r="X895" i="1" l="1"/>
  <c r="S895" i="1"/>
  <c r="Q896" i="1" s="1"/>
  <c r="W895" i="1"/>
  <c r="R895" i="1" s="1"/>
  <c r="P896" i="1" s="1"/>
  <c r="O896" i="1"/>
  <c r="N896" i="1" l="1"/>
  <c r="V896" i="1" s="1"/>
  <c r="AB896" i="1" l="1"/>
  <c r="Y896" i="1"/>
  <c r="T896" i="1"/>
  <c r="Z896" i="1" s="1"/>
  <c r="U896" i="1"/>
  <c r="AA896" i="1" s="1"/>
  <c r="X896" i="1" l="1"/>
  <c r="W896" i="1"/>
  <c r="S896" i="1"/>
  <c r="Q897" i="1" s="1"/>
  <c r="R896" i="1" l="1"/>
  <c r="N897" i="1"/>
  <c r="P897" i="1"/>
  <c r="O897" i="1"/>
  <c r="U897" i="1" l="1"/>
  <c r="AA897" i="1" s="1"/>
  <c r="V897" i="1"/>
  <c r="AB897" i="1" s="1"/>
  <c r="T897" i="1"/>
  <c r="Z897" i="1" s="1"/>
  <c r="X897" i="1"/>
  <c r="W897" i="1"/>
  <c r="Y897" i="1"/>
  <c r="S897" i="1" l="1"/>
  <c r="O898" i="1" s="1"/>
  <c r="Q898" i="1"/>
  <c r="R897" i="1"/>
  <c r="N898" i="1" l="1"/>
  <c r="P898" i="1"/>
  <c r="U898" i="1" l="1"/>
  <c r="AA898" i="1" s="1"/>
  <c r="T898" i="1"/>
  <c r="Z898" i="1" s="1"/>
  <c r="V898" i="1"/>
  <c r="AB898" i="1" s="1"/>
  <c r="X898" i="1"/>
  <c r="W898" i="1" l="1"/>
  <c r="S898" i="1"/>
  <c r="Y898" i="1"/>
  <c r="R898" i="1" l="1"/>
  <c r="P899" i="1" s="1"/>
  <c r="N899" i="1"/>
  <c r="O899" i="1"/>
  <c r="Q899" i="1"/>
  <c r="T899" i="1" l="1"/>
  <c r="Z899" i="1" s="1"/>
  <c r="U899" i="1"/>
  <c r="AA899" i="1" s="1"/>
  <c r="V899" i="1"/>
  <c r="AB899" i="1" s="1"/>
  <c r="X899" i="1"/>
  <c r="Y899" i="1" l="1"/>
  <c r="S899" i="1"/>
  <c r="W899" i="1"/>
  <c r="R899" i="1" s="1"/>
  <c r="P900" i="1" l="1"/>
  <c r="N900" i="1"/>
  <c r="O900" i="1"/>
  <c r="Q900" i="1"/>
  <c r="V900" i="1" l="1"/>
  <c r="AB900" i="1" s="1"/>
  <c r="T900" i="1"/>
  <c r="Z900" i="1" s="1"/>
  <c r="U900" i="1"/>
  <c r="AA900" i="1" s="1"/>
  <c r="Y900" i="1"/>
  <c r="W900" i="1" l="1"/>
  <c r="S900" i="1"/>
  <c r="X900" i="1"/>
  <c r="R900" i="1" s="1"/>
  <c r="P901" i="1" l="1"/>
  <c r="N901" i="1"/>
  <c r="Q901" i="1"/>
  <c r="O901" i="1"/>
  <c r="T901" i="1" l="1"/>
  <c r="Z901" i="1" s="1"/>
  <c r="U901" i="1"/>
  <c r="AA901" i="1" s="1"/>
  <c r="V901" i="1"/>
  <c r="AB901" i="1" s="1"/>
  <c r="X901" i="1"/>
  <c r="W901" i="1" l="1"/>
  <c r="Y901" i="1"/>
  <c r="R901" i="1" s="1"/>
  <c r="S901" i="1"/>
  <c r="N902" i="1" l="1"/>
  <c r="P902" i="1"/>
  <c r="Q902" i="1"/>
  <c r="O902" i="1"/>
  <c r="V902" i="1" l="1"/>
  <c r="AB902" i="1" s="1"/>
  <c r="U902" i="1"/>
  <c r="AA902" i="1" s="1"/>
  <c r="T902" i="1"/>
  <c r="Z902" i="1" s="1"/>
  <c r="Y902" i="1" l="1"/>
  <c r="W902" i="1"/>
  <c r="S902" i="1"/>
  <c r="X902" i="1"/>
  <c r="R902" i="1" s="1"/>
  <c r="P903" i="1" l="1"/>
  <c r="N903" i="1"/>
  <c r="O903" i="1"/>
  <c r="Q903" i="1"/>
  <c r="V903" i="1" l="1"/>
  <c r="AB903" i="1" s="1"/>
  <c r="U903" i="1"/>
  <c r="AA903" i="1" s="1"/>
  <c r="Y903" i="1"/>
  <c r="T903" i="1"/>
  <c r="Z903" i="1" s="1"/>
  <c r="X903" i="1" l="1"/>
  <c r="S903" i="1"/>
  <c r="O904" i="1" s="1"/>
  <c r="W903" i="1"/>
  <c r="R903" i="1" s="1"/>
  <c r="Q904" i="1" l="1"/>
  <c r="P904" i="1"/>
  <c r="N904" i="1"/>
  <c r="U904" i="1" l="1"/>
  <c r="AA904" i="1" s="1"/>
  <c r="V904" i="1"/>
  <c r="AB904" i="1" s="1"/>
  <c r="T904" i="1"/>
  <c r="Z904" i="1" s="1"/>
  <c r="S904" i="1" l="1"/>
  <c r="X904" i="1"/>
  <c r="O905" i="1"/>
  <c r="Q905" i="1"/>
  <c r="W904" i="1"/>
  <c r="Y904" i="1"/>
  <c r="R904" i="1" l="1"/>
  <c r="N905" i="1" l="1"/>
  <c r="P905" i="1"/>
  <c r="T905" i="1" l="1"/>
  <c r="Z905" i="1" s="1"/>
  <c r="V905" i="1"/>
  <c r="AB905" i="1" s="1"/>
  <c r="U905" i="1"/>
  <c r="AA905" i="1" s="1"/>
  <c r="Y905" i="1" l="1"/>
  <c r="W905" i="1"/>
  <c r="S905" i="1"/>
  <c r="X905" i="1"/>
  <c r="R905" i="1" l="1"/>
  <c r="P906" i="1" s="1"/>
  <c r="N906" i="1"/>
  <c r="Q906" i="1"/>
  <c r="O906" i="1"/>
  <c r="T906" i="1" l="1"/>
  <c r="Z906" i="1" s="1"/>
  <c r="V906" i="1"/>
  <c r="AB906" i="1" s="1"/>
  <c r="U906" i="1"/>
  <c r="AA906" i="1" s="1"/>
  <c r="W906" i="1" l="1"/>
  <c r="Y906" i="1"/>
  <c r="X906" i="1"/>
  <c r="S906" i="1"/>
  <c r="R906" i="1" l="1"/>
  <c r="P907" i="1" s="1"/>
  <c r="Q907" i="1"/>
  <c r="O907" i="1"/>
  <c r="N907" i="1" l="1"/>
  <c r="T907" i="1" s="1"/>
  <c r="U907" i="1" l="1"/>
  <c r="AA907" i="1" s="1"/>
  <c r="V907" i="1"/>
  <c r="W907" i="1"/>
  <c r="Z907" i="1"/>
  <c r="X907" i="1" l="1"/>
  <c r="R907" i="1" s="1"/>
  <c r="Y907" i="1"/>
  <c r="AB907" i="1"/>
  <c r="S907" i="1" s="1"/>
  <c r="Q908" i="1" l="1"/>
  <c r="O908" i="1"/>
  <c r="P908" i="1"/>
  <c r="N908" i="1"/>
  <c r="U908" i="1" s="1"/>
  <c r="T908" i="1" l="1"/>
  <c r="Z908" i="1" s="1"/>
  <c r="V908" i="1"/>
  <c r="AB908" i="1" s="1"/>
  <c r="S908" i="1" s="1"/>
  <c r="AA908" i="1"/>
  <c r="W908" i="1"/>
  <c r="Y908" i="1"/>
  <c r="X908" i="1"/>
  <c r="R908" i="1" l="1"/>
  <c r="P909" i="1" s="1"/>
  <c r="N909" i="1"/>
  <c r="O909" i="1"/>
  <c r="Q909" i="1"/>
  <c r="T909" i="1" l="1"/>
  <c r="Z909" i="1" s="1"/>
  <c r="U909" i="1"/>
  <c r="AA909" i="1" s="1"/>
  <c r="V909" i="1"/>
  <c r="AB909" i="1" s="1"/>
  <c r="X909" i="1" l="1"/>
  <c r="S909" i="1"/>
  <c r="Y909" i="1"/>
  <c r="W909" i="1"/>
  <c r="R909" i="1" l="1"/>
  <c r="O910" i="1"/>
  <c r="Q910" i="1"/>
  <c r="P910" i="1" l="1"/>
  <c r="N910" i="1"/>
  <c r="T910" i="1" l="1"/>
  <c r="Z910" i="1" s="1"/>
  <c r="V910" i="1"/>
  <c r="AB910" i="1" s="1"/>
  <c r="U910" i="1"/>
  <c r="AA910" i="1" s="1"/>
  <c r="Y910" i="1" l="1"/>
  <c r="W910" i="1"/>
  <c r="X910" i="1"/>
  <c r="S910" i="1"/>
  <c r="R910" i="1" l="1"/>
  <c r="N911" i="1" s="1"/>
  <c r="P911" i="1"/>
  <c r="O911" i="1"/>
  <c r="Q911" i="1"/>
  <c r="V911" i="1" l="1"/>
  <c r="AB911" i="1" s="1"/>
  <c r="U911" i="1"/>
  <c r="AA911" i="1" s="1"/>
  <c r="T911" i="1"/>
  <c r="Z911" i="1" s="1"/>
  <c r="X911" i="1" l="1"/>
  <c r="Y911" i="1"/>
  <c r="W911" i="1"/>
  <c r="R911" i="1" s="1"/>
  <c r="N912" i="1" s="1"/>
  <c r="S911" i="1"/>
  <c r="O912" i="1" s="1"/>
  <c r="Q912" i="1" l="1"/>
  <c r="T912" i="1"/>
  <c r="Z912" i="1" s="1"/>
  <c r="U912" i="1"/>
  <c r="AA912" i="1" s="1"/>
  <c r="P912" i="1"/>
  <c r="V912" i="1"/>
  <c r="AB912" i="1" s="1"/>
  <c r="W912" i="1" l="1"/>
  <c r="Y912" i="1"/>
  <c r="S912" i="1"/>
  <c r="O913" i="1" s="1"/>
  <c r="X912" i="1"/>
  <c r="R912" i="1" s="1"/>
  <c r="Q913" i="1" l="1"/>
  <c r="N913" i="1"/>
  <c r="P913" i="1"/>
  <c r="T913" i="1" l="1"/>
  <c r="Z913" i="1" s="1"/>
  <c r="U913" i="1"/>
  <c r="AA913" i="1" s="1"/>
  <c r="V913" i="1"/>
  <c r="AB913" i="1" s="1"/>
  <c r="W913" i="1"/>
  <c r="Y913" i="1" l="1"/>
  <c r="X913" i="1"/>
  <c r="R913" i="1" s="1"/>
  <c r="S913" i="1"/>
  <c r="Q914" i="1" l="1"/>
  <c r="O914" i="1"/>
  <c r="P914" i="1"/>
  <c r="N914" i="1"/>
  <c r="T914" i="1" l="1"/>
  <c r="Z914" i="1" s="1"/>
  <c r="V914" i="1"/>
  <c r="AB914" i="1" s="1"/>
  <c r="U914" i="1"/>
  <c r="X914" i="1" s="1"/>
  <c r="W914" i="1"/>
  <c r="AA914" i="1" l="1"/>
  <c r="Y914" i="1"/>
  <c r="R914" i="1"/>
  <c r="P915" i="1" s="1"/>
  <c r="S914" i="1"/>
  <c r="N915" i="1" l="1"/>
  <c r="O915" i="1"/>
  <c r="Q915" i="1"/>
  <c r="T915" i="1" l="1"/>
  <c r="W915" i="1" s="1"/>
  <c r="V915" i="1"/>
  <c r="AB915" i="1" s="1"/>
  <c r="U915" i="1"/>
  <c r="AA915" i="1" s="1"/>
  <c r="Y915" i="1"/>
  <c r="Z915" i="1"/>
  <c r="S915" i="1" l="1"/>
  <c r="X915" i="1"/>
  <c r="R915" i="1" s="1"/>
  <c r="P916" i="1" l="1"/>
  <c r="N916" i="1"/>
  <c r="O916" i="1"/>
  <c r="Q916" i="1"/>
  <c r="T916" i="1" l="1"/>
  <c r="Z916" i="1" s="1"/>
  <c r="V916" i="1"/>
  <c r="U916" i="1"/>
  <c r="AA916" i="1" s="1"/>
  <c r="W916" i="1"/>
  <c r="X916" i="1" l="1"/>
  <c r="AB916" i="1"/>
  <c r="S916" i="1" s="1"/>
  <c r="O917" i="1" s="1"/>
  <c r="Y916" i="1"/>
  <c r="R916" i="1" s="1"/>
  <c r="Q917" i="1" l="1"/>
  <c r="N917" i="1"/>
  <c r="V917" i="1" s="1"/>
  <c r="P917" i="1"/>
  <c r="T917" i="1" l="1"/>
  <c r="Z917" i="1" s="1"/>
  <c r="U917" i="1"/>
  <c r="AA917" i="1" s="1"/>
  <c r="AB917" i="1"/>
  <c r="Y917" i="1"/>
  <c r="W917" i="1"/>
  <c r="S917" i="1" l="1"/>
  <c r="X917" i="1"/>
  <c r="R917" i="1" s="1"/>
  <c r="Q918" i="1"/>
  <c r="O918" i="1"/>
  <c r="P918" i="1" l="1"/>
  <c r="N918" i="1"/>
  <c r="V918" i="1" s="1"/>
  <c r="AB918" i="1" s="1"/>
  <c r="U918" i="1" l="1"/>
  <c r="AA918" i="1" s="1"/>
  <c r="S918" i="1" s="1"/>
  <c r="T918" i="1"/>
  <c r="Z918" i="1" s="1"/>
  <c r="Y918" i="1"/>
  <c r="W918" i="1"/>
  <c r="X918" i="1" l="1"/>
  <c r="R918" i="1"/>
  <c r="P919" i="1" s="1"/>
  <c r="N919" i="1"/>
  <c r="Q919" i="1"/>
  <c r="O919" i="1"/>
  <c r="V919" i="1" l="1"/>
  <c r="Y919" i="1" s="1"/>
  <c r="T919" i="1"/>
  <c r="W919" i="1" s="1"/>
  <c r="U919" i="1"/>
  <c r="X919" i="1" s="1"/>
  <c r="AB919" i="1"/>
  <c r="AA919" i="1" l="1"/>
  <c r="Z919" i="1"/>
  <c r="S919" i="1" s="1"/>
  <c r="R919" i="1"/>
  <c r="P920" i="1" l="1"/>
  <c r="N920" i="1"/>
  <c r="O920" i="1"/>
  <c r="Q920" i="1"/>
  <c r="U920" i="1" l="1"/>
  <c r="AA920" i="1" s="1"/>
  <c r="T920" i="1"/>
  <c r="Z920" i="1" s="1"/>
  <c r="V920" i="1"/>
  <c r="AB920" i="1" s="1"/>
  <c r="X920" i="1" l="1"/>
  <c r="Y920" i="1"/>
  <c r="S920" i="1"/>
  <c r="O921" i="1" s="1"/>
  <c r="W920" i="1"/>
  <c r="R920" i="1" s="1"/>
  <c r="Q921" i="1" l="1"/>
  <c r="P921" i="1"/>
  <c r="N921" i="1"/>
  <c r="U921" i="1" l="1"/>
  <c r="AA921" i="1" s="1"/>
  <c r="T921" i="1"/>
  <c r="Z921" i="1" s="1"/>
  <c r="V921" i="1"/>
  <c r="AB921" i="1" s="1"/>
  <c r="X921" i="1"/>
  <c r="S921" i="1" l="1"/>
  <c r="Y921" i="1"/>
  <c r="W921" i="1"/>
  <c r="R921" i="1" l="1"/>
  <c r="O922" i="1"/>
  <c r="Q922" i="1"/>
  <c r="N922" i="1" l="1"/>
  <c r="P922" i="1"/>
  <c r="V922" i="1" l="1"/>
  <c r="AB922" i="1" s="1"/>
  <c r="U922" i="1"/>
  <c r="AA922" i="1" s="1"/>
  <c r="T922" i="1"/>
  <c r="Z922" i="1" s="1"/>
  <c r="X922" i="1" l="1"/>
  <c r="Y922" i="1"/>
  <c r="S922" i="1"/>
  <c r="Q923" i="1" s="1"/>
  <c r="W922" i="1"/>
  <c r="R922" i="1" s="1"/>
  <c r="O923" i="1" l="1"/>
  <c r="P923" i="1"/>
  <c r="N923" i="1"/>
  <c r="V923" i="1" l="1"/>
  <c r="AB923" i="1" s="1"/>
  <c r="U923" i="1"/>
  <c r="AA923" i="1" s="1"/>
  <c r="T923" i="1"/>
  <c r="Z923" i="1" s="1"/>
  <c r="Y923" i="1" l="1"/>
  <c r="S923" i="1"/>
  <c r="O924" i="1" s="1"/>
  <c r="X923" i="1"/>
  <c r="W923" i="1"/>
  <c r="R923" i="1" s="1"/>
  <c r="Q924" i="1" l="1"/>
  <c r="N924" i="1"/>
  <c r="P924" i="1"/>
  <c r="V924" i="1" l="1"/>
  <c r="AB924" i="1" s="1"/>
  <c r="U924" i="1"/>
  <c r="AA924" i="1" s="1"/>
  <c r="T924" i="1"/>
  <c r="Z924" i="1" s="1"/>
  <c r="Y924" i="1"/>
  <c r="X924" i="1"/>
  <c r="W924" i="1"/>
  <c r="S924" i="1" l="1"/>
  <c r="R924" i="1"/>
  <c r="P925" i="1" s="1"/>
  <c r="O925" i="1"/>
  <c r="Q925" i="1"/>
  <c r="N925" i="1" l="1"/>
  <c r="T925" i="1" s="1"/>
  <c r="Z925" i="1" s="1"/>
  <c r="U925" i="1" l="1"/>
  <c r="AA925" i="1" s="1"/>
  <c r="V925" i="1"/>
  <c r="AB925" i="1" s="1"/>
  <c r="S925" i="1" s="1"/>
  <c r="O926" i="1" s="1"/>
  <c r="W925" i="1"/>
  <c r="Y925" i="1" l="1"/>
  <c r="Q926" i="1"/>
  <c r="X925" i="1"/>
  <c r="R925" i="1"/>
  <c r="P926" i="1" s="1"/>
  <c r="N926" i="1" l="1"/>
  <c r="V926" i="1" s="1"/>
  <c r="AB926" i="1" s="1"/>
  <c r="U926" i="1" l="1"/>
  <c r="AA926" i="1" s="1"/>
  <c r="T926" i="1"/>
  <c r="W926" i="1" s="1"/>
  <c r="Y926" i="1"/>
  <c r="X926" i="1"/>
  <c r="Z926" i="1"/>
  <c r="S926" i="1" s="1"/>
  <c r="Q927" i="1" l="1"/>
  <c r="O927" i="1"/>
  <c r="R926" i="1"/>
  <c r="P927" i="1" l="1"/>
  <c r="N927" i="1"/>
  <c r="T927" i="1" l="1"/>
  <c r="Z927" i="1" s="1"/>
  <c r="V927" i="1"/>
  <c r="U927" i="1"/>
  <c r="AA927" i="1" s="1"/>
  <c r="W927" i="1" l="1"/>
  <c r="Y927" i="1"/>
  <c r="AB927" i="1"/>
  <c r="S927" i="1" s="1"/>
  <c r="X927" i="1"/>
  <c r="R927" i="1" l="1"/>
  <c r="N928" i="1"/>
  <c r="P928" i="1"/>
  <c r="Q928" i="1"/>
  <c r="O928" i="1"/>
  <c r="V928" i="1" l="1"/>
  <c r="AB928" i="1" s="1"/>
  <c r="T928" i="1"/>
  <c r="Z928" i="1" s="1"/>
  <c r="U928" i="1"/>
  <c r="AA928" i="1" s="1"/>
  <c r="W928" i="1" l="1"/>
  <c r="X928" i="1"/>
  <c r="S928" i="1"/>
  <c r="Y928" i="1"/>
  <c r="R928" i="1" s="1"/>
  <c r="P929" i="1" l="1"/>
  <c r="N929" i="1"/>
  <c r="Q929" i="1"/>
  <c r="O929" i="1"/>
  <c r="V929" i="1" l="1"/>
  <c r="AB929" i="1" s="1"/>
  <c r="U929" i="1"/>
  <c r="AA929" i="1" s="1"/>
  <c r="T929" i="1"/>
  <c r="Z929" i="1" s="1"/>
  <c r="Y929" i="1"/>
  <c r="S929" i="1" l="1"/>
  <c r="Q930" i="1" s="1"/>
  <c r="O930" i="1"/>
  <c r="W929" i="1"/>
  <c r="X929" i="1"/>
  <c r="R929" i="1" l="1"/>
  <c r="P930" i="1" s="1"/>
  <c r="N930" i="1" l="1"/>
  <c r="V930" i="1" s="1"/>
  <c r="AB930" i="1" s="1"/>
  <c r="U930" i="1" l="1"/>
  <c r="AA930" i="1" s="1"/>
  <c r="T930" i="1"/>
  <c r="Z930" i="1" s="1"/>
  <c r="S930" i="1" s="1"/>
  <c r="Y930" i="1"/>
  <c r="X930" i="1" l="1"/>
  <c r="W930" i="1"/>
  <c r="R930" i="1" s="1"/>
  <c r="Q931" i="1"/>
  <c r="O931" i="1"/>
  <c r="P931" i="1" l="1"/>
  <c r="N931" i="1"/>
  <c r="V931" i="1" s="1"/>
  <c r="AB931" i="1" s="1"/>
  <c r="U931" i="1" l="1"/>
  <c r="AA931" i="1" s="1"/>
  <c r="T931" i="1"/>
  <c r="Z931" i="1" s="1"/>
  <c r="S931" i="1" s="1"/>
  <c r="Y931" i="1"/>
  <c r="X931" i="1" l="1"/>
  <c r="W931" i="1"/>
  <c r="O932" i="1"/>
  <c r="Q932" i="1"/>
  <c r="R931" i="1"/>
  <c r="P932" i="1" l="1"/>
  <c r="N932" i="1"/>
  <c r="V932" i="1" l="1"/>
  <c r="AB932" i="1" s="1"/>
  <c r="U932" i="1"/>
  <c r="AA932" i="1" s="1"/>
  <c r="T932" i="1"/>
  <c r="Z932" i="1" s="1"/>
  <c r="W932" i="1" l="1"/>
  <c r="X932" i="1"/>
  <c r="Y932" i="1"/>
  <c r="S932" i="1"/>
  <c r="R932" i="1" l="1"/>
  <c r="P933" i="1" s="1"/>
  <c r="N933" i="1"/>
  <c r="Q933" i="1"/>
  <c r="O933" i="1"/>
  <c r="U933" i="1" l="1"/>
  <c r="AA933" i="1" s="1"/>
  <c r="T933" i="1"/>
  <c r="Z933" i="1" s="1"/>
  <c r="V933" i="1"/>
  <c r="AB933" i="1" s="1"/>
  <c r="X933" i="1" l="1"/>
  <c r="W933" i="1"/>
  <c r="S933" i="1"/>
  <c r="Y933" i="1"/>
  <c r="R933" i="1" l="1"/>
  <c r="P934" i="1"/>
  <c r="N934" i="1"/>
  <c r="Q934" i="1"/>
  <c r="O934" i="1"/>
  <c r="U934" i="1" l="1"/>
  <c r="X934" i="1" s="1"/>
  <c r="V934" i="1"/>
  <c r="AB934" i="1" s="1"/>
  <c r="T934" i="1"/>
  <c r="Z934" i="1" s="1"/>
  <c r="AA934" i="1" l="1"/>
  <c r="S934" i="1" s="1"/>
  <c r="W934" i="1"/>
  <c r="Y934" i="1"/>
  <c r="Q935" i="1" l="1"/>
  <c r="O935" i="1"/>
  <c r="R934" i="1"/>
  <c r="P935" i="1" l="1"/>
  <c r="N935" i="1"/>
  <c r="T935" i="1" l="1"/>
  <c r="U935" i="1"/>
  <c r="AA935" i="1" s="1"/>
  <c r="V935" i="1"/>
  <c r="AB935" i="1" s="1"/>
  <c r="Y935" i="1" l="1"/>
  <c r="X935" i="1"/>
  <c r="W935" i="1"/>
  <c r="Z935" i="1"/>
  <c r="R935" i="1" l="1"/>
  <c r="P936" i="1" s="1"/>
  <c r="S935" i="1"/>
  <c r="N936" i="1"/>
  <c r="Q936" i="1" l="1"/>
  <c r="O936" i="1"/>
  <c r="V936" i="1" l="1"/>
  <c r="Y936" i="1" s="1"/>
  <c r="T936" i="1"/>
  <c r="W936" i="1" s="1"/>
  <c r="U936" i="1"/>
  <c r="X936" i="1" s="1"/>
  <c r="AB936" i="1" l="1"/>
  <c r="AA936" i="1"/>
  <c r="R936" i="1"/>
  <c r="P937" i="1" s="1"/>
  <c r="N937" i="1"/>
  <c r="Z936" i="1"/>
  <c r="S936" i="1" l="1"/>
  <c r="Q937" i="1" s="1"/>
  <c r="O937" i="1"/>
  <c r="T937" i="1" l="1"/>
  <c r="U937" i="1"/>
  <c r="AA937" i="1" s="1"/>
  <c r="V937" i="1"/>
  <c r="Z937" i="1"/>
  <c r="W937" i="1"/>
  <c r="X937" i="1"/>
  <c r="AB937" i="1" l="1"/>
  <c r="S937" i="1" s="1"/>
  <c r="Y937" i="1"/>
  <c r="R937" i="1" s="1"/>
  <c r="P938" i="1" l="1"/>
  <c r="N938" i="1"/>
  <c r="O938" i="1"/>
  <c r="Q938" i="1"/>
  <c r="T938" i="1" l="1"/>
  <c r="Z938" i="1" s="1"/>
  <c r="U938" i="1"/>
  <c r="X938" i="1" s="1"/>
  <c r="V938" i="1"/>
  <c r="AB938" i="1" s="1"/>
  <c r="W938" i="1"/>
  <c r="AA938" i="1" l="1"/>
  <c r="S938" i="1" s="1"/>
  <c r="Y938" i="1"/>
  <c r="R938" i="1" s="1"/>
  <c r="N939" i="1" l="1"/>
  <c r="P939" i="1"/>
  <c r="O939" i="1"/>
  <c r="Q939" i="1"/>
  <c r="T939" i="1"/>
  <c r="Z939" i="1" s="1"/>
  <c r="V939" i="1"/>
  <c r="AB939" i="1" s="1"/>
  <c r="W939" i="1"/>
  <c r="U939" i="1"/>
  <c r="AA939" i="1" l="1"/>
  <c r="Y939" i="1"/>
  <c r="X939" i="1"/>
  <c r="S939" i="1"/>
  <c r="R939" i="1" l="1"/>
  <c r="P940" i="1" s="1"/>
  <c r="N940" i="1"/>
  <c r="O940" i="1"/>
  <c r="Q940" i="1"/>
  <c r="V940" i="1" l="1"/>
  <c r="T940" i="1"/>
  <c r="Z940" i="1" s="1"/>
  <c r="U940" i="1"/>
  <c r="AA940" i="1" s="1"/>
  <c r="AB940" i="1"/>
  <c r="Y940" i="1"/>
  <c r="S940" i="1" l="1"/>
  <c r="W940" i="1"/>
  <c r="O941" i="1"/>
  <c r="Q941" i="1"/>
  <c r="X940" i="1"/>
  <c r="R940" i="1" s="1"/>
  <c r="P941" i="1" l="1"/>
  <c r="N941" i="1"/>
  <c r="U941" i="1"/>
  <c r="AA941" i="1" s="1"/>
  <c r="T941" i="1"/>
  <c r="Z941" i="1" s="1"/>
  <c r="V941" i="1"/>
  <c r="AB941" i="1" s="1"/>
  <c r="X941" i="1"/>
  <c r="W941" i="1" l="1"/>
  <c r="Y941" i="1"/>
  <c r="R941" i="1" s="1"/>
  <c r="S941" i="1"/>
  <c r="Q942" i="1" l="1"/>
  <c r="O942" i="1"/>
  <c r="N942" i="1"/>
  <c r="P942" i="1"/>
  <c r="T942" i="1" l="1"/>
  <c r="Z942" i="1" s="1"/>
  <c r="V942" i="1"/>
  <c r="Y942" i="1" s="1"/>
  <c r="U942" i="1"/>
  <c r="AA942" i="1" s="1"/>
  <c r="W942" i="1"/>
  <c r="X942" i="1" l="1"/>
  <c r="R942" i="1" s="1"/>
  <c r="AB942" i="1"/>
  <c r="S942" i="1" s="1"/>
  <c r="O943" i="1" l="1"/>
  <c r="Q943" i="1"/>
  <c r="N943" i="1"/>
  <c r="P943" i="1"/>
  <c r="V943" i="1" l="1"/>
  <c r="AB943" i="1" s="1"/>
  <c r="U943" i="1"/>
  <c r="AA943" i="1" s="1"/>
  <c r="T943" i="1"/>
  <c r="Z943" i="1" s="1"/>
  <c r="Y943" i="1" l="1"/>
  <c r="S943" i="1"/>
  <c r="O944" i="1" s="1"/>
  <c r="W943" i="1"/>
  <c r="X943" i="1"/>
  <c r="Q944" i="1" l="1"/>
  <c r="R943" i="1"/>
  <c r="N944" i="1" s="1"/>
  <c r="P944" i="1" l="1"/>
  <c r="U944" i="1"/>
  <c r="AA944" i="1" s="1"/>
  <c r="V944" i="1"/>
  <c r="AB944" i="1" s="1"/>
  <c r="T944" i="1"/>
  <c r="Z944" i="1" s="1"/>
  <c r="X944" i="1" l="1"/>
  <c r="S944" i="1"/>
  <c r="Y944" i="1"/>
  <c r="Q945" i="1"/>
  <c r="O945" i="1"/>
  <c r="W944" i="1"/>
  <c r="R944" i="1" s="1"/>
  <c r="P945" i="1" l="1"/>
  <c r="N945" i="1"/>
  <c r="T945" i="1" l="1"/>
  <c r="Z945" i="1" s="1"/>
  <c r="V945" i="1"/>
  <c r="AB945" i="1" s="1"/>
  <c r="U945" i="1"/>
  <c r="AA945" i="1" s="1"/>
  <c r="W945" i="1"/>
  <c r="Y945" i="1" l="1"/>
  <c r="X945" i="1"/>
  <c r="R945" i="1" s="1"/>
  <c r="S945" i="1"/>
  <c r="N946" i="1" l="1"/>
  <c r="P946" i="1"/>
  <c r="O946" i="1"/>
  <c r="Q946" i="1"/>
  <c r="U946" i="1" l="1"/>
  <c r="AA946" i="1" s="1"/>
  <c r="T946" i="1"/>
  <c r="Z946" i="1" s="1"/>
  <c r="V946" i="1"/>
  <c r="AB946" i="1" s="1"/>
  <c r="W946" i="1"/>
  <c r="X946" i="1" l="1"/>
  <c r="S946" i="1"/>
  <c r="Y946" i="1"/>
  <c r="R946" i="1" s="1"/>
  <c r="P947" i="1" l="1"/>
  <c r="N947" i="1"/>
  <c r="O947" i="1"/>
  <c r="Q947" i="1"/>
  <c r="V947" i="1" l="1"/>
  <c r="AB947" i="1" s="1"/>
  <c r="U947" i="1"/>
  <c r="AA947" i="1" s="1"/>
  <c r="T947" i="1"/>
  <c r="Z947" i="1" s="1"/>
  <c r="X947" i="1"/>
  <c r="Y947" i="1" l="1"/>
  <c r="S947" i="1"/>
  <c r="O948" i="1" s="1"/>
  <c r="W947" i="1"/>
  <c r="R947" i="1" s="1"/>
  <c r="Q948" i="1"/>
  <c r="N948" i="1" l="1"/>
  <c r="P948" i="1"/>
  <c r="T948" i="1" l="1"/>
  <c r="Z948" i="1" s="1"/>
  <c r="U948" i="1"/>
  <c r="AA948" i="1" s="1"/>
  <c r="W948" i="1"/>
  <c r="V948" i="1"/>
  <c r="AB948" i="1" s="1"/>
  <c r="X948" i="1"/>
  <c r="Y948" i="1" l="1"/>
  <c r="R948" i="1" s="1"/>
  <c r="S948" i="1"/>
  <c r="P949" i="1" l="1"/>
  <c r="N949" i="1"/>
  <c r="Q949" i="1"/>
  <c r="O949" i="1"/>
  <c r="V949" i="1" l="1"/>
  <c r="AB949" i="1" s="1"/>
  <c r="T949" i="1"/>
  <c r="Z949" i="1" s="1"/>
  <c r="U949" i="1"/>
  <c r="AA949" i="1" s="1"/>
  <c r="X949" i="1" l="1"/>
  <c r="S949" i="1"/>
  <c r="Q950" i="1" s="1"/>
  <c r="W949" i="1"/>
  <c r="Y949" i="1"/>
  <c r="O950" i="1" l="1"/>
  <c r="R949" i="1"/>
  <c r="P950" i="1" s="1"/>
  <c r="N950" i="1" l="1"/>
  <c r="T950" i="1" s="1"/>
  <c r="Z950" i="1" s="1"/>
  <c r="U950" i="1"/>
  <c r="AA950" i="1" s="1"/>
  <c r="V950" i="1" l="1"/>
  <c r="AB950" i="1" s="1"/>
  <c r="W950" i="1"/>
  <c r="X950" i="1"/>
  <c r="Y950" i="1"/>
  <c r="S950" i="1"/>
  <c r="Q951" i="1" l="1"/>
  <c r="O951" i="1"/>
  <c r="R950" i="1"/>
  <c r="P951" i="1" l="1"/>
  <c r="N951" i="1"/>
  <c r="V951" i="1" l="1"/>
  <c r="AB951" i="1" s="1"/>
  <c r="U951" i="1"/>
  <c r="AA951" i="1" s="1"/>
  <c r="T951" i="1"/>
  <c r="Z951" i="1" s="1"/>
  <c r="S951" i="1" s="1"/>
  <c r="X951" i="1"/>
  <c r="Y951" i="1" l="1"/>
  <c r="O952" i="1"/>
  <c r="Q952" i="1"/>
  <c r="W951" i="1"/>
  <c r="R951" i="1" s="1"/>
  <c r="P952" i="1" l="1"/>
  <c r="N952" i="1"/>
  <c r="V952" i="1" l="1"/>
  <c r="AB952" i="1" s="1"/>
  <c r="U952" i="1"/>
  <c r="AA952" i="1" s="1"/>
  <c r="T952" i="1"/>
  <c r="Z952" i="1" s="1"/>
  <c r="X952" i="1" l="1"/>
  <c r="Y952" i="1"/>
  <c r="W952" i="1"/>
  <c r="S952" i="1"/>
  <c r="R952" i="1" l="1"/>
  <c r="N953" i="1" s="1"/>
  <c r="Q953" i="1"/>
  <c r="O953" i="1"/>
  <c r="P953" i="1" l="1"/>
  <c r="U953" i="1"/>
  <c r="AA953" i="1" s="1"/>
  <c r="V953" i="1"/>
  <c r="AB953" i="1" s="1"/>
  <c r="T953" i="1"/>
  <c r="Z953" i="1" s="1"/>
  <c r="X953" i="1" l="1"/>
  <c r="S953" i="1"/>
  <c r="Q954" i="1" s="1"/>
  <c r="W953" i="1"/>
  <c r="Y953" i="1"/>
  <c r="O954" i="1" l="1"/>
  <c r="R953" i="1"/>
  <c r="N954" i="1" s="1"/>
  <c r="P954" i="1" l="1"/>
  <c r="U954" i="1"/>
  <c r="AA954" i="1" s="1"/>
  <c r="V954" i="1"/>
  <c r="AB954" i="1" s="1"/>
  <c r="T954" i="1"/>
  <c r="Z954" i="1" s="1"/>
  <c r="Y954" i="1"/>
  <c r="X954" i="1" l="1"/>
  <c r="W954" i="1"/>
  <c r="R954" i="1" s="1"/>
  <c r="S954" i="1"/>
  <c r="P955" i="1" l="1"/>
  <c r="N955" i="1"/>
  <c r="Q955" i="1"/>
  <c r="O955" i="1"/>
  <c r="V955" i="1" l="1"/>
  <c r="AB955" i="1" s="1"/>
  <c r="U955" i="1"/>
  <c r="X955" i="1" s="1"/>
  <c r="T955" i="1"/>
  <c r="Z955" i="1" s="1"/>
  <c r="AA955" i="1" l="1"/>
  <c r="S955" i="1"/>
  <c r="W955" i="1"/>
  <c r="Y955" i="1"/>
  <c r="R955" i="1" l="1"/>
  <c r="O956" i="1"/>
  <c r="Q956" i="1"/>
  <c r="N956" i="1" l="1"/>
  <c r="P956" i="1"/>
  <c r="T956" i="1" l="1"/>
  <c r="Z956" i="1" s="1"/>
  <c r="V956" i="1"/>
  <c r="U956" i="1"/>
  <c r="AA956" i="1" s="1"/>
  <c r="W956" i="1"/>
  <c r="X956" i="1" l="1"/>
  <c r="Y956" i="1"/>
  <c r="R956" i="1" s="1"/>
  <c r="AB956" i="1"/>
  <c r="S956" i="1" s="1"/>
  <c r="P957" i="1" l="1"/>
  <c r="N957" i="1"/>
  <c r="Q957" i="1"/>
  <c r="O957" i="1"/>
  <c r="V957" i="1" l="1"/>
  <c r="AB957" i="1" s="1"/>
  <c r="U957" i="1"/>
  <c r="AA957" i="1" s="1"/>
  <c r="T957" i="1"/>
  <c r="Z957" i="1" s="1"/>
  <c r="X957" i="1" l="1"/>
  <c r="S957" i="1"/>
  <c r="Q958" i="1" s="1"/>
  <c r="Y957" i="1"/>
  <c r="W957" i="1"/>
  <c r="R957" i="1" s="1"/>
  <c r="O958" i="1" l="1"/>
  <c r="P958" i="1"/>
  <c r="N958" i="1"/>
  <c r="V958" i="1" l="1"/>
  <c r="AB958" i="1" s="1"/>
  <c r="T958" i="1"/>
  <c r="Z958" i="1" s="1"/>
  <c r="U958" i="1"/>
  <c r="AA958" i="1" s="1"/>
  <c r="W958" i="1" l="1"/>
  <c r="S958" i="1"/>
  <c r="Y958" i="1"/>
  <c r="X958" i="1"/>
  <c r="R958" i="1" s="1"/>
  <c r="Q959" i="1"/>
  <c r="O959" i="1"/>
  <c r="N959" i="1" l="1"/>
  <c r="P959" i="1"/>
  <c r="U959" i="1" l="1"/>
  <c r="AA959" i="1" s="1"/>
  <c r="V959" i="1"/>
  <c r="AB959" i="1" s="1"/>
  <c r="T959" i="1"/>
  <c r="Z959" i="1" s="1"/>
  <c r="Y959" i="1" l="1"/>
  <c r="S959" i="1"/>
  <c r="Q960" i="1" s="1"/>
  <c r="X959" i="1"/>
  <c r="W959" i="1"/>
  <c r="R959" i="1" s="1"/>
  <c r="O960" i="1"/>
  <c r="P960" i="1" l="1"/>
  <c r="N960" i="1"/>
  <c r="T960" i="1" l="1"/>
  <c r="U960" i="1"/>
  <c r="AA960" i="1" s="1"/>
  <c r="V960" i="1"/>
  <c r="Y960" i="1" l="1"/>
  <c r="AB960" i="1"/>
  <c r="X960" i="1"/>
  <c r="W960" i="1"/>
  <c r="Z960" i="1"/>
  <c r="S960" i="1" l="1"/>
  <c r="R960" i="1"/>
  <c r="N961" i="1" s="1"/>
  <c r="O961" i="1"/>
  <c r="Q961" i="1"/>
  <c r="P961" i="1" l="1"/>
  <c r="U961" i="1"/>
  <c r="AA961" i="1" s="1"/>
  <c r="T961" i="1"/>
  <c r="Z961" i="1" s="1"/>
  <c r="V961" i="1"/>
  <c r="Y961" i="1" s="1"/>
  <c r="W961" i="1" l="1"/>
  <c r="AB961" i="1"/>
  <c r="S961" i="1" s="1"/>
  <c r="X961" i="1"/>
  <c r="R961" i="1" s="1"/>
  <c r="Q962" i="1" l="1"/>
  <c r="O962" i="1"/>
  <c r="P962" i="1"/>
  <c r="N962" i="1"/>
  <c r="U962" i="1" l="1"/>
  <c r="X962" i="1" s="1"/>
  <c r="V962" i="1"/>
  <c r="Y962" i="1" s="1"/>
  <c r="T962" i="1"/>
  <c r="W962" i="1" s="1"/>
  <c r="AA962" i="1" l="1"/>
  <c r="R962" i="1"/>
  <c r="P963" i="1" s="1"/>
  <c r="N963" i="1"/>
  <c r="AB962" i="1"/>
  <c r="Z962" i="1"/>
  <c r="S962" i="1" l="1"/>
  <c r="Q963" i="1" l="1"/>
  <c r="O963" i="1"/>
  <c r="U963" i="1" l="1"/>
  <c r="X963" i="1" s="1"/>
  <c r="V963" i="1"/>
  <c r="Y963" i="1" s="1"/>
  <c r="T963" i="1"/>
  <c r="W963" i="1" s="1"/>
  <c r="AA963" i="1" l="1"/>
  <c r="R963" i="1"/>
  <c r="Z963" i="1"/>
  <c r="AB963" i="1"/>
  <c r="S963" i="1" l="1"/>
  <c r="P964" i="1"/>
  <c r="N964" i="1"/>
  <c r="O964" i="1" l="1"/>
  <c r="Q964" i="1"/>
  <c r="U964" i="1" l="1"/>
  <c r="X964" i="1" s="1"/>
  <c r="T964" i="1"/>
  <c r="W964" i="1" s="1"/>
  <c r="V964" i="1"/>
  <c r="Y964" i="1" s="1"/>
  <c r="AA964" i="1" l="1"/>
  <c r="Z964" i="1"/>
  <c r="AB964" i="1"/>
  <c r="R964" i="1"/>
  <c r="P965" i="1" s="1"/>
  <c r="S964" i="1"/>
  <c r="O965" i="1" s="1"/>
  <c r="N965" i="1"/>
  <c r="Q965" i="1" l="1"/>
  <c r="V965" i="1"/>
  <c r="AB965" i="1" s="1"/>
  <c r="U965" i="1"/>
  <c r="AA965" i="1" s="1"/>
  <c r="T965" i="1"/>
  <c r="Z965" i="1" s="1"/>
  <c r="W965" i="1" l="1"/>
  <c r="Y965" i="1"/>
  <c r="X965" i="1"/>
  <c r="S965" i="1"/>
  <c r="R965" i="1" l="1"/>
  <c r="O966" i="1"/>
  <c r="Q966" i="1"/>
  <c r="P966" i="1"/>
  <c r="N966" i="1"/>
  <c r="T966" i="1" l="1"/>
  <c r="Z966" i="1" s="1"/>
  <c r="U966" i="1"/>
  <c r="AA966" i="1" s="1"/>
  <c r="V966" i="1"/>
  <c r="Y966" i="1" s="1"/>
  <c r="AB966" i="1" l="1"/>
  <c r="X966" i="1"/>
  <c r="W966" i="1"/>
  <c r="S966" i="1"/>
  <c r="Q967" i="1" s="1"/>
  <c r="R966" i="1" l="1"/>
  <c r="P967" i="1" s="1"/>
  <c r="O967" i="1"/>
  <c r="N967" i="1"/>
  <c r="U967" i="1" l="1"/>
  <c r="AA967" i="1" s="1"/>
  <c r="V967" i="1"/>
  <c r="Y967" i="1" s="1"/>
  <c r="T967" i="1"/>
  <c r="W967" i="1" s="1"/>
  <c r="X967" i="1"/>
  <c r="Z967" i="1"/>
  <c r="AB967" i="1"/>
  <c r="R967" i="1" l="1"/>
  <c r="S967" i="1"/>
  <c r="Q968" i="1" s="1"/>
  <c r="P968" i="1"/>
  <c r="N968" i="1"/>
  <c r="O968" i="1" l="1"/>
  <c r="V968" i="1" l="1"/>
  <c r="AB968" i="1" s="1"/>
  <c r="U968" i="1"/>
  <c r="AA968" i="1" s="1"/>
  <c r="T968" i="1"/>
  <c r="Y968" i="1" l="1"/>
  <c r="X968" i="1"/>
  <c r="Z968" i="1"/>
  <c r="S968" i="1" s="1"/>
  <c r="O969" i="1" s="1"/>
  <c r="W968" i="1"/>
  <c r="R968" i="1" s="1"/>
  <c r="P969" i="1" s="1"/>
  <c r="Q969" i="1" l="1"/>
  <c r="N969" i="1"/>
  <c r="U969" i="1" s="1"/>
  <c r="AA969" i="1" s="1"/>
  <c r="V969" i="1" l="1"/>
  <c r="AB969" i="1" s="1"/>
  <c r="T969" i="1"/>
  <c r="Z969" i="1" s="1"/>
  <c r="S969" i="1" s="1"/>
  <c r="X969" i="1"/>
  <c r="Y969" i="1" l="1"/>
  <c r="W969" i="1"/>
  <c r="O970" i="1"/>
  <c r="Q970" i="1"/>
  <c r="R969" i="1" l="1"/>
  <c r="P970" i="1" s="1"/>
  <c r="N970" i="1" l="1"/>
  <c r="V970" i="1" s="1"/>
  <c r="Y970" i="1" s="1"/>
  <c r="T970" i="1"/>
  <c r="Z970" i="1" s="1"/>
  <c r="U970" i="1"/>
  <c r="AA970" i="1" s="1"/>
  <c r="AB970" i="1" l="1"/>
  <c r="W970" i="1"/>
  <c r="S970" i="1"/>
  <c r="O971" i="1" s="1"/>
  <c r="X970" i="1"/>
  <c r="R970" i="1" s="1"/>
  <c r="Q971" i="1" l="1"/>
  <c r="P971" i="1"/>
  <c r="N971" i="1"/>
  <c r="T971" i="1" s="1"/>
  <c r="U971" i="1" l="1"/>
  <c r="AA971" i="1" s="1"/>
  <c r="V971" i="1"/>
  <c r="Z971" i="1"/>
  <c r="W971" i="1"/>
  <c r="X971" i="1" l="1"/>
  <c r="AB971" i="1"/>
  <c r="S971" i="1" s="1"/>
  <c r="Y971" i="1"/>
  <c r="R971" i="1" s="1"/>
  <c r="P972" i="1" l="1"/>
  <c r="N972" i="1"/>
  <c r="O972" i="1"/>
  <c r="Q972" i="1"/>
  <c r="U972" i="1" l="1"/>
  <c r="X972" i="1" s="1"/>
  <c r="T972" i="1"/>
  <c r="Z972" i="1" s="1"/>
  <c r="V972" i="1"/>
  <c r="Y972" i="1" s="1"/>
  <c r="AA972" i="1" l="1"/>
  <c r="S972" i="1" s="1"/>
  <c r="W972" i="1"/>
  <c r="R972" i="1" s="1"/>
  <c r="P973" i="1" s="1"/>
  <c r="AB972" i="1"/>
  <c r="N973" i="1"/>
  <c r="Q973" i="1" l="1"/>
  <c r="O973" i="1"/>
  <c r="V973" i="1" s="1"/>
  <c r="AB973" i="1" s="1"/>
  <c r="U973" i="1" l="1"/>
  <c r="AA973" i="1" s="1"/>
  <c r="T973" i="1"/>
  <c r="Y973" i="1"/>
  <c r="X973" i="1" l="1"/>
  <c r="W973" i="1"/>
  <c r="Z973" i="1"/>
  <c r="S973" i="1" s="1"/>
  <c r="Q974" i="1" s="1"/>
  <c r="O974" i="1" l="1"/>
  <c r="R973" i="1"/>
  <c r="N974" i="1" l="1"/>
  <c r="P974" i="1"/>
  <c r="V974" i="1" l="1"/>
  <c r="AB974" i="1" s="1"/>
  <c r="T974" i="1"/>
  <c r="U974" i="1"/>
  <c r="X974" i="1" l="1"/>
  <c r="AA974" i="1"/>
  <c r="Z974" i="1"/>
  <c r="S974" i="1" s="1"/>
  <c r="W974" i="1"/>
  <c r="Y974" i="1"/>
  <c r="Q975" i="1" l="1"/>
  <c r="O975" i="1"/>
  <c r="R974" i="1"/>
  <c r="P975" i="1" l="1"/>
  <c r="N975" i="1"/>
  <c r="U975" i="1" l="1"/>
  <c r="AA975" i="1" s="1"/>
  <c r="V975" i="1"/>
  <c r="AB975" i="1" s="1"/>
  <c r="T975" i="1"/>
  <c r="Z975" i="1" s="1"/>
  <c r="S975" i="1" s="1"/>
  <c r="Y975" i="1" l="1"/>
  <c r="W975" i="1"/>
  <c r="X975" i="1"/>
  <c r="Q976" i="1"/>
  <c r="O976" i="1"/>
  <c r="R975" i="1" l="1"/>
  <c r="P976" i="1" l="1"/>
  <c r="N976" i="1"/>
  <c r="T976" i="1" l="1"/>
  <c r="Z976" i="1" s="1"/>
  <c r="V976" i="1"/>
  <c r="AB976" i="1" s="1"/>
  <c r="U976" i="1"/>
  <c r="W976" i="1"/>
  <c r="Y976" i="1"/>
  <c r="AA976" i="1" l="1"/>
  <c r="S976" i="1" s="1"/>
  <c r="X976" i="1"/>
  <c r="R976" i="1" s="1"/>
  <c r="N977" i="1" l="1"/>
  <c r="P977" i="1"/>
  <c r="O977" i="1"/>
  <c r="Q977" i="1"/>
  <c r="U977" i="1" l="1"/>
  <c r="AA977" i="1" s="1"/>
  <c r="T977" i="1"/>
  <c r="Z977" i="1" s="1"/>
  <c r="V977" i="1"/>
  <c r="AB977" i="1" s="1"/>
  <c r="X977" i="1"/>
  <c r="W977" i="1"/>
  <c r="Y977" i="1" l="1"/>
  <c r="R977" i="1" s="1"/>
  <c r="S977" i="1"/>
  <c r="P978" i="1" l="1"/>
  <c r="N978" i="1"/>
  <c r="O978" i="1"/>
  <c r="Q978" i="1"/>
  <c r="U978" i="1" l="1"/>
  <c r="T978" i="1"/>
  <c r="Z978" i="1" s="1"/>
  <c r="V978" i="1"/>
  <c r="AB978" i="1" s="1"/>
  <c r="W978" i="1"/>
  <c r="X978" i="1"/>
  <c r="AA978" i="1"/>
  <c r="Y978" i="1" l="1"/>
  <c r="R978" i="1" s="1"/>
  <c r="S978" i="1"/>
  <c r="Q979" i="1" l="1"/>
  <c r="O979" i="1"/>
  <c r="P979" i="1"/>
  <c r="N979" i="1"/>
  <c r="U979" i="1" l="1"/>
  <c r="AA979" i="1" s="1"/>
  <c r="T979" i="1"/>
  <c r="Z979" i="1" s="1"/>
  <c r="V979" i="1"/>
  <c r="AB979" i="1" s="1"/>
  <c r="W979" i="1"/>
  <c r="X979" i="1"/>
  <c r="Y979" i="1"/>
  <c r="S979" i="1" l="1"/>
  <c r="R979" i="1"/>
  <c r="P980" i="1" l="1"/>
  <c r="N980" i="1"/>
  <c r="O980" i="1"/>
  <c r="Q980" i="1"/>
  <c r="U980" i="1" l="1"/>
  <c r="AA980" i="1" s="1"/>
  <c r="V980" i="1"/>
  <c r="AB980" i="1" s="1"/>
  <c r="T980" i="1"/>
  <c r="Z980" i="1" s="1"/>
  <c r="X980" i="1"/>
  <c r="S980" i="1" l="1"/>
  <c r="W980" i="1"/>
  <c r="Y980" i="1"/>
  <c r="R980" i="1" l="1"/>
  <c r="Q981" i="1"/>
  <c r="O981" i="1"/>
  <c r="P981" i="1" l="1"/>
  <c r="N981" i="1"/>
  <c r="U981" i="1" l="1"/>
  <c r="AA981" i="1" s="1"/>
  <c r="T981" i="1"/>
  <c r="Z981" i="1" s="1"/>
  <c r="V981" i="1"/>
  <c r="AB981" i="1" s="1"/>
  <c r="X981" i="1"/>
  <c r="W981" i="1"/>
  <c r="Y981" i="1"/>
  <c r="R981" i="1" l="1"/>
  <c r="S981" i="1"/>
  <c r="O982" i="1" l="1"/>
  <c r="Q982" i="1"/>
  <c r="P982" i="1"/>
  <c r="N982" i="1"/>
  <c r="V982" i="1" l="1"/>
  <c r="AB982" i="1" s="1"/>
  <c r="U982" i="1"/>
  <c r="X982" i="1"/>
  <c r="Y982" i="1"/>
  <c r="T982" i="1"/>
  <c r="Z982" i="1" s="1"/>
  <c r="W982" i="1"/>
  <c r="R982" i="1" s="1"/>
  <c r="P983" i="1" s="1"/>
  <c r="AA982" i="1"/>
  <c r="N983" i="1" l="1"/>
  <c r="S982" i="1"/>
  <c r="O983" i="1" l="1"/>
  <c r="Q983" i="1"/>
  <c r="V983" i="1"/>
  <c r="AB983" i="1" s="1"/>
  <c r="U983" i="1"/>
  <c r="T983" i="1"/>
  <c r="Z983" i="1" s="1"/>
  <c r="X983" i="1"/>
  <c r="Y983" i="1"/>
  <c r="W983" i="1"/>
  <c r="R983" i="1" s="1"/>
  <c r="P984" i="1" s="1"/>
  <c r="N984" i="1"/>
  <c r="AA983" i="1" l="1"/>
  <c r="S983" i="1" s="1"/>
  <c r="O984" i="1" l="1"/>
  <c r="Q984" i="1"/>
  <c r="U984" i="1" l="1"/>
  <c r="X984" i="1" s="1"/>
  <c r="V984" i="1"/>
  <c r="T984" i="1"/>
  <c r="Z984" i="1" l="1"/>
  <c r="W984" i="1"/>
  <c r="AB984" i="1"/>
  <c r="Y984" i="1"/>
  <c r="AA984" i="1"/>
  <c r="R984" i="1" l="1"/>
  <c r="S984" i="1"/>
  <c r="O985" i="1" l="1"/>
  <c r="Q985" i="1"/>
  <c r="P985" i="1"/>
  <c r="N985" i="1"/>
  <c r="U985" i="1" l="1"/>
  <c r="V985" i="1"/>
  <c r="AB985" i="1" s="1"/>
  <c r="T985" i="1"/>
  <c r="Z985" i="1" s="1"/>
  <c r="Y985" i="1"/>
  <c r="X985" i="1"/>
  <c r="AA985" i="1"/>
  <c r="W985" i="1" l="1"/>
  <c r="R985" i="1" s="1"/>
  <c r="S985" i="1"/>
  <c r="Q986" i="1" l="1"/>
  <c r="O986" i="1"/>
  <c r="N986" i="1"/>
  <c r="P986" i="1"/>
  <c r="T986" i="1" l="1"/>
  <c r="Z986" i="1" s="1"/>
  <c r="V986" i="1"/>
  <c r="AB986" i="1" s="1"/>
  <c r="U986" i="1"/>
  <c r="AA986" i="1" s="1"/>
  <c r="W986" i="1"/>
  <c r="X986" i="1"/>
  <c r="Y986" i="1"/>
  <c r="R986" i="1" s="1"/>
  <c r="N987" i="1" s="1"/>
  <c r="P987" i="1" l="1"/>
  <c r="S986" i="1"/>
  <c r="O987" i="1" l="1"/>
  <c r="Q987" i="1"/>
  <c r="V987" i="1" l="1"/>
  <c r="Y987" i="1" s="1"/>
  <c r="T987" i="1"/>
  <c r="W987" i="1" s="1"/>
  <c r="R987" i="1" s="1"/>
  <c r="U987" i="1"/>
  <c r="X987" i="1" s="1"/>
  <c r="N988" i="1" l="1"/>
  <c r="P988" i="1"/>
  <c r="AA987" i="1"/>
  <c r="Z987" i="1"/>
  <c r="AB987" i="1"/>
  <c r="S987" i="1" l="1"/>
  <c r="Q988" i="1" l="1"/>
  <c r="O988" i="1"/>
  <c r="U988" i="1" l="1"/>
  <c r="X988" i="1" s="1"/>
  <c r="T988" i="1"/>
  <c r="W988" i="1" s="1"/>
  <c r="R988" i="1" s="1"/>
  <c r="V988" i="1"/>
  <c r="Y988" i="1" s="1"/>
  <c r="N989" i="1" l="1"/>
  <c r="P989" i="1"/>
  <c r="Z988" i="1"/>
  <c r="AB988" i="1"/>
  <c r="AA988" i="1"/>
  <c r="S988" i="1" l="1"/>
  <c r="Q989" i="1" l="1"/>
  <c r="O989" i="1"/>
  <c r="T989" i="1" l="1"/>
  <c r="W989" i="1" s="1"/>
  <c r="R989" i="1" s="1"/>
  <c r="V989" i="1"/>
  <c r="Y989" i="1" s="1"/>
  <c r="U989" i="1"/>
  <c r="X989" i="1" s="1"/>
  <c r="P990" i="1" l="1"/>
  <c r="N990" i="1"/>
  <c r="Z989" i="1"/>
  <c r="AB989" i="1"/>
  <c r="AA989" i="1"/>
  <c r="S989" i="1" l="1"/>
  <c r="O990" i="1" l="1"/>
  <c r="Q990" i="1"/>
  <c r="U990" i="1" l="1"/>
  <c r="X990" i="1" s="1"/>
  <c r="V990" i="1"/>
  <c r="Y990" i="1" s="1"/>
  <c r="T990" i="1"/>
  <c r="W990" i="1" s="1"/>
  <c r="AA990" i="1" l="1"/>
  <c r="R990" i="1"/>
  <c r="AB990" i="1"/>
  <c r="Z990" i="1"/>
  <c r="S990" i="1" s="1"/>
  <c r="Q991" i="1" l="1"/>
  <c r="O991" i="1"/>
  <c r="N991" i="1"/>
  <c r="P991" i="1"/>
  <c r="AD6" i="1"/>
  <c r="V991" i="1" l="1"/>
  <c r="AB991" i="1" s="1"/>
  <c r="T991" i="1"/>
  <c r="W991" i="1" s="1"/>
  <c r="R991" i="1" s="1"/>
  <c r="U991" i="1"/>
  <c r="X991" i="1" s="1"/>
  <c r="Y991" i="1"/>
  <c r="Z991" i="1"/>
  <c r="AD7" i="1"/>
  <c r="N992" i="1" l="1"/>
  <c r="P992" i="1"/>
  <c r="AA991" i="1"/>
  <c r="S991" i="1"/>
  <c r="AD8" i="1"/>
  <c r="Q992" i="1" l="1"/>
  <c r="O992" i="1"/>
  <c r="V992" i="1"/>
  <c r="AB992" i="1" s="1"/>
  <c r="U992" i="1"/>
  <c r="X992" i="1" s="1"/>
  <c r="Y992" i="1"/>
  <c r="AD9" i="1"/>
  <c r="T992" i="1" l="1"/>
  <c r="AA992" i="1"/>
  <c r="AD10" i="1"/>
  <c r="Z992" i="1" l="1"/>
  <c r="S992" i="1" s="1"/>
  <c r="W992" i="1"/>
  <c r="R992" i="1" s="1"/>
  <c r="AD11" i="1"/>
  <c r="P993" i="1" l="1"/>
  <c r="N993" i="1"/>
  <c r="O993" i="1"/>
  <c r="Q993" i="1"/>
  <c r="AD12" i="1"/>
  <c r="U993" i="1" l="1"/>
  <c r="AA993" i="1" s="1"/>
  <c r="T993" i="1"/>
  <c r="Z993" i="1" s="1"/>
  <c r="V993" i="1"/>
  <c r="AB993" i="1" s="1"/>
  <c r="X993" i="1"/>
  <c r="W993" i="1"/>
  <c r="AD13" i="1"/>
  <c r="Y993" i="1" l="1"/>
  <c r="R993" i="1"/>
  <c r="S993" i="1"/>
  <c r="AD14" i="1"/>
  <c r="O994" i="1" l="1"/>
  <c r="Q994" i="1"/>
  <c r="N994" i="1"/>
  <c r="P994" i="1"/>
  <c r="AD15" i="1"/>
  <c r="U994" i="1" l="1"/>
  <c r="X994" i="1" s="1"/>
  <c r="V994" i="1"/>
  <c r="AB994" i="1" s="1"/>
  <c r="T994" i="1"/>
  <c r="Z994" i="1" s="1"/>
  <c r="Y994" i="1"/>
  <c r="AA994" i="1"/>
  <c r="AD16" i="1"/>
  <c r="S994" i="1" l="1"/>
  <c r="W994" i="1"/>
  <c r="R994" i="1" s="1"/>
  <c r="AD17" i="1"/>
  <c r="P995" i="1" l="1"/>
  <c r="N995" i="1"/>
  <c r="O995" i="1"/>
  <c r="Q995" i="1"/>
  <c r="AD18" i="1"/>
  <c r="T995" i="1" l="1"/>
  <c r="Z995" i="1" s="1"/>
  <c r="U995" i="1"/>
  <c r="V995" i="1"/>
  <c r="AB995" i="1" s="1"/>
  <c r="W995" i="1"/>
  <c r="X995" i="1"/>
  <c r="AA995" i="1"/>
  <c r="Y995" i="1" l="1"/>
  <c r="S995" i="1"/>
  <c r="R995" i="1"/>
  <c r="Q996" i="1" l="1"/>
  <c r="O996" i="1"/>
  <c r="N996" i="1"/>
  <c r="P996" i="1"/>
  <c r="T996" i="1" l="1"/>
  <c r="Z996" i="1" s="1"/>
  <c r="U996" i="1"/>
  <c r="AA996" i="1" s="1"/>
  <c r="W996" i="1"/>
  <c r="V996" i="1"/>
  <c r="AB996" i="1" s="1"/>
  <c r="X996" i="1"/>
  <c r="Y996" i="1" l="1"/>
  <c r="R996" i="1" s="1"/>
  <c r="S996" i="1"/>
  <c r="O997" i="1" l="1"/>
  <c r="Q997" i="1"/>
  <c r="P997" i="1"/>
  <c r="N997" i="1"/>
  <c r="T997" i="1" l="1"/>
  <c r="U997" i="1"/>
  <c r="X997" i="1" s="1"/>
  <c r="V997" i="1"/>
  <c r="Y997" i="1" s="1"/>
  <c r="W997" i="1"/>
  <c r="AA997" i="1"/>
  <c r="AB997" i="1"/>
  <c r="Z997" i="1"/>
  <c r="S997" i="1" s="1"/>
  <c r="O998" i="1" s="1"/>
  <c r="Q998" i="1" l="1"/>
  <c r="R997" i="1"/>
  <c r="N998" i="1" l="1"/>
  <c r="P998" i="1"/>
  <c r="V998" i="1" l="1"/>
  <c r="AB998" i="1" s="1"/>
  <c r="T998" i="1"/>
  <c r="Z998" i="1" s="1"/>
  <c r="Y998" i="1"/>
  <c r="U998" i="1"/>
  <c r="AA998" i="1" s="1"/>
  <c r="W998" i="1"/>
  <c r="X998" i="1" l="1"/>
  <c r="S998" i="1"/>
  <c r="R998" i="1"/>
  <c r="N999" i="1" l="1"/>
  <c r="P999" i="1"/>
  <c r="O999" i="1"/>
  <c r="Q999" i="1"/>
  <c r="C2" i="2" a="1"/>
  <c r="C2" i="2" s="1"/>
  <c r="H3" i="2" s="1"/>
  <c r="V999" i="1" l="1"/>
  <c r="AB999" i="1" s="1"/>
  <c r="U999" i="1"/>
  <c r="AA999" i="1" s="1"/>
  <c r="T999" i="1"/>
  <c r="Z999" i="1" s="1"/>
  <c r="H5" i="2"/>
  <c r="H6" i="2"/>
  <c r="H4" i="2"/>
  <c r="Y999" i="1" l="1"/>
  <c r="S999" i="1"/>
  <c r="W999" i="1"/>
  <c r="X999" i="1"/>
  <c r="R999" i="1" s="1"/>
  <c r="P1000" i="1" l="1"/>
  <c r="N1000" i="1"/>
  <c r="O1000" i="1"/>
  <c r="Q1000" i="1"/>
  <c r="V1000" i="1" l="1"/>
  <c r="AB1000" i="1" s="1"/>
  <c r="U1000" i="1"/>
  <c r="T1000" i="1"/>
  <c r="W1000" i="1" s="1"/>
  <c r="R1000" i="1" s="1"/>
  <c r="Y1000" i="1"/>
  <c r="X1000" i="1"/>
  <c r="AA1000" i="1"/>
  <c r="Z1000" i="1"/>
  <c r="S1000" i="1" s="1"/>
  <c r="Q1001" i="1" s="1"/>
  <c r="P1001" i="1" l="1"/>
  <c r="N1001" i="1"/>
  <c r="O1001" i="1"/>
  <c r="T1001" i="1" l="1"/>
  <c r="Z1001" i="1" s="1"/>
  <c r="U1001" i="1"/>
  <c r="V1001" i="1"/>
  <c r="AB1001" i="1" s="1"/>
  <c r="W1001" i="1"/>
  <c r="X1001" i="1"/>
  <c r="AA1001" i="1"/>
  <c r="Y1001" i="1" l="1"/>
  <c r="R1001" i="1"/>
  <c r="S1001" i="1"/>
  <c r="D2" i="2" a="1"/>
  <c r="D2" i="2" s="1"/>
  <c r="I3" i="2" s="1"/>
  <c r="P1002" i="1" l="1"/>
  <c r="N1002" i="1"/>
  <c r="Q1002" i="1"/>
  <c r="O1002" i="1"/>
  <c r="I6" i="2"/>
  <c r="I5" i="2"/>
  <c r="I4" i="2"/>
  <c r="V1002" i="1" l="1"/>
  <c r="AB1002" i="1" s="1"/>
  <c r="T1002" i="1"/>
  <c r="Z1002" i="1" s="1"/>
  <c r="U1002" i="1"/>
  <c r="AA1002" i="1" s="1"/>
  <c r="W1002" i="1"/>
  <c r="Y1002" i="1"/>
  <c r="X1002" i="1" l="1"/>
  <c r="R1002" i="1" s="1"/>
  <c r="S1002" i="1"/>
  <c r="N1003" i="1" l="1"/>
  <c r="P1003" i="1"/>
  <c r="Q1003" i="1"/>
  <c r="O1003" i="1"/>
  <c r="T1003" i="1" l="1"/>
  <c r="Z1003" i="1" s="1"/>
  <c r="U1003" i="1"/>
  <c r="AA1003" i="1" s="1"/>
  <c r="V1003" i="1"/>
  <c r="AB1003" i="1" s="1"/>
  <c r="W1003" i="1"/>
  <c r="Y1003" i="1" l="1"/>
  <c r="X1003" i="1"/>
  <c r="S1003" i="1"/>
  <c r="O1004" i="1" l="1"/>
  <c r="Q1004" i="1"/>
  <c r="R1003" i="1"/>
  <c r="P1004" i="1" l="1"/>
  <c r="N1004" i="1"/>
  <c r="T1004" i="1" l="1"/>
  <c r="Z1004" i="1" s="1"/>
  <c r="U1004" i="1"/>
  <c r="AA1004" i="1" s="1"/>
  <c r="V1004" i="1"/>
  <c r="AB1004" i="1" s="1"/>
  <c r="W1004" i="1"/>
  <c r="Y1004" i="1"/>
  <c r="X1004" i="1"/>
  <c r="R1004" i="1" l="1"/>
  <c r="S1004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<sst xmlns="http://schemas.openxmlformats.org/spreadsheetml/2006/main" count="138" uniqueCount="88">
  <si>
    <t>t</t>
  </si>
  <si>
    <t>^</t>
  </si>
  <si>
    <t>m</t>
  </si>
  <si>
    <t>p</t>
  </si>
  <si>
    <t>v</t>
  </si>
  <si>
    <t>corps 1</t>
  </si>
  <si>
    <t>position</t>
  </si>
  <si>
    <t>q1</t>
  </si>
  <si>
    <t>r1</t>
  </si>
  <si>
    <t>V1</t>
  </si>
  <si>
    <t>Masse total</t>
  </si>
  <si>
    <t>M1</t>
  </si>
  <si>
    <t>Constante d'Aarseth</t>
  </si>
  <si>
    <t>Dimension</t>
  </si>
  <si>
    <t>s</t>
  </si>
  <si>
    <t>Attraction/Répulsion</t>
  </si>
  <si>
    <t>λ1</t>
  </si>
  <si>
    <t>ω1</t>
  </si>
  <si>
    <t>corps 2</t>
  </si>
  <si>
    <t>corps 3</t>
  </si>
  <si>
    <t>q2</t>
  </si>
  <si>
    <t>r2</t>
  </si>
  <si>
    <t>V2</t>
  </si>
  <si>
    <t>M2</t>
  </si>
  <si>
    <t>λ2</t>
  </si>
  <si>
    <t>ω2</t>
  </si>
  <si>
    <t>q3</t>
  </si>
  <si>
    <t>r3</t>
  </si>
  <si>
    <t>V3</t>
  </si>
  <si>
    <t>M3</t>
  </si>
  <si>
    <t>λ3</t>
  </si>
  <si>
    <t>ω3</t>
  </si>
  <si>
    <t>Conditions initiales de la simulation</t>
  </si>
  <si>
    <t>Coefficient de friction</t>
  </si>
  <si>
    <t>f</t>
  </si>
  <si>
    <t>Px</t>
  </si>
  <si>
    <t>Vaisseau</t>
  </si>
  <si>
    <t>&lt;</t>
  </si>
  <si>
    <t>Py</t>
  </si>
  <si>
    <t>vx</t>
  </si>
  <si>
    <t>vy</t>
  </si>
  <si>
    <t>ax</t>
  </si>
  <si>
    <t>ay</t>
  </si>
  <si>
    <t>a1x</t>
  </si>
  <si>
    <t>Masse Volumique moyenne</t>
  </si>
  <si>
    <t>P1</t>
  </si>
  <si>
    <t>a2x</t>
  </si>
  <si>
    <t>a3x</t>
  </si>
  <si>
    <t>ay1</t>
  </si>
  <si>
    <t>a2y</t>
  </si>
  <si>
    <t>a3y</t>
  </si>
  <si>
    <t>distance corps 1</t>
  </si>
  <si>
    <t>distance corps 2</t>
  </si>
  <si>
    <t>distance corps 3</t>
  </si>
  <si>
    <t>incresement</t>
  </si>
  <si>
    <t>x</t>
  </si>
  <si>
    <t>y</t>
  </si>
  <si>
    <t>position x</t>
  </si>
  <si>
    <t>position y</t>
  </si>
  <si>
    <t>echelle</t>
  </si>
  <si>
    <t>taille</t>
  </si>
  <si>
    <t>iteration</t>
  </si>
  <si>
    <t>angle</t>
  </si>
  <si>
    <t>X'</t>
  </si>
  <si>
    <t>Y'</t>
  </si>
  <si>
    <t>vitesse x</t>
  </si>
  <si>
    <t>vitesse y</t>
  </si>
  <si>
    <t>Accélération initiale</t>
  </si>
  <si>
    <t>a</t>
  </si>
  <si>
    <t>Attraction</t>
  </si>
  <si>
    <t>seconde</t>
  </si>
  <si>
    <t>mètre/seconde</t>
  </si>
  <si>
    <t>-</t>
  </si>
  <si>
    <t>gramme</t>
  </si>
  <si>
    <t>mètre</t>
  </si>
  <si>
    <t>gramme/mètre</t>
  </si>
  <si>
    <t>Base de temps</t>
  </si>
  <si>
    <t>Ration de la constant d'Aarseth</t>
  </si>
  <si>
    <t>Masse</t>
  </si>
  <si>
    <t>Position initiale en x et y</t>
  </si>
  <si>
    <t>Vitesse initiale en x et y</t>
  </si>
  <si>
    <t>Position</t>
  </si>
  <si>
    <t>Rayon</t>
  </si>
  <si>
    <t>Volume</t>
  </si>
  <si>
    <t>paramètre généraux</t>
  </si>
  <si>
    <t>paramètre du corps en mouvement</t>
  </si>
  <si>
    <t>paramètres pour chacun des trois corps statiques</t>
  </si>
  <si>
    <t>Representation des conditions initiales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</si>
</sst>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sz val="11"/>
      <color theme="6" tint="0.3999755851924192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3" borderId="3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5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3" fillId="4" borderId="4" xfId="0" applyFont="1" applyFill="1" applyBorder="1" applyAlignment="1">
      <alignment horizontal="left"/>
    </xf>
    <xf numFmtId="0" fontId="3" fillId="4" borderId="5" xfId="0" applyFont="1" applyFill="1" applyBorder="1" applyAlignment="1">
      <alignment horizontal="left"/>
    </xf>
    <xf numFmtId="0" fontId="3" fillId="5" borderId="3" xfId="0" applyFont="1" applyFill="1" applyBorder="1" applyAlignment="1">
      <alignment horizontal="left"/>
    </xf>
    <xf numFmtId="0" fontId="3" fillId="5" borderId="4" xfId="0" applyFont="1" applyFill="1" applyBorder="1" applyAlignment="1">
      <alignment horizontal="left"/>
    </xf>
    <xf numFmtId="0" fontId="3" fillId="5" borderId="5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2" fillId="0" borderId="2" xfId="0" applyFont="1" applyBorder="1"/>
    <xf numFmtId="0" fontId="4" fillId="0" borderId="6" xfId="0" applyFont="1" applyBorder="1"/>
    <xf numFmtId="0" fontId="5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2" xfId="0" applyFont="1" applyBorder="1"/>
    <xf numFmtId="0" fontId="5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Feuil1!$N$4:$N$1004</c:f>
              <c:numCache>
                <c:formatCode>General</c:formatCode>
                <c:ptCount val="1001"/>
                <c:pt idx="0">
                  <c:v>0</c:v>
                </c:pt>
                <c:pt idx="1">
                  <c:v>357.04245141439014</c:v>
                </c:pt>
                <c:pt idx="2">
                  <c:v>1429.4052100854506</c:v>
                </c:pt>
                <c:pt idx="3">
                  <c:v>3221.9305776024967</c:v>
                </c:pt>
                <c:pt idx="4">
                  <c:v>5743.3671471201542</c:v>
                </c:pt>
                <c:pt idx="5">
                  <c:v>9000.8457735386437</c:v>
                </c:pt>
                <c:pt idx="6">
                  <c:v>12977.79510129896</c:v>
                </c:pt>
                <c:pt idx="7">
                  <c:v>17574.389581626474</c:v>
                </c:pt>
                <c:pt idx="8">
                  <c:v>22512.557826924633</c:v>
                </c:pt>
                <c:pt idx="9">
                  <c:v>27310.388108021692</c:v>
                </c:pt>
                <c:pt idx="10">
                  <c:v>31456.866175410829</c:v>
                </c:pt>
                <c:pt idx="11">
                  <c:v>34636.033496735814</c:v>
                </c:pt>
                <c:pt idx="12">
                  <c:v>36752.25159745344</c:v>
                </c:pt>
                <c:pt idx="13">
                  <c:v>37820.677655497886</c:v>
                </c:pt>
                <c:pt idx="14">
                  <c:v>37883.070795771768</c:v>
                </c:pt>
                <c:pt idx="15">
                  <c:v>36974.006260785733</c:v>
                </c:pt>
                <c:pt idx="16">
                  <c:v>35112.913059564278</c:v>
                </c:pt>
                <c:pt idx="17">
                  <c:v>32308.370427952872</c:v>
                </c:pt>
                <c:pt idx="18">
                  <c:v>28575.409480403971</c:v>
                </c:pt>
                <c:pt idx="19">
                  <c:v>23979.360510079427</c:v>
                </c:pt>
                <c:pt idx="20">
                  <c:v>18724.745230084438</c:v>
                </c:pt>
                <c:pt idx="21">
                  <c:v>13244.704741903728</c:v>
                </c:pt>
                <c:pt idx="22">
                  <c:v>8101.0875102073878</c:v>
                </c:pt>
                <c:pt idx="23">
                  <c:v>3683.5802821978227</c:v>
                </c:pt>
                <c:pt idx="24">
                  <c:v>76.281085675317115</c:v>
                </c:pt>
                <c:pt idx="25">
                  <c:v>-2806.4200956214918</c:v>
                </c:pt>
                <c:pt idx="26">
                  <c:v>-5065.4265828979878</c:v>
                </c:pt>
                <c:pt idx="27">
                  <c:v>-6736.9425051922535</c:v>
                </c:pt>
                <c:pt idx="28">
                  <c:v>-7766.2493871291863</c:v>
                </c:pt>
                <c:pt idx="29">
                  <c:v>-8062.6549370774756</c:v>
                </c:pt>
                <c:pt idx="30">
                  <c:v>-7614.5647296640427</c:v>
                </c:pt>
                <c:pt idx="31">
                  <c:v>-6520.5008556448147</c:v>
                </c:pt>
                <c:pt idx="32">
                  <c:v>-4919.4547150219869</c:v>
                </c:pt>
                <c:pt idx="33">
                  <c:v>-2941.3466231217831</c:v>
                </c:pt>
                <c:pt idx="34">
                  <c:v>-703.59796623510181</c:v>
                </c:pt>
                <c:pt idx="35">
                  <c:v>1680.0655706518205</c:v>
                </c:pt>
                <c:pt idx="36">
                  <c:v>4101.5877391271079</c:v>
                </c:pt>
                <c:pt idx="37">
                  <c:v>6487.0601722102811</c:v>
                </c:pt>
                <c:pt idx="38">
                  <c:v>8845.398447562402</c:v>
                </c:pt>
                <c:pt idx="39">
                  <c:v>11289.929517052309</c:v>
                </c:pt>
                <c:pt idx="40">
                  <c:v>13995.623663730868</c:v>
                </c:pt>
                <c:pt idx="41">
                  <c:v>17098.587141084183</c:v>
                </c:pt>
                <c:pt idx="42">
                  <c:v>20544.731948969817</c:v>
                </c:pt>
                <c:pt idx="43">
                  <c:v>24040.483574788854</c:v>
                </c:pt>
                <c:pt idx="44">
                  <c:v>27275.357172305674</c:v>
                </c:pt>
                <c:pt idx="45">
                  <c:v>30113.397763226221</c:v>
                </c:pt>
                <c:pt idx="46">
                  <c:v>32541.596922019959</c:v>
                </c:pt>
                <c:pt idx="47">
                  <c:v>34583.22439160067</c:v>
                </c:pt>
                <c:pt idx="48">
                  <c:v>36264.385316792053</c:v>
                </c:pt>
                <c:pt idx="49">
                  <c:v>37605.669477540803</c:v>
                </c:pt>
                <c:pt idx="50">
                  <c:v>38620.872156877951</c:v>
                </c:pt>
                <c:pt idx="51">
                  <c:v>39317.268737391314</c:v>
                </c:pt>
                <c:pt idx="52">
                  <c:v>39695.963370148973</c:v>
                </c:pt>
                <c:pt idx="53">
                  <c:v>39751.914322661476</c:v>
                </c:pt>
                <c:pt idx="54">
                  <c:v>39473.494556547492</c:v>
                </c:pt>
                <c:pt idx="55">
                  <c:v>38841.464218529567</c:v>
                </c:pt>
                <c:pt idx="56">
                  <c:v>37827.168448108489</c:v>
                </c:pt>
                <c:pt idx="57">
                  <c:v>36389.687778468418</c:v>
                </c:pt>
                <c:pt idx="58">
                  <c:v>34471.689936411989</c:v>
                </c:pt>
                <c:pt idx="59">
                  <c:v>31994.476258483726</c:v>
                </c:pt>
                <c:pt idx="60">
                  <c:v>28856.971131755123</c:v>
                </c:pt>
                <c:pt idx="61">
                  <c:v>24961.522922201591</c:v>
                </c:pt>
                <c:pt idx="62">
                  <c:v>20330.783832814512</c:v>
                </c:pt>
                <c:pt idx="63">
                  <c:v>15279.827981430342</c:v>
                </c:pt>
                <c:pt idx="64">
                  <c:v>10252.432726785502</c:v>
                </c:pt>
                <c:pt idx="65">
                  <c:v>5429.0358507840247</c:v>
                </c:pt>
                <c:pt idx="66">
                  <c:v>698.85926595249794</c:v>
                </c:pt>
                <c:pt idx="67">
                  <c:v>-4044.7724472684317</c:v>
                </c:pt>
                <c:pt idx="68">
                  <c:v>-8663.6913142061003</c:v>
                </c:pt>
                <c:pt idx="69">
                  <c:v>-12917.436092546435</c:v>
                </c:pt>
                <c:pt idx="70">
                  <c:v>-16699.574181039545</c:v>
                </c:pt>
                <c:pt idx="71">
                  <c:v>-20008.75332013857</c:v>
                </c:pt>
                <c:pt idx="72">
                  <c:v>-22870.44712817133</c:v>
                </c:pt>
                <c:pt idx="73">
                  <c:v>-25310.001783140655</c:v>
                </c:pt>
                <c:pt idx="74">
                  <c:v>-27346.888117378578</c:v>
                </c:pt>
                <c:pt idx="75">
                  <c:v>-28994.267538393109</c:v>
                </c:pt>
                <c:pt idx="76">
                  <c:v>-30259.571407026699</c:v>
                </c:pt>
                <c:pt idx="77">
                  <c:v>-31145.065069976859</c:v>
                </c:pt>
                <c:pt idx="78">
                  <c:v>-31648.179431493663</c:v>
                </c:pt>
                <c:pt idx="79">
                  <c:v>-31761.584251091379</c:v>
                </c:pt>
                <c:pt idx="80">
                  <c:v>-31473.014933147577</c:v>
                </c:pt>
                <c:pt idx="81">
                  <c:v>-30764.871272577449</c:v>
                </c:pt>
                <c:pt idx="82">
                  <c:v>-29613.626476596084</c:v>
                </c:pt>
                <c:pt idx="83">
                  <c:v>-27989.162372051764</c:v>
                </c:pt>
                <c:pt idx="84">
                  <c:v>-25854.389146671063</c:v>
                </c:pt>
                <c:pt idx="85">
                  <c:v>-23166.247428801449</c:v>
                </c:pt>
                <c:pt idx="86">
                  <c:v>-19881.570361766648</c:v>
                </c:pt>
                <c:pt idx="87">
                  <c:v>-15978.150098282413</c:v>
                </c:pt>
                <c:pt idx="88">
                  <c:v>-11497.45914945078</c:v>
                </c:pt>
                <c:pt idx="89">
                  <c:v>-6511.1196595279289</c:v>
                </c:pt>
                <c:pt idx="90">
                  <c:v>-992.59433006986058</c:v>
                </c:pt>
                <c:pt idx="91">
                  <c:v>5175.9071157244662</c:v>
                </c:pt>
                <c:pt idx="92">
                  <c:v>12065.593941388433</c:v>
                </c:pt>
                <c:pt idx="93">
                  <c:v>19566.678699976561</c:v>
                </c:pt>
                <c:pt idx="94">
                  <c:v>27296.975122421853</c:v>
                </c:pt>
                <c:pt idx="95">
                  <c:v>34737.252506446355</c:v>
                </c:pt>
                <c:pt idx="96">
                  <c:v>41522.394228266152</c:v>
                </c:pt>
                <c:pt idx="97">
                  <c:v>47540.224615741638</c:v>
                </c:pt>
                <c:pt idx="98">
                  <c:v>52825.049221725683</c:v>
                </c:pt>
                <c:pt idx="99">
                  <c:v>57455.56394070488</c:v>
                </c:pt>
                <c:pt idx="100">
                  <c:v>61511.654208043939</c:v>
                </c:pt>
                <c:pt idx="101">
                  <c:v>65062.343907945244</c:v>
                </c:pt>
                <c:pt idx="102">
                  <c:v>68164.489977322693</c:v>
                </c:pt>
                <c:pt idx="103">
                  <c:v>70864.379156572642</c:v>
                </c:pt>
                <c:pt idx="104">
                  <c:v>73199.750261519686</c:v>
                </c:pt>
                <c:pt idx="105">
                  <c:v>75201.571211634029</c:v>
                </c:pt>
                <c:pt idx="106">
                  <c:v>76895.455130428032</c:v>
                </c:pt>
                <c:pt idx="107">
                  <c:v>78302.752871100834</c:v>
                </c:pt>
                <c:pt idx="108">
                  <c:v>79441.388746894983</c:v>
                </c:pt>
                <c:pt idx="109">
                  <c:v>80326.500796938053</c:v>
                </c:pt>
                <c:pt idx="110">
                  <c:v>80970.934187064282</c:v>
                </c:pt>
                <c:pt idx="111">
                  <c:v>81385.624304683122</c:v>
                </c:pt>
                <c:pt idx="112">
                  <c:v>81579.896535560343</c:v>
                </c:pt>
                <c:pt idx="113">
                  <c:v>81561.702554776493</c:v>
                </c:pt>
                <c:pt idx="114">
                  <c:v>81337.807739091644</c:v>
                </c:pt>
                <c:pt idx="115">
                  <c:v>80913.940520359611</c:v>
                </c:pt>
                <c:pt idx="116">
                  <c:v>80294.911752887696</c:v>
                </c:pt>
                <c:pt idx="117">
                  <c:v>79484.71016793637</c:v>
                </c:pt>
                <c:pt idx="118">
                  <c:v>78486.578526114841</c:v>
                </c:pt>
                <c:pt idx="119">
                  <c:v>77303.07400652561</c:v>
                </c:pt>
                <c:pt idx="120">
                  <c:v>75936.115589602239</c:v>
                </c:pt>
                <c:pt idx="121">
                  <c:v>74387.020632421976</c:v>
                </c:pt>
                <c:pt idx="122">
                  <c:v>72656.532461522394</c:v>
                </c:pt>
                <c:pt idx="123">
                  <c:v>70744.84060314791</c:v>
                </c:pt>
                <c:pt idx="124">
                  <c:v>68651.595242918644</c:v>
                </c:pt>
                <c:pt idx="125">
                  <c:v>66375.91769453435</c:v>
                </c:pt>
                <c:pt idx="126">
                  <c:v>63916.409141048418</c:v>
                </c:pt>
                <c:pt idx="127">
                  <c:v>61271.16083906492</c:v>
                </c:pt>
                <c:pt idx="128">
                  <c:v>58437.770600290496</c:v>
                </c:pt>
                <c:pt idx="129">
                  <c:v>55413.373122081153</c:v>
                </c:pt>
                <c:pt idx="130">
                  <c:v>52194.696375133739</c:v>
                </c:pt>
                <c:pt idx="131">
                  <c:v>48778.164051369968</c:v>
                </c:pt>
                <c:pt idx="132">
                  <c:v>45160.077214311837</c:v>
                </c:pt>
                <c:pt idx="133">
                  <c:v>41336.930453797104</c:v>
                </c:pt>
                <c:pt idx="134">
                  <c:v>37305.954919469004</c:v>
                </c:pt>
                <c:pt idx="135">
                  <c:v>33066.040833638421</c:v>
                </c:pt>
                <c:pt idx="136">
                  <c:v>28619.281994154586</c:v>
                </c:pt>
                <c:pt idx="137">
                  <c:v>23973.486417565768</c:v>
                </c:pt>
                <c:pt idx="138">
                  <c:v>19145.973871227416</c:v>
                </c:pt>
                <c:pt idx="139">
                  <c:v>14168.250897828029</c:v>
                </c:pt>
                <c:pt idx="140">
                  <c:v>9087.9774789753574</c:v>
                </c:pt>
                <c:pt idx="141">
                  <c:v>3959.3868383046665</c:v>
                </c:pt>
                <c:pt idx="142">
                  <c:v>-1139.3681666968803</c:v>
                </c:pt>
                <c:pt idx="143">
                  <c:v>-5951.4909401362456</c:v>
                </c:pt>
                <c:pt idx="144">
                  <c:v>-10182.97172223483</c:v>
                </c:pt>
                <c:pt idx="145">
                  <c:v>-13835.146929169505</c:v>
                </c:pt>
                <c:pt idx="146">
                  <c:v>-17098.518861297438</c:v>
                </c:pt>
                <c:pt idx="147">
                  <c:v>-20021.777734758321</c:v>
                </c:pt>
                <c:pt idx="148">
                  <c:v>-22554.440355303355</c:v>
                </c:pt>
                <c:pt idx="149">
                  <c:v>-24724.351163637642</c:v>
                </c:pt>
                <c:pt idx="150">
                  <c:v>-26583.276660327061</c:v>
                </c:pt>
                <c:pt idx="151">
                  <c:v>-28176.368502142501</c:v>
                </c:pt>
                <c:pt idx="152">
                  <c:v>-29539.670064018141</c:v>
                </c:pt>
                <c:pt idx="153">
                  <c:v>-30701.805822077858</c:v>
                </c:pt>
                <c:pt idx="154">
                  <c:v>-31685.762940887656</c:v>
                </c:pt>
                <c:pt idx="155">
                  <c:v>-32510.262688797502</c:v>
                </c:pt>
                <c:pt idx="156">
                  <c:v>-33190.762300630362</c:v>
                </c:pt>
                <c:pt idx="157">
                  <c:v>-33740.184866995398</c:v>
                </c:pt>
                <c:pt idx="158">
                  <c:v>-34169.456796175378</c:v>
                </c:pt>
                <c:pt idx="159">
                  <c:v>-34487.909307060974</c:v>
                </c:pt>
                <c:pt idx="160">
                  <c:v>-34703.582847274898</c:v>
                </c:pt>
                <c:pt idx="161">
                  <c:v>-34823.461230470471</c:v>
                </c:pt>
                <c:pt idx="162">
                  <c:v>-34853.654137814723</c:v>
                </c:pt>
                <c:pt idx="163">
                  <c:v>-34799.541134561645</c:v>
                </c:pt>
                <c:pt idx="164">
                  <c:v>-34665.886611934104</c:v>
                </c:pt>
                <c:pt idx="165">
                  <c:v>-34456.932484296369</c:v>
                </c:pt>
                <c:pt idx="166">
                  <c:v>-34176.473666792917</c:v>
                </c:pt>
                <c:pt idx="167">
                  <c:v>-33827.920078539057</c:v>
                </c:pt>
                <c:pt idx="168">
                  <c:v>-33414.347996272991</c:v>
                </c:pt>
                <c:pt idx="169">
                  <c:v>-32938.542913463993</c:v>
                </c:pt>
                <c:pt idx="170">
                  <c:v>-32403.035566297283</c:v>
                </c:pt>
                <c:pt idx="171">
                  <c:v>-31810.132420230068</c:v>
                </c:pt>
                <c:pt idx="172">
                  <c:v>-31161.941633995499</c:v>
                </c:pt>
                <c:pt idx="173">
                  <c:v>-30460.395307547515</c:v>
                </c:pt>
                <c:pt idx="174">
                  <c:v>-29707.26865914205</c:v>
                </c:pt>
                <c:pt idx="175">
                  <c:v>-28904.196652110244</c:v>
                </c:pt>
                <c:pt idx="176">
                  <c:v>-28052.688494900947</c:v>
                </c:pt>
                <c:pt idx="177">
                  <c:v>-27154.140362083912</c:v>
                </c:pt>
                <c:pt idx="178">
                  <c:v>-26209.846624376281</c:v>
                </c:pt>
                <c:pt idx="179">
                  <c:v>-25221.009828804144</c:v>
                </c:pt>
                <c:pt idx="180">
                  <c:v>-24188.749633178577</c:v>
                </c:pt>
                <c:pt idx="181">
                  <c:v>-23114.110870178589</c:v>
                </c:pt>
                <c:pt idx="182">
                  <c:v>-21998.070894038396</c:v>
                </c:pt>
                <c:pt idx="183">
                  <c:v>-20841.546346085761</c:v>
                </c:pt>
                <c:pt idx="184">
                  <c:v>-19645.399463451478</c:v>
                </c:pt>
                <c:pt idx="185">
                  <c:v>-18410.44404772545</c:v>
                </c:pt>
                <c:pt idx="186">
                  <c:v>-17137.451206982332</c:v>
                </c:pt>
                <c:pt idx="187">
                  <c:v>-15827.154985499057</c:v>
                </c:pt>
                <c:pt idx="188">
                  <c:v>-14480.258000963562</c:v>
                </c:pt>
                <c:pt idx="189">
                  <c:v>-13097.437219665862</c:v>
                </c:pt>
                <c:pt idx="190">
                  <c:v>-11679.350017092962</c:v>
                </c:pt>
                <c:pt idx="191">
                  <c:v>-10226.640696048129</c:v>
                </c:pt>
                <c:pt idx="192">
                  <c:v>-8739.9476691013715</c:v>
                </c:pt>
                <c:pt idx="193">
                  <c:v>-7219.91156003175</c:v>
                </c:pt>
                <c:pt idx="194">
                  <c:v>-5667.1845444966866</c:v>
                </c:pt>
                <c:pt idx="195">
                  <c:v>-4082.4413400068279</c:v>
                </c:pt>
                <c:pt idx="196">
                  <c:v>-2466.3923788934558</c:v>
                </c:pt>
                <c:pt idx="197">
                  <c:v>-819.79986924900572</c:v>
                </c:pt>
                <c:pt idx="198">
                  <c:v>856.50231153168249</c:v>
                </c:pt>
                <c:pt idx="199">
                  <c:v>2561.5836068475601</c:v>
                </c:pt>
                <c:pt idx="200">
                  <c:v>4294.3848845885686</c:v>
                </c:pt>
                <c:pt idx="201">
                  <c:v>6053.6771767574419</c:v>
                </c:pt>
                <c:pt idx="202">
                  <c:v>7838.0075304972124</c:v>
                </c:pt>
                <c:pt idx="203">
                  <c:v>9645.6268689716944</c:v>
                </c:pt>
                <c:pt idx="204">
                  <c:v>11474.392336737361</c:v>
                </c:pt>
                <c:pt idx="205">
                  <c:v>13321.632795975087</c:v>
                </c:pt>
                <c:pt idx="206">
                  <c:v>15183.960009746032</c:v>
                </c:pt>
                <c:pt idx="207">
                  <c:v>17056.997915187589</c:v>
                </c:pt>
                <c:pt idx="208">
                  <c:v>18934.985147548497</c:v>
                </c:pt>
                <c:pt idx="209">
                  <c:v>20810.175707972809</c:v>
                </c:pt>
                <c:pt idx="210">
                  <c:v>22671.907751704042</c:v>
                </c:pt>
                <c:pt idx="211">
                  <c:v>24505.10746173462</c:v>
                </c:pt>
                <c:pt idx="212">
                  <c:v>26287.795839343908</c:v>
                </c:pt>
                <c:pt idx="213">
                  <c:v>27986.77435652928</c:v>
                </c:pt>
                <c:pt idx="214">
                  <c:v>29549.909465364039</c:v>
                </c:pt>
                <c:pt idx="215">
                  <c:v>30892.18485232829</c:v>
                </c:pt>
                <c:pt idx="216">
                  <c:v>31872.117952338194</c:v>
                </c:pt>
                <c:pt idx="217">
                  <c:v>32264.879156096962</c:v>
                </c:pt>
                <c:pt idx="218">
                  <c:v>31790.707173728828</c:v>
                </c:pt>
                <c:pt idx="219">
                  <c:v>30300.377365082637</c:v>
                </c:pt>
                <c:pt idx="220">
                  <c:v>27941.927840480133</c:v>
                </c:pt>
                <c:pt idx="221">
                  <c:v>25018.046245569894</c:v>
                </c:pt>
                <c:pt idx="222">
                  <c:v>21765.906795476236</c:v>
                </c:pt>
                <c:pt idx="223">
                  <c:v>18324.585304891913</c:v>
                </c:pt>
                <c:pt idx="224">
                  <c:v>14777.784120632872</c:v>
                </c:pt>
                <c:pt idx="225">
                  <c:v>11181.426302103409</c:v>
                </c:pt>
                <c:pt idx="226">
                  <c:v>7574.4694450228008</c:v>
                </c:pt>
                <c:pt idx="227">
                  <c:v>3983.5943579835171</c:v>
                </c:pt>
                <c:pt idx="228">
                  <c:v>426.42144989516061</c:v>
                </c:pt>
                <c:pt idx="229">
                  <c:v>-3085.8572449075245</c:v>
                </c:pt>
                <c:pt idx="230">
                  <c:v>-6546.4386316099508</c:v>
                </c:pt>
                <c:pt idx="231">
                  <c:v>-9951.4421936889321</c:v>
                </c:pt>
                <c:pt idx="232">
                  <c:v>-13298.905758077528</c:v>
                </c:pt>
                <c:pt idx="233">
                  <c:v>-16588.114997705226</c:v>
                </c:pt>
                <c:pt idx="234">
                  <c:v>-19819.160459040872</c:v>
                </c:pt>
                <c:pt idx="235">
                  <c:v>-22992.64554686542</c:v>
                </c:pt>
                <c:pt idx="236">
                  <c:v>-26109.49365667269</c:v>
                </c:pt>
                <c:pt idx="237">
                  <c:v>-29170.820378936995</c:v>
                </c:pt>
                <c:pt idx="238">
                  <c:v>-32177.848592397935</c:v>
                </c:pt>
                <c:pt idx="239">
                  <c:v>-35131.852012879383</c:v>
                </c:pt>
                <c:pt idx="240">
                  <c:v>-38034.117761308458</c:v>
                </c:pt>
                <c:pt idx="241">
                  <c:v>-40885.921735057032</c:v>
                </c:pt>
                <c:pt idx="242">
                  <c:v>-43688.512652098587</c:v>
                </c:pt>
                <c:pt idx="243">
                  <c:v>-46443.101998213999</c:v>
                </c:pt>
                <c:pt idx="244">
                  <c:v>-49150.85800350683</c:v>
                </c:pt>
                <c:pt idx="245">
                  <c:v>-51812.902370244032</c:v>
                </c:pt>
                <c:pt idx="246">
                  <c:v>-54430.308874009097</c:v>
                </c:pt>
                <c:pt idx="247">
                  <c:v>-57004.103231216024</c:v>
                </c:pt>
                <c:pt idx="248">
                  <c:v>-59535.263811366094</c:v>
                </c:pt>
                <c:pt idx="249">
                  <c:v>-62024.722900188834</c:v>
                </c:pt>
                <c:pt idx="250">
                  <c:v>-64473.368308532685</c:v>
                </c:pt>
                <c:pt idx="251">
                  <c:v>-66882.045183889626</c:v>
                </c:pt>
                <c:pt idx="252">
                  <c:v>-69251.557925031389</c:v>
                </c:pt>
                <c:pt idx="253">
                  <c:v>-71582.672131016254</c:v>
                </c:pt>
                <c:pt idx="254">
                  <c:v>-73876.116537632828</c:v>
                </c:pt>
                <c:pt idx="255">
                  <c:v>-76132.584909829791</c:v>
                </c:pt>
                <c:pt idx="256">
                  <c:v>-78352.737869678196</c:v>
                </c:pt>
                <c:pt idx="257">
                  <c:v>-80537.204647215316</c:v>
                </c:pt>
                <c:pt idx="258">
                  <c:v>-82686.584747035755</c:v>
                </c:pt>
                <c:pt idx="259">
                  <c:v>-84801.449527370642</c:v>
                </c:pt>
                <c:pt idx="260">
                  <c:v>-86882.343691091271</c:v>
                </c:pt>
                <c:pt idx="261">
                  <c:v>-88929.786689917688</c:v>
                </c:pt>
                <c:pt idx="262">
                  <c:v>-90944.274044345526</c:v>
                </c:pt>
                <c:pt idx="263">
                  <c:v>-92926.278582595871</c:v>
                </c:pt>
                <c:pt idx="264">
                  <c:v>-94876.251602369608</c:v>
                </c:pt>
                <c:pt idx="265">
                  <c:v>-96794.623959438977</c:v>
                </c:pt>
                <c:pt idx="266">
                  <c:v>-98681.807087201916</c:v>
                </c:pt>
                <c:pt idx="267">
                  <c:v>-100538.1939513071</c:v>
                </c:pt>
                <c:pt idx="268">
                  <c:v>-102364.15994336402</c:v>
                </c:pt>
                <c:pt idx="269">
                  <c:v>-104160.06371760939</c:v>
                </c:pt>
                <c:pt idx="270">
                  <c:v>-105926.24797422612</c:v>
                </c:pt>
                <c:pt idx="271">
                  <c:v>-107663.04019281836</c:v>
                </c:pt>
                <c:pt idx="272">
                  <c:v>-109370.75331934389</c:v>
                </c:pt>
                <c:pt idx="273">
                  <c:v>-111049.68640960193</c:v>
                </c:pt>
                <c:pt idx="274">
                  <c:v>-112700.1252321732</c:v>
                </c:pt>
                <c:pt idx="275">
                  <c:v>-114322.34283351396</c:v>
                </c:pt>
                <c:pt idx="276">
                  <c:v>-115916.60006771868</c:v>
                </c:pt>
                <c:pt idx="277">
                  <c:v>-117483.1460932879</c:v>
                </c:pt>
                <c:pt idx="278">
                  <c:v>-119022.21883906996</c:v>
                </c:pt>
                <c:pt idx="279">
                  <c:v>-120534.04544138737</c:v>
                </c:pt>
                <c:pt idx="280">
                  <c:v>-122018.84265421052</c:v>
                </c:pt>
                <c:pt idx="281">
                  <c:v>-123476.81723410418</c:v>
                </c:pt>
                <c:pt idx="282">
                  <c:v>-124908.16630154339</c:v>
                </c:pt>
                <c:pt idx="283">
                  <c:v>-126313.07768007655</c:v>
                </c:pt>
                <c:pt idx="284">
                  <c:v>-127691.73021470285</c:v>
                </c:pt>
                <c:pt idx="285">
                  <c:v>-129044.29407072875</c:v>
                </c:pt>
                <c:pt idx="286">
                  <c:v>-130370.93101427316</c:v>
                </c:pt>
                <c:pt idx="287">
                  <c:v>-131671.79467550339</c:v>
                </c:pt>
                <c:pt idx="288">
                  <c:v>-132947.03079560245</c:v>
                </c:pt>
                <c:pt idx="289">
                  <c:v>-134196.77745839275</c:v>
                </c:pt>
                <c:pt idx="290">
                  <c:v>-135421.16530747208</c:v>
                </c:pt>
                <c:pt idx="291">
                  <c:v>-136620.31774965246</c:v>
                </c:pt>
                <c:pt idx="292">
                  <c:v>-137794.3511454332</c:v>
                </c:pt>
                <c:pt idx="293">
                  <c:v>-138943.3749871836</c:v>
                </c:pt>
                <c:pt idx="294">
                  <c:v>-140067.49206565923</c:v>
                </c:pt>
                <c:pt idx="295">
                  <c:v>-141166.79862542779</c:v>
                </c:pt>
                <c:pt idx="296">
                  <c:v>-142241.3845097365</c:v>
                </c:pt>
                <c:pt idx="297">
                  <c:v>-143291.33329531041</c:v>
                </c:pt>
                <c:pt idx="298">
                  <c:v>-144316.72241753354</c:v>
                </c:pt>
                <c:pt idx="299">
                  <c:v>-145317.62328642767</c:v>
                </c:pt>
                <c:pt idx="300">
                  <c:v>-146294.10139381033</c:v>
                </c:pt>
                <c:pt idx="301">
                  <c:v>-147246.21641198164</c:v>
                </c:pt>
                <c:pt idx="302">
                  <c:v>-148174.02228425996</c:v>
                </c:pt>
                <c:pt idx="303">
                  <c:v>-149077.56730765797</c:v>
                </c:pt>
                <c:pt idx="304">
                  <c:v>-149956.89420796526</c:v>
                </c:pt>
                <c:pt idx="305">
                  <c:v>-150812.04020747734</c:v>
                </c:pt>
                <c:pt idx="306">
                  <c:v>-151643.037085588</c:v>
                </c:pt>
                <c:pt idx="307">
                  <c:v>-152449.9112324396</c:v>
                </c:pt>
                <c:pt idx="308">
                  <c:v>-153232.68369580354</c:v>
                </c:pt>
                <c:pt idx="309">
                  <c:v>-153991.37022134339</c:v>
                </c:pt>
                <c:pt idx="310">
                  <c:v>-154725.98128639275</c:v>
                </c:pt>
                <c:pt idx="311">
                  <c:v>-155436.5221273615</c:v>
                </c:pt>
                <c:pt idx="312">
                  <c:v>-156122.99276086455</c:v>
                </c:pt>
                <c:pt idx="313">
                  <c:v>-156785.38799865055</c:v>
                </c:pt>
                <c:pt idx="314">
                  <c:v>-157423.6974563894</c:v>
                </c:pt>
                <c:pt idx="315">
                  <c:v>-158037.90555636041</c:v>
                </c:pt>
                <c:pt idx="316">
                  <c:v>-158627.99152406631</c:v>
                </c:pt>
                <c:pt idx="317">
                  <c:v>-159193.92937878129</c:v>
                </c:pt>
                <c:pt idx="318">
                  <c:v>-159735.68791802396</c:v>
                </c:pt>
                <c:pt idx="319">
                  <c:v>-160253.23069593034</c:v>
                </c:pt>
                <c:pt idx="320">
                  <c:v>-160746.51599548419</c:v>
                </c:pt>
                <c:pt idx="321">
                  <c:v>-161215.49679454556</c:v>
                </c:pt>
                <c:pt idx="322">
                  <c:v>-161660.12072560057</c:v>
                </c:pt>
                <c:pt idx="323">
                  <c:v>-162080.33002913865</c:v>
                </c:pt>
                <c:pt idx="324">
                  <c:v>-162476.06150054425</c:v>
                </c:pt>
                <c:pt idx="325">
                  <c:v>-162847.24643037253</c:v>
                </c:pt>
                <c:pt idx="326">
                  <c:v>-163193.81053785834</c:v>
                </c:pt>
                <c:pt idx="327">
                  <c:v>-163515.6738974888</c:v>
                </c:pt>
                <c:pt idx="328">
                  <c:v>-163812.75085844798</c:v>
                </c:pt>
                <c:pt idx="329">
                  <c:v>-164084.94995672139</c:v>
                </c:pt>
                <c:pt idx="330">
                  <c:v>-164332.17381962435</c:v>
                </c:pt>
                <c:pt idx="331">
                  <c:v>-164554.31906249514</c:v>
                </c:pt>
                <c:pt idx="332">
                  <c:v>-164751.27617726763</c:v>
                </c:pt>
                <c:pt idx="333">
                  <c:v>-164922.92941261217</c:v>
                </c:pt>
                <c:pt idx="334">
                  <c:v>-165069.15664530397</c:v>
                </c:pt>
                <c:pt idx="335">
                  <c:v>-165189.82924244896</c:v>
                </c:pt>
                <c:pt idx="336">
                  <c:v>-165284.81191416419</c:v>
                </c:pt>
                <c:pt idx="337">
                  <c:v>-165353.96255627513</c:v>
                </c:pt>
                <c:pt idx="338">
                  <c:v>-165397.13208255573</c:v>
                </c:pt>
                <c:pt idx="339">
                  <c:v>-165414.16424599683</c:v>
                </c:pt>
                <c:pt idx="340">
                  <c:v>-165404.89544854595</c:v>
                </c:pt>
                <c:pt idx="341">
                  <c:v>-165369.15453871567</c:v>
                </c:pt>
                <c:pt idx="342">
                  <c:v>-165306.76259640724</c:v>
                </c:pt>
                <c:pt idx="343">
                  <c:v>-165217.53270424352</c:v>
                </c:pt>
                <c:pt idx="344">
                  <c:v>-165101.26970464597</c:v>
                </c:pt>
                <c:pt idx="345">
                  <c:v>-164957.7699418281</c:v>
                </c:pt>
                <c:pt idx="346">
                  <c:v>-164786.82098780875</c:v>
                </c:pt>
                <c:pt idx="347">
                  <c:v>-164588.20135147448</c:v>
                </c:pt>
                <c:pt idx="348">
                  <c:v>-164361.68016963839</c:v>
                </c:pt>
                <c:pt idx="349">
                  <c:v>-164107.01687895518</c:v>
                </c:pt>
                <c:pt idx="350">
                  <c:v>-163823.96086745473</c:v>
                </c:pt>
                <c:pt idx="351">
                  <c:v>-163512.25110435105</c:v>
                </c:pt>
                <c:pt idx="352">
                  <c:v>-163171.61574666775</c:v>
                </c:pt>
                <c:pt idx="353">
                  <c:v>-162801.77172109389</c:v>
                </c:pt>
                <c:pt idx="354">
                  <c:v>-162402.42427934479</c:v>
                </c:pt>
                <c:pt idx="355">
                  <c:v>-161973.26652514949</c:v>
                </c:pt>
                <c:pt idx="356">
                  <c:v>-161513.97891081672</c:v>
                </c:pt>
                <c:pt idx="357">
                  <c:v>-161024.22870114626</c:v>
                </c:pt>
                <c:pt idx="358">
                  <c:v>-160503.66940224616</c:v>
                </c:pt>
                <c:pt idx="359">
                  <c:v>-159951.94015258938</c:v>
                </c:pt>
                <c:pt idx="360">
                  <c:v>-159368.66507339192</c:v>
                </c:pt>
                <c:pt idx="361">
                  <c:v>-158753.45257511485</c:v>
                </c:pt>
                <c:pt idx="362">
                  <c:v>-158105.89461658295</c:v>
                </c:pt>
                <c:pt idx="363">
                  <c:v>-157425.56591286793</c:v>
                </c:pt>
                <c:pt idx="364">
                  <c:v>-156712.02308769902</c:v>
                </c:pt>
                <c:pt idx="365">
                  <c:v>-155964.80376573608</c:v>
                </c:pt>
                <c:pt idx="366">
                  <c:v>-155183.42559955938</c:v>
                </c:pt>
                <c:pt idx="367">
                  <c:v>-154367.38522569422</c:v>
                </c:pt>
                <c:pt idx="368">
                  <c:v>-153516.15714338547</c:v>
                </c:pt>
                <c:pt idx="369">
                  <c:v>-152629.19250916035</c:v>
                </c:pt>
                <c:pt idx="370">
                  <c:v>-151705.91783945484</c:v>
                </c:pt>
                <c:pt idx="371">
                  <c:v>-150745.73361271931</c:v>
                </c:pt>
                <c:pt idx="372">
                  <c:v>-149748.01276144647</c:v>
                </c:pt>
                <c:pt idx="373">
                  <c:v>-148712.09904346307</c:v>
                </c:pt>
                <c:pt idx="374">
                  <c:v>-147637.30528057678</c:v>
                </c:pt>
                <c:pt idx="375">
                  <c:v>-146522.91145124743</c:v>
                </c:pt>
                <c:pt idx="376">
                  <c:v>-145368.1626223296</c:v>
                </c:pt>
                <c:pt idx="377">
                  <c:v>-144172.26670308111</c:v>
                </c:pt>
                <c:pt idx="378">
                  <c:v>-142934.39200250807</c:v>
                </c:pt>
                <c:pt idx="379">
                  <c:v>-141653.66456867958</c:v>
                </c:pt>
                <c:pt idx="380">
                  <c:v>-140329.16528583723</c:v>
                </c:pt>
                <c:pt idx="381">
                  <c:v>-138959.92670188361</c:v>
                </c:pt>
                <c:pt idx="382">
                  <c:v>-137544.92955508173</c:v>
                </c:pt>
                <c:pt idx="383">
                  <c:v>-136083.0989644395</c:v>
                </c:pt>
                <c:pt idx="384">
                  <c:v>-134573.30024318022</c:v>
                </c:pt>
                <c:pt idx="385">
                  <c:v>-133014.33428877112</c:v>
                </c:pt>
                <c:pt idx="386">
                  <c:v>-131404.93249603518</c:v>
                </c:pt>
                <c:pt idx="387">
                  <c:v>-129743.75113169884</c:v>
                </c:pt>
                <c:pt idx="388">
                  <c:v>-128029.36509908513</c:v>
                </c:pt>
                <c:pt idx="389">
                  <c:v>-126260.26101023603</c:v>
                </c:pt>
                <c:pt idx="390">
                  <c:v>-124434.8294691606</c:v>
                </c:pt>
                <c:pt idx="391">
                  <c:v>-122551.35645368013</c:v>
                </c:pt>
                <c:pt idx="392">
                  <c:v>-120608.01366388384</c:v>
                </c:pt>
                <c:pt idx="393">
                  <c:v>-118602.84768176809</c:v>
                </c:pt>
                <c:pt idx="394">
                  <c:v>-116533.76775826054</c:v>
                </c:pt>
                <c:pt idx="395">
                  <c:v>-114398.53200931846</c:v>
                </c:pt>
                <c:pt idx="396">
                  <c:v>-112194.7317605838</c:v>
                </c:pt>
                <c:pt idx="397">
                  <c:v>-109919.77372817376</c:v>
                </c:pt>
                <c:pt idx="398">
                  <c:v>-107570.85965897069</c:v>
                </c:pt>
                <c:pt idx="399">
                  <c:v>-105144.96297382518</c:v>
                </c:pt>
                <c:pt idx="400">
                  <c:v>-102638.80185686323</c:v>
                </c:pt>
                <c:pt idx="401">
                  <c:v>-100048.80810753176</c:v>
                </c:pt>
                <c:pt idx="402">
                  <c:v>-97371.090910950166</c:v>
                </c:pt>
                <c:pt idx="403">
                  <c:v>-94601.394475404013</c:v>
                </c:pt>
                <c:pt idx="404">
                  <c:v>-91735.048218048571</c:v>
                </c:pt>
                <c:pt idx="405">
                  <c:v>-88766.907829639837</c:v>
                </c:pt>
                <c:pt idx="406">
                  <c:v>-85691.285086141565</c:v>
                </c:pt>
                <c:pt idx="407">
                  <c:v>-82501.863656281537</c:v>
                </c:pt>
                <c:pt idx="408">
                  <c:v>-79191.597317696389</c:v>
                </c:pt>
                <c:pt idx="409">
                  <c:v>-75752.585851305048</c:v>
                </c:pt>
                <c:pt idx="410">
                  <c:v>-72175.922307762681</c:v>
                </c:pt>
                <c:pt idx="411">
                  <c:v>-68451.503159825879</c:v>
                </c:pt>
                <c:pt idx="412">
                  <c:v>-64567.78986667953</c:v>
                </c:pt>
                <c:pt idx="413">
                  <c:v>-60511.506447305328</c:v>
                </c:pt>
                <c:pt idx="414">
                  <c:v>-56267.253152288169</c:v>
                </c:pt>
                <c:pt idx="415">
                  <c:v>-51817.013643329592</c:v>
                </c:pt>
                <c:pt idx="416">
                  <c:v>-47139.542056550781</c:v>
                </c:pt>
                <c:pt idx="417">
                  <c:v>-42209.672209360899</c:v>
                </c:pt>
                <c:pt idx="418">
                  <c:v>-36997.810725002702</c:v>
                </c:pt>
                <c:pt idx="419">
                  <c:v>-31470.584906370739</c:v>
                </c:pt>
                <c:pt idx="420">
                  <c:v>-25595.247827357111</c:v>
                </c:pt>
                <c:pt idx="421">
                  <c:v>-19350.681006249815</c:v>
                </c:pt>
                <c:pt idx="422">
                  <c:v>-12735.731839650232</c:v>
                </c:pt>
                <c:pt idx="423">
                  <c:v>-5753.2717750950205</c:v>
                </c:pt>
                <c:pt idx="424">
                  <c:v>1613.6205759754534</c:v>
                </c:pt>
                <c:pt idx="425">
                  <c:v>9389.4725715757631</c:v>
                </c:pt>
                <c:pt idx="426">
                  <c:v>17548.325632243334</c:v>
                </c:pt>
                <c:pt idx="427">
                  <c:v>25917.095847118602</c:v>
                </c:pt>
                <c:pt idx="428">
                  <c:v>34115.041824452717</c:v>
                </c:pt>
                <c:pt idx="429">
                  <c:v>41706.557152070003</c:v>
                </c:pt>
                <c:pt idx="430">
                  <c:v>48466.527676536112</c:v>
                </c:pt>
                <c:pt idx="431">
                  <c:v>54420.014280760763</c:v>
                </c:pt>
                <c:pt idx="432">
                  <c:v>59696.479090371555</c:v>
                </c:pt>
                <c:pt idx="433">
                  <c:v>64428.468150079047</c:v>
                </c:pt>
                <c:pt idx="434">
                  <c:v>68723.187544503133</c:v>
                </c:pt>
                <c:pt idx="435">
                  <c:v>72662.279707798749</c:v>
                </c:pt>
                <c:pt idx="436">
                  <c:v>76307.463204550455</c:v>
                </c:pt>
                <c:pt idx="437">
                  <c:v>79705.87962969979</c:v>
                </c:pt>
                <c:pt idx="438">
                  <c:v>82894.110741516342</c:v>
                </c:pt>
                <c:pt idx="439">
                  <c:v>85901.024114039377</c:v>
                </c:pt>
                <c:pt idx="440">
                  <c:v>88749.768209043759</c:v>
                </c:pt>
                <c:pt idx="441">
                  <c:v>91459.181019871306</c:v>
                </c:pt>
                <c:pt idx="442">
                  <c:v>94044.798292030988</c:v>
                </c:pt>
                <c:pt idx="443">
                  <c:v>96519.586619546157</c:v>
                </c:pt>
                <c:pt idx="444">
                  <c:v>98894.485109823974</c:v>
                </c:pt>
                <c:pt idx="445">
                  <c:v>101178.81184116231</c:v>
                </c:pt>
                <c:pt idx="446">
                  <c:v>103380.57333076642</c:v>
                </c:pt>
                <c:pt idx="447">
                  <c:v>105506.70336279416</c:v>
                </c:pt>
                <c:pt idx="448">
                  <c:v>107563.24961613819</c:v>
                </c:pt>
                <c:pt idx="449">
                  <c:v>109555.5211885894</c:v>
                </c:pt>
                <c:pt idx="450">
                  <c:v>111488.20645283097</c:v>
                </c:pt>
                <c:pt idx="451">
                  <c:v>113365.46813478132</c:v>
                </c:pt>
                <c:pt idx="452">
                  <c:v>115191.02071096488</c:v>
                </c:pt>
                <c:pt idx="453">
                  <c:v>116968.19394017151</c:v>
                </c:pt>
                <c:pt idx="454">
                  <c:v>118699.9854176143</c:v>
                </c:pt>
                <c:pt idx="455">
                  <c:v>120389.10436103569</c:v>
                </c:pt>
                <c:pt idx="456">
                  <c:v>122038.00833561046</c:v>
                </c:pt>
                <c:pt idx="457">
                  <c:v>123648.93424836488</c:v>
                </c:pt>
                <c:pt idx="458">
                  <c:v>125223.92465853151</c:v>
                </c:pt>
                <c:pt idx="459">
                  <c:v>126764.85023334606</c:v>
                </c:pt>
                <c:pt idx="460">
                  <c:v>128273.42901182949</c:v>
                </c:pt>
                <c:pt idx="461">
                  <c:v>129751.24300951225</c:v>
                </c:pt>
                <c:pt idx="462">
                  <c:v>131199.75259569183</c:v>
                </c:pt>
                <c:pt idx="463">
                  <c:v>132620.30899493644</c:v>
                </c:pt>
                <c:pt idx="464">
                  <c:v>134014.16520116371</c:v>
                </c:pt>
                <c:pt idx="465">
                  <c:v>135382.48554199276</c:v>
                </c:pt>
                <c:pt idx="466">
                  <c:v>136726.35409037469</c:v>
                </c:pt>
                <c:pt idx="467">
                  <c:v>138046.7820876042</c:v>
                </c:pt>
                <c:pt idx="468">
                  <c:v>139344.71451506394</c:v>
                </c:pt>
                <c:pt idx="469">
                  <c:v>140621.0359301861</c:v>
                </c:pt>
                <c:pt idx="470">
                  <c:v>141876.57566415102</c:v>
                </c:pt>
                <c:pt idx="471">
                  <c:v>143112.11246401176</c:v>
                </c:pt>
                <c:pt idx="472">
                  <c:v>144328.37864963451</c:v>
                </c:pt>
                <c:pt idx="473">
                  <c:v>145526.06384559901</c:v>
                </c:pt>
                <c:pt idx="474">
                  <c:v>146705.81833963396</c:v>
                </c:pt>
                <c:pt idx="475">
                  <c:v>147868.25611196426</c:v>
                </c:pt>
                <c:pt idx="476">
                  <c:v>149013.95757388041</c:v>
                </c:pt>
                <c:pt idx="477">
                  <c:v>150143.47204870539</c:v>
                </c:pt>
                <c:pt idx="478">
                  <c:v>151257.32002397513</c:v>
                </c:pt>
                <c:pt idx="479">
                  <c:v>152355.99519993432</c:v>
                </c:pt>
                <c:pt idx="480">
                  <c:v>153439.96635627435</c:v>
                </c:pt>
                <c:pt idx="481">
                  <c:v>154509.67905631781</c:v>
                </c:pt>
                <c:pt idx="482">
                  <c:v>155565.55720551318</c:v>
                </c:pt>
                <c:pt idx="483">
                  <c:v>156608.00447908364</c:v>
                </c:pt>
                <c:pt idx="484">
                  <c:v>157637.40563192792</c:v>
                </c:pt>
                <c:pt idx="485">
                  <c:v>158654.12770235667</c:v>
                </c:pt>
                <c:pt idx="486">
                  <c:v>159658.52111993087</c:v>
                </c:pt>
                <c:pt idx="487">
                  <c:v>160650.92072652167</c:v>
                </c:pt>
                <c:pt idx="488">
                  <c:v>161631.64671870761</c:v>
                </c:pt>
                <c:pt idx="489">
                  <c:v>162601.0055187484</c:v>
                </c:pt>
                <c:pt idx="490">
                  <c:v>163559.29058060213</c:v>
                </c:pt>
                <c:pt idx="491">
                  <c:v>164506.78313677674</c:v>
                </c:pt>
                <c:pt idx="492">
                  <c:v>165443.75289120738</c:v>
                </c:pt>
                <c:pt idx="493">
                  <c:v>166370.458662825</c:v>
                </c:pt>
                <c:pt idx="494">
                  <c:v>167287.14898401394</c:v>
                </c:pt>
                <c:pt idx="495">
                  <c:v>168194.06265774177</c:v>
                </c:pt>
                <c:pt idx="496">
                  <c:v>169091.42927677778</c:v>
                </c:pt>
                <c:pt idx="497">
                  <c:v>169979.46970808864</c:v>
                </c:pt>
                <c:pt idx="498">
                  <c:v>170858.39654520783</c:v>
                </c:pt>
                <c:pt idx="499">
                  <c:v>171728.41453111547</c:v>
                </c:pt>
                <c:pt idx="500">
                  <c:v>172589.72095393189</c:v>
                </c:pt>
                <c:pt idx="501">
                  <c:v>173442.50601751907</c:v>
                </c:pt>
                <c:pt idx="502">
                  <c:v>174286.95318889775</c:v>
                </c:pt>
                <c:pt idx="503">
                  <c:v>175123.23952421892</c:v>
                </c:pt>
                <c:pt idx="504">
                  <c:v>175951.53597487736</c:v>
                </c:pt>
                <c:pt idx="505">
                  <c:v>176772.00767521808</c:v>
                </c:pt>
                <c:pt idx="506">
                  <c:v>177584.81421316383</c:v>
                </c:pt>
                <c:pt idx="507">
                  <c:v>178390.10988498019</c:v>
                </c:pt>
                <c:pt idx="508">
                  <c:v>179188.04393529415</c:v>
                </c:pt>
                <c:pt idx="509">
                  <c:v>179978.76078339067</c:v>
                </c:pt>
                <c:pt idx="510">
                  <c:v>180762.40023672959</c:v>
                </c:pt>
                <c:pt idx="511">
                  <c:v>181539.09769254911</c:v>
                </c:pt>
                <c:pt idx="512">
                  <c:v>182308.98432835456</c:v>
                </c:pt>
                <c:pt idx="513">
                  <c:v>183072.18728202852</c:v>
                </c:pt>
                <c:pt idx="514">
                  <c:v>183828.82982224171</c:v>
                </c:pt>
                <c:pt idx="515">
                  <c:v>184579.03150979237</c:v>
                </c:pt>
                <c:pt idx="516">
                  <c:v>185322.90835045461</c:v>
                </c:pt>
                <c:pt idx="517">
                  <c:v>186060.57293987283</c:v>
                </c:pt>
                <c:pt idx="518">
                  <c:v>186792.13460099988</c:v>
                </c:pt>
                <c:pt idx="519">
                  <c:v>187517.69951454067</c:v>
                </c:pt>
                <c:pt idx="520">
                  <c:v>188237.37084282868</c:v>
                </c:pt>
                <c:pt idx="521">
                  <c:v>188951.24884753386</c:v>
                </c:pt>
                <c:pt idx="522">
                  <c:v>189659.43100157098</c:v>
                </c:pt>
                <c:pt idx="523">
                  <c:v>190362.01209555229</c:v>
                </c:pt>
                <c:pt idx="524">
                  <c:v>191059.08433910477</c:v>
                </c:pt>
                <c:pt idx="525">
                  <c:v>191750.73745734998</c:v>
                </c:pt>
                <c:pt idx="526">
                  <c:v>192437.05878282461</c:v>
                </c:pt>
                <c:pt idx="527">
                  <c:v>193118.13334310101</c:v>
                </c:pt>
                <c:pt idx="528">
                  <c:v>193794.04394435012</c:v>
                </c:pt>
                <c:pt idx="529">
                  <c:v>194464.87125107271</c:v>
                </c:pt>
                <c:pt idx="530">
                  <c:v>195130.69386221105</c:v>
                </c:pt>
                <c:pt idx="531">
                  <c:v>195791.58838383839</c:v>
                </c:pt>
                <c:pt idx="532">
                  <c:v>196447.62949861208</c:v>
                </c:pt>
                <c:pt idx="533">
                  <c:v>197098.89003216353</c:v>
                </c:pt>
                <c:pt idx="534">
                  <c:v>197745.4410165881</c:v>
                </c:pt>
                <c:pt idx="535">
                  <c:v>198387.35175118753</c:v>
                </c:pt>
                <c:pt idx="536">
                  <c:v>199024.68986060796</c:v>
                </c:pt>
                <c:pt idx="537">
                  <c:v>199657.52135050861</c:v>
                </c:pt>
                <c:pt idx="538">
                  <c:v>200285.9106608869</c:v>
                </c:pt>
                <c:pt idx="539">
                  <c:v>200909.92071717975</c:v>
                </c:pt>
                <c:pt idx="540">
                  <c:v>201529.61297925212</c:v>
                </c:pt>
                <c:pt idx="541">
                  <c:v>202145.04748837862</c:v>
                </c:pt>
                <c:pt idx="542">
                  <c:v>202756.28291231723</c:v>
                </c:pt>
                <c:pt idx="543">
                  <c:v>203363.37658856847</c:v>
                </c:pt>
                <c:pt idx="544">
                  <c:v>203966.38456590817</c:v>
                </c:pt>
                <c:pt idx="545">
                  <c:v>204565.36164427712</c:v>
                </c:pt>
                <c:pt idx="546">
                  <c:v>205160.36141310574</c:v>
                </c:pt>
                <c:pt idx="547">
                  <c:v>205751.43628814825</c:v>
                </c:pt>
                <c:pt idx="548">
                  <c:v>206338.63754689574</c:v>
                </c:pt>
                <c:pt idx="549">
                  <c:v>206922.01536263482</c:v>
                </c:pt>
                <c:pt idx="550">
                  <c:v>207501.61883721425</c:v>
                </c:pt>
                <c:pt idx="551">
                  <c:v>208077.49603257835</c:v>
                </c:pt>
                <c:pt idx="552">
                  <c:v>208649.6940011238</c:v>
                </c:pt>
                <c:pt idx="553">
                  <c:v>209218.25881493234</c:v>
                </c:pt>
                <c:pt idx="554">
                  <c:v>209783.2355939298</c:v>
                </c:pt>
                <c:pt idx="555">
                  <c:v>210344.66853301931</c:v>
                </c:pt>
                <c:pt idx="556">
                  <c:v>210902.60092823333</c:v>
                </c:pt>
                <c:pt idx="557">
                  <c:v>211457.07520194782</c:v>
                </c:pt>
                <c:pt idx="558">
                  <c:v>212008.13292719881</c:v>
                </c:pt>
                <c:pt idx="559">
                  <c:v>212555.81485114023</c:v>
                </c:pt>
                <c:pt idx="560">
                  <c:v>213100.16091767952</c:v>
                </c:pt>
                <c:pt idx="561">
                  <c:v>213641.2102893258</c:v>
                </c:pt>
                <c:pt idx="562">
                  <c:v>214179.00136828367</c:v>
                </c:pt>
                <c:pt idx="563">
                  <c:v>214713.57181682438</c:v>
                </c:pt>
                <c:pt idx="564">
                  <c:v>215244.95857696381</c:v>
                </c:pt>
                <c:pt idx="565">
                  <c:v>215773.19788947626</c:v>
                </c:pt>
                <c:pt idx="566">
                  <c:v>216298.32531227081</c:v>
                </c:pt>
                <c:pt idx="567">
                  <c:v>216820.37573815617</c:v>
                </c:pt>
                <c:pt idx="568">
                  <c:v>217339.38341201856</c:v>
                </c:pt>
                <c:pt idx="569">
                  <c:v>217855.38194743634</c:v>
                </c:pt>
                <c:pt idx="570">
                  <c:v>218368.40434275323</c:v>
                </c:pt>
                <c:pt idx="571">
                  <c:v>218878.48299663202</c:v>
                </c:pt>
                <c:pt idx="572">
                  <c:v>219385.64972310845</c:v>
                </c:pt>
                <c:pt idx="573">
                  <c:v>219889.9357661652</c:v>
                </c:pt>
                <c:pt idx="574">
                  <c:v>220391.37181384434</c:v>
                </c:pt>
                <c:pt idx="575">
                  <c:v>220889.98801191556</c:v>
                </c:pt>
                <c:pt idx="576">
                  <c:v>221385.8139771178</c:v>
                </c:pt>
                <c:pt idx="577">
                  <c:v>221878.87880998963</c:v>
                </c:pt>
                <c:pt idx="578">
                  <c:v>222369.21110730444</c:v>
                </c:pt>
                <c:pt idx="579">
                  <c:v>222856.83897412455</c:v>
                </c:pt>
                <c:pt idx="580">
                  <c:v>223341.7900354891</c:v>
                </c:pt>
                <c:pt idx="581">
                  <c:v>223824.09144774862</c:v>
                </c:pt>
                <c:pt idx="582">
                  <c:v>224303.76990955923</c:v>
                </c:pt>
                <c:pt idx="583">
                  <c:v>224780.85167254912</c:v>
                </c:pt>
                <c:pt idx="584">
                  <c:v>225255.36255166912</c:v>
                </c:pt>
                <c:pt idx="585">
                  <c:v>225727.32793523822</c:v>
                </c:pt>
                <c:pt idx="586">
                  <c:v>226196.77279469548</c:v>
                </c:pt>
                <c:pt idx="587">
                  <c:v>226663.7216940684</c:v>
                </c:pt>
                <c:pt idx="588">
                  <c:v>227128.19879916785</c:v>
                </c:pt>
                <c:pt idx="589">
                  <c:v>227590.22788651896</c:v>
                </c:pt>
                <c:pt idx="590">
                  <c:v>228049.8323520374</c:v>
                </c:pt>
                <c:pt idx="591">
                  <c:v>228507.03521945962</c:v>
                </c:pt>
                <c:pt idx="592">
                  <c:v>228961.8591485355</c:v>
                </c:pt>
                <c:pt idx="593">
                  <c:v>229414.32644299176</c:v>
                </c:pt>
                <c:pt idx="594">
                  <c:v>229864.45905827355</c:v>
                </c:pt>
                <c:pt idx="595">
                  <c:v>230312.27860907195</c:v>
                </c:pt>
                <c:pt idx="596">
                  <c:v>230757.80637664441</c:v>
                </c:pt>
                <c:pt idx="597">
                  <c:v>231201.06331593517</c:v>
                </c:pt>
                <c:pt idx="598">
                  <c:v>231642.07006250211</c:v>
                </c:pt>
                <c:pt idx="599">
                  <c:v>232080.84693925659</c:v>
                </c:pt>
                <c:pt idx="600">
                  <c:v>232517.413963022</c:v>
                </c:pt>
                <c:pt idx="601">
                  <c:v>232951.79085091769</c:v>
                </c:pt>
                <c:pt idx="602">
                  <c:v>233383.99702657294</c:v>
                </c:pt>
                <c:pt idx="603">
                  <c:v>233814.05162617716</c:v>
                </c:pt>
                <c:pt idx="604">
                  <c:v>234241.97350437145</c:v>
                </c:pt>
                <c:pt idx="605">
                  <c:v>234667.78123998625</c:v>
                </c:pt>
                <c:pt idx="606">
                  <c:v>235091.49314163011</c:v>
                </c:pt>
                <c:pt idx="607">
                  <c:v>235513.12725313447</c:v>
                </c:pt>
                <c:pt idx="608">
                  <c:v>235932.70135885855</c:v>
                </c:pt>
                <c:pt idx="609">
                  <c:v>236350.23298885912</c:v>
                </c:pt>
                <c:pt idx="610">
                  <c:v>236765.73942392896</c:v>
                </c:pt>
                <c:pt idx="611">
                  <c:v>237179.23770050818</c:v>
                </c:pt>
                <c:pt idx="612">
                  <c:v>237590.7446154725</c:v>
                </c:pt>
                <c:pt idx="613">
                  <c:v>238000.27673080182</c:v>
                </c:pt>
                <c:pt idx="614">
                  <c:v>238407.85037813304</c:v>
                </c:pt>
                <c:pt idx="615">
                  <c:v>238813.48166320048</c:v>
                </c:pt>
                <c:pt idx="616">
                  <c:v>239217.18647016722</c:v>
                </c:pt>
                <c:pt idx="617">
                  <c:v>239618.98046585068</c:v>
                </c:pt>
                <c:pt idx="618">
                  <c:v>240018.87910384557</c:v>
                </c:pt>
                <c:pt idx="619">
                  <c:v>240416.89762854725</c:v>
                </c:pt>
                <c:pt idx="620">
                  <c:v>240813.0510790782</c:v>
                </c:pt>
                <c:pt idx="621">
                  <c:v>241207.35429312076</c:v>
                </c:pt>
                <c:pt idx="622">
                  <c:v>241599.82191065868</c:v>
                </c:pt>
                <c:pt idx="623">
                  <c:v>241990.46837763008</c:v>
                </c:pt>
                <c:pt idx="624">
                  <c:v>242379.3079494944</c:v>
                </c:pt>
                <c:pt idx="625">
                  <c:v>242766.35469471585</c:v>
                </c:pt>
                <c:pt idx="626">
                  <c:v>243151.62249816561</c:v>
                </c:pt>
                <c:pt idx="627">
                  <c:v>243535.12506444522</c:v>
                </c:pt>
                <c:pt idx="628">
                  <c:v>243916.87592113321</c:v>
                </c:pt>
                <c:pt idx="629">
                  <c:v>244296.88842195735</c:v>
                </c:pt>
                <c:pt idx="630">
                  <c:v>244675.17574989432</c:v>
                </c:pt>
                <c:pt idx="631">
                  <c:v>245051.75092019895</c:v>
                </c:pt>
                <c:pt idx="632">
                  <c:v>245426.62678336509</c:v>
                </c:pt>
                <c:pt idx="633">
                  <c:v>245799.81602801962</c:v>
                </c:pt>
                <c:pt idx="634">
                  <c:v>246171.33118375193</c:v>
                </c:pt>
                <c:pt idx="635">
                  <c:v>246541.18462388011</c:v>
                </c:pt>
                <c:pt idx="636">
                  <c:v>246909.38856815596</c:v>
                </c:pt>
                <c:pt idx="637">
                  <c:v>247275.95508541024</c:v>
                </c:pt>
                <c:pt idx="638">
                  <c:v>247640.89609613986</c:v>
                </c:pt>
                <c:pt idx="639">
                  <c:v>248004.22337503839</c:v>
                </c:pt>
                <c:pt idx="640">
                  <c:v>248365.9485534718</c:v>
                </c:pt>
                <c:pt idx="641">
                  <c:v>248726.0831219003</c:v>
                </c:pt>
                <c:pt idx="642">
                  <c:v>249084.6384322482</c:v>
                </c:pt>
                <c:pt idx="643">
                  <c:v>249441.62570022282</c:v>
                </c:pt>
                <c:pt idx="644">
                  <c:v>249797.05600758397</c:v>
                </c:pt>
                <c:pt idx="645">
                  <c:v>250150.94030436521</c:v>
                </c:pt>
                <c:pt idx="646">
                  <c:v>250503.28941104808</c:v>
                </c:pt>
                <c:pt idx="647">
                  <c:v>250854.11402069058</c:v>
                </c:pt>
                <c:pt idx="648">
                  <c:v>251203.42470101107</c:v>
                </c:pt>
                <c:pt idx="649">
                  <c:v>251551.23189642874</c:v>
                </c:pt>
                <c:pt idx="650">
                  <c:v>251897.54593006152</c:v>
                </c:pt>
                <c:pt idx="651">
                  <c:v>252242.37700568294</c:v>
                </c:pt>
                <c:pt idx="652">
                  <c:v>252585.7352096386</c:v>
                </c:pt>
                <c:pt idx="653">
                  <c:v>252927.63051272329</c:v>
                </c:pt>
                <c:pt idx="654">
                  <c:v>253268.07277202007</c:v>
                </c:pt>
                <c:pt idx="655">
                  <c:v>253607.07173270173</c:v>
                </c:pt>
                <c:pt idx="656">
                  <c:v>253944.63702979608</c:v>
                </c:pt>
                <c:pt idx="657">
                  <c:v>254280.77818991547</c:v>
                </c:pt>
                <c:pt idx="658">
                  <c:v>254615.50463295195</c:v>
                </c:pt>
                <c:pt idx="659">
                  <c:v>254948.82567373832</c:v>
                </c:pt>
                <c:pt idx="660">
                  <c:v>255280.75052367637</c:v>
                </c:pt>
                <c:pt idx="661">
                  <c:v>255611.2882923329</c:v>
                </c:pt>
                <c:pt idx="662">
                  <c:v>255940.44798900426</c:v>
                </c:pt>
                <c:pt idx="663">
                  <c:v>256268.23852425016</c:v>
                </c:pt>
                <c:pt idx="664">
                  <c:v>256594.66871139777</c:v>
                </c:pt>
                <c:pt idx="665">
                  <c:v>256919.74726801628</c:v>
                </c:pt>
                <c:pt idx="666">
                  <c:v>257243.48281736308</c:v>
                </c:pt>
                <c:pt idx="667">
                  <c:v>257565.88388980218</c:v>
                </c:pt>
                <c:pt idx="668">
                  <c:v>257886.95892419512</c:v>
                </c:pt>
                <c:pt idx="669">
                  <c:v>258206.71626926542</c:v>
                </c:pt>
                <c:pt idx="670">
                  <c:v>258525.16418493728</c:v>
                </c:pt>
                <c:pt idx="671">
                  <c:v>258842.31084364845</c:v>
                </c:pt>
                <c:pt idx="672">
                  <c:v>259158.16433163875</c:v>
                </c:pt>
                <c:pt idx="673">
                  <c:v>259472.73265021414</c:v>
                </c:pt>
                <c:pt idx="674">
                  <c:v>259786.02371698714</c:v>
                </c:pt>
                <c:pt idx="675">
                  <c:v>260098.04536709425</c:v>
                </c:pt>
                <c:pt idx="676">
                  <c:v>260408.8053543905</c:v>
                </c:pt>
                <c:pt idx="677">
                  <c:v>260718.3113526222</c:v>
                </c:pt>
                <c:pt idx="678">
                  <c:v>261026.57095657798</c:v>
                </c:pt>
                <c:pt idx="679">
                  <c:v>261333.5916832186</c:v>
                </c:pt>
                <c:pt idx="680">
                  <c:v>261639.38097278628</c:v>
                </c:pt>
                <c:pt idx="681">
                  <c:v>261943.9461898937</c:v>
                </c:pt>
                <c:pt idx="682">
                  <c:v>262247.29462459346</c:v>
                </c:pt>
                <c:pt idx="683">
                  <c:v>262549.43349342793</c:v>
                </c:pt>
                <c:pt idx="684">
                  <c:v>262850.3699404606</c:v>
                </c:pt>
                <c:pt idx="685">
                  <c:v>263150.11103828845</c:v>
                </c:pt>
                <c:pt idx="686">
                  <c:v>263448.66378903692</c:v>
                </c:pt>
                <c:pt idx="687">
                  <c:v>263746.03512533649</c:v>
                </c:pt>
                <c:pt idx="688">
                  <c:v>264042.23191128252</c:v>
                </c:pt>
                <c:pt idx="689">
                  <c:v>264337.26094337786</c:v>
                </c:pt>
                <c:pt idx="690">
                  <c:v>264631.12895145896</c:v>
                </c:pt>
                <c:pt idx="691">
                  <c:v>264923.84259960591</c:v>
                </c:pt>
                <c:pt idx="692">
                  <c:v>265215.40848703636</c:v>
                </c:pt>
                <c:pt idx="693">
                  <c:v>265505.83314898424</c:v>
                </c:pt>
                <c:pt idx="694">
                  <c:v>265795.12305756286</c:v>
                </c:pt>
                <c:pt idx="695">
                  <c:v>266083.28462261357</c:v>
                </c:pt>
                <c:pt idx="696">
                  <c:v>266370.3241925395</c:v>
                </c:pt>
                <c:pt idx="697">
                  <c:v>266656.2480551253</c:v>
                </c:pt>
                <c:pt idx="698">
                  <c:v>266941.06243834266</c:v>
                </c:pt>
                <c:pt idx="699">
                  <c:v>267224.77351114247</c:v>
                </c:pt>
                <c:pt idx="700">
                  <c:v>267507.38738423318</c:v>
                </c:pt>
                <c:pt idx="701">
                  <c:v>267788.91011084639</c:v>
                </c:pt>
                <c:pt idx="702">
                  <c:v>268069.34768748941</c:v>
                </c:pt>
                <c:pt idx="703">
                  <c:v>268348.70605468523</c:v>
                </c:pt>
                <c:pt idx="704">
                  <c:v>268626.99109770032</c:v>
                </c:pt>
                <c:pt idx="705">
                  <c:v>268904.20864725992</c:v>
                </c:pt>
                <c:pt idx="706">
                  <c:v>269180.36448025214</c:v>
                </c:pt>
                <c:pt idx="707">
                  <c:v>269455.46432041988</c:v>
                </c:pt>
                <c:pt idx="708">
                  <c:v>269729.5138390417</c:v>
                </c:pt>
                <c:pt idx="709">
                  <c:v>270002.51865560131</c:v>
                </c:pt>
                <c:pt idx="710">
                  <c:v>270274.48433844646</c:v>
                </c:pt>
                <c:pt idx="711">
                  <c:v>270545.41640543682</c:v>
                </c:pt>
                <c:pt idx="712">
                  <c:v>270815.32032458147</c:v>
                </c:pt>
                <c:pt idx="713">
                  <c:v>271084.20151466609</c:v>
                </c:pt>
                <c:pt idx="714">
                  <c:v>271352.06534587027</c:v>
                </c:pt>
                <c:pt idx="715">
                  <c:v>271618.91714037448</c:v>
                </c:pt>
                <c:pt idx="716">
                  <c:v>271884.76217295782</c:v>
                </c:pt>
                <c:pt idx="717">
                  <c:v>272149.60567158594</c:v>
                </c:pt>
                <c:pt idx="718">
                  <c:v>272413.45281798986</c:v>
                </c:pt>
                <c:pt idx="719">
                  <c:v>272676.3087482354</c:v>
                </c:pt>
                <c:pt idx="720">
                  <c:v>272938.17855328385</c:v>
                </c:pt>
                <c:pt idx="721">
                  <c:v>273199.06727954373</c:v>
                </c:pt>
                <c:pt idx="722">
                  <c:v>273458.979929414</c:v>
                </c:pt>
                <c:pt idx="723">
                  <c:v>273717.9214618188</c:v>
                </c:pt>
                <c:pt idx="724">
                  <c:v>273975.89679273369</c:v>
                </c:pt>
                <c:pt idx="725">
                  <c:v>274232.91079570405</c:v>
                </c:pt>
                <c:pt idx="726">
                  <c:v>274488.96830235526</c:v>
                </c:pt>
                <c:pt idx="727">
                  <c:v>274744.0741028951</c:v>
                </c:pt>
                <c:pt idx="728">
                  <c:v>274998.23294660851</c:v>
                </c:pt>
                <c:pt idx="729">
                  <c:v>275251.44954234472</c:v>
                </c:pt>
                <c:pt idx="730">
                  <c:v>275503.72855899698</c:v>
                </c:pt>
                <c:pt idx="731">
                  <c:v>275755.07462597499</c:v>
                </c:pt>
                <c:pt idx="732">
                  <c:v>276005.49233367032</c:v>
                </c:pt>
                <c:pt idx="733">
                  <c:v>276254.98623391468</c:v>
                </c:pt>
                <c:pt idx="734">
                  <c:v>276503.56084043114</c:v>
                </c:pt>
                <c:pt idx="735">
                  <c:v>276751.22062927909</c:v>
                </c:pt>
                <c:pt idx="736">
                  <c:v>276997.97003929206</c:v>
                </c:pt>
                <c:pt idx="737">
                  <c:v>277243.81347250938</c:v>
                </c:pt>
                <c:pt idx="738">
                  <c:v>277488.7552946012</c:v>
                </c:pt>
                <c:pt idx="739">
                  <c:v>277732.79983528744</c:v>
                </c:pt>
                <c:pt idx="740">
                  <c:v>277975.95138875017</c:v>
                </c:pt>
                <c:pt idx="741">
                  <c:v>278218.21421404055</c:v>
                </c:pt>
                <c:pt idx="742">
                  <c:v>278459.59253547934</c:v>
                </c:pt>
                <c:pt idx="743">
                  <c:v>278700.09054305172</c:v>
                </c:pt>
                <c:pt idx="744">
                  <c:v>278939.71239279641</c:v>
                </c:pt>
                <c:pt idx="745">
                  <c:v>279178.462207189</c:v>
                </c:pt>
                <c:pt idx="746">
                  <c:v>279416.34407551982</c:v>
                </c:pt>
                <c:pt idx="747">
                  <c:v>279653.36205426668</c:v>
                </c:pt>
                <c:pt idx="748">
                  <c:v>279889.5201674616</c:v>
                </c:pt>
                <c:pt idx="749">
                  <c:v>280124.82240705297</c:v>
                </c:pt>
                <c:pt idx="750">
                  <c:v>280359.27273326193</c:v>
                </c:pt>
                <c:pt idx="751">
                  <c:v>280592.87507493427</c:v>
                </c:pt>
                <c:pt idx="752">
                  <c:v>280825.633329887</c:v>
                </c:pt>
                <c:pt idx="753">
                  <c:v>281057.55136524985</c:v>
                </c:pt>
                <c:pt idx="754">
                  <c:v>281288.63301780244</c:v>
                </c:pt>
                <c:pt idx="755">
                  <c:v>281518.88209430641</c:v>
                </c:pt>
                <c:pt idx="756">
                  <c:v>281748.30237183289</c:v>
                </c:pt>
                <c:pt idx="757">
                  <c:v>281976.89759808552</c:v>
                </c:pt>
                <c:pt idx="758">
                  <c:v>282204.67149171891</c:v>
                </c:pt>
                <c:pt idx="759">
                  <c:v>282431.62774265261</c:v>
                </c:pt>
                <c:pt idx="760">
                  <c:v>282657.77001238085</c:v>
                </c:pt>
                <c:pt idx="761">
                  <c:v>282883.10193427809</c:v>
                </c:pt>
                <c:pt idx="762">
                  <c:v>283107.62711390003</c:v>
                </c:pt>
                <c:pt idx="763">
                  <c:v>283331.34912928095</c:v>
                </c:pt>
                <c:pt idx="764">
                  <c:v>283554.27153122652</c:v>
                </c:pt>
                <c:pt idx="765">
                  <c:v>283776.39784360304</c:v>
                </c:pt>
                <c:pt idx="766">
                  <c:v>283997.73156362254</c:v>
                </c:pt>
                <c:pt idx="767">
                  <c:v>284218.27616212389</c:v>
                </c:pt>
                <c:pt idx="768">
                  <c:v>284438.03508385044</c:v>
                </c:pt>
                <c:pt idx="769">
                  <c:v>284657.01174772356</c:v>
                </c:pt>
                <c:pt idx="770">
                  <c:v>284875.20954711287</c:v>
                </c:pt>
                <c:pt idx="771">
                  <c:v>285092.63185010268</c:v>
                </c:pt>
                <c:pt idx="772">
                  <c:v>285309.28199975472</c:v>
                </c:pt>
                <c:pt idx="773">
                  <c:v>285525.16331436759</c:v>
                </c:pt>
                <c:pt idx="774">
                  <c:v>285740.27908773284</c:v>
                </c:pt>
                <c:pt idx="775">
                  <c:v>285954.63258938736</c:v>
                </c:pt>
                <c:pt idx="776">
                  <c:v>286168.22706486261</c:v>
                </c:pt>
                <c:pt idx="777">
                  <c:v>286381.06573593069</c:v>
                </c:pt>
                <c:pt idx="778">
                  <c:v>286593.15180084697</c:v>
                </c:pt>
                <c:pt idx="779">
                  <c:v>286804.48843458958</c:v>
                </c:pt>
                <c:pt idx="780">
                  <c:v>287015.07878909603</c:v>
                </c:pt>
                <c:pt idx="781">
                  <c:v>287224.92599349638</c:v>
                </c:pt>
                <c:pt idx="782">
                  <c:v>287434.0331543436</c:v>
                </c:pt>
                <c:pt idx="783">
                  <c:v>287642.40335584112</c:v>
                </c:pt>
                <c:pt idx="784">
                  <c:v>287850.03966006701</c:v>
                </c:pt>
                <c:pt idx="785">
                  <c:v>288056.94510719547</c:v>
                </c:pt>
                <c:pt idx="786">
                  <c:v>288263.12271571573</c:v>
                </c:pt>
                <c:pt idx="787">
                  <c:v>288468.57548264781</c:v>
                </c:pt>
                <c:pt idx="788">
                  <c:v>288673.30638375587</c:v>
                </c:pt>
                <c:pt idx="789">
                  <c:v>288877.31837375829</c:v>
                </c:pt>
                <c:pt idx="790">
                  <c:v>289080.61438653583</c:v>
                </c:pt>
                <c:pt idx="791">
                  <c:v>289283.19733533647</c:v>
                </c:pt>
                <c:pt idx="792">
                  <c:v>289485.07011297811</c:v>
                </c:pt>
                <c:pt idx="793">
                  <c:v>289686.23559204856</c:v>
                </c:pt>
                <c:pt idx="794">
                  <c:v>289886.69662510307</c:v>
                </c:pt>
                <c:pt idx="795">
                  <c:v>290086.45604485931</c:v>
                </c:pt>
                <c:pt idx="796">
                  <c:v>290285.5166643901</c:v>
                </c:pt>
                <c:pt idx="797">
                  <c:v>290483.88127731334</c:v>
                </c:pt>
                <c:pt idx="798">
                  <c:v>290681.55265798024</c:v>
                </c:pt>
                <c:pt idx="799">
                  <c:v>290878.53356166062</c:v>
                </c:pt>
                <c:pt idx="800">
                  <c:v>291074.82672472607</c:v>
                </c:pt>
                <c:pt idx="801">
                  <c:v>291270.43486483122</c:v>
                </c:pt>
                <c:pt idx="802">
                  <c:v>291465.36068109219</c:v>
                </c:pt>
                <c:pt idx="803">
                  <c:v>291659.60685426346</c:v>
                </c:pt>
                <c:pt idx="804">
                  <c:v>291853.17604691215</c:v>
                </c:pt>
                <c:pt idx="805">
                  <c:v>292046.0709035903</c:v>
                </c:pt>
                <c:pt idx="806">
                  <c:v>292238.2940510051</c:v>
                </c:pt>
                <c:pt idx="807">
                  <c:v>292429.84809818724</c:v>
                </c:pt>
                <c:pt idx="808">
                  <c:v>292620.7356366567</c:v>
                </c:pt>
                <c:pt idx="809">
                  <c:v>292810.95924058714</c:v>
                </c:pt>
                <c:pt idx="810">
                  <c:v>293000.52146696794</c:v>
                </c:pt>
                <c:pt idx="811">
                  <c:v>293189.42485576443</c:v>
                </c:pt>
                <c:pt idx="812">
                  <c:v>293377.67193007621</c:v>
                </c:pt>
                <c:pt idx="813">
                  <c:v>293565.26519629365</c:v>
                </c:pt>
                <c:pt idx="814">
                  <c:v>293752.20714425226</c:v>
                </c:pt>
                <c:pt idx="815">
                  <c:v>293938.50024738553</c:v>
                </c:pt>
                <c:pt idx="816">
                  <c:v>294124.14696287585</c:v>
                </c:pt>
                <c:pt idx="817">
                  <c:v>294309.14973180374</c:v>
                </c:pt>
                <c:pt idx="818">
                  <c:v>294493.51097929495</c:v>
                </c:pt>
                <c:pt idx="819">
                  <c:v>294677.23311466654</c:v>
                </c:pt>
                <c:pt idx="820">
                  <c:v>294860.31853157049</c:v>
                </c:pt>
                <c:pt idx="821">
                  <c:v>295042.76960813603</c:v>
                </c:pt>
                <c:pt idx="822">
                  <c:v>295224.58870711055</c:v>
                </c:pt>
                <c:pt idx="823">
                  <c:v>295405.77817599825</c:v>
                </c:pt>
                <c:pt idx="824">
                  <c:v>295586.34034719766</c:v>
                </c:pt>
                <c:pt idx="825">
                  <c:v>295766.27753813739</c:v>
                </c:pt>
                <c:pt idx="826">
                  <c:v>295945.59205141058</c:v>
                </c:pt>
                <c:pt idx="827">
                  <c:v>296124.28617490729</c:v>
                </c:pt>
                <c:pt idx="828">
                  <c:v>296302.36218194576</c:v>
                </c:pt>
                <c:pt idx="829">
                  <c:v>296479.82233140222</c:v>
                </c:pt>
                <c:pt idx="830">
                  <c:v>296656.66886783892</c:v>
                </c:pt>
                <c:pt idx="831">
                  <c:v>296832.90402163088</c:v>
                </c:pt>
                <c:pt idx="832">
                  <c:v>297008.53000909142</c:v>
                </c:pt>
                <c:pt idx="833">
                  <c:v>297183.54903259565</c:v>
                </c:pt>
                <c:pt idx="834">
                  <c:v>297357.96328070323</c:v>
                </c:pt>
                <c:pt idx="835">
                  <c:v>297531.7749282794</c:v>
                </c:pt>
                <c:pt idx="836">
                  <c:v>297704.98613661469</c:v>
                </c:pt>
                <c:pt idx="837">
                  <c:v>297877.59905354347</c:v>
                </c:pt>
                <c:pt idx="838">
                  <c:v>298049.61581356078</c:v>
                </c:pt>
                <c:pt idx="839">
                  <c:v>298221.03853793826</c:v>
                </c:pt>
                <c:pt idx="840">
                  <c:v>298391.86933483859</c:v>
                </c:pt>
                <c:pt idx="841">
                  <c:v>298562.11029942869</c:v>
                </c:pt>
                <c:pt idx="842">
                  <c:v>298731.76351399178</c:v>
                </c:pt>
                <c:pt idx="843">
                  <c:v>298900.83104803803</c:v>
                </c:pt>
                <c:pt idx="844">
                  <c:v>299069.31495841395</c:v>
                </c:pt>
                <c:pt idx="845">
                  <c:v>299237.21728941094</c:v>
                </c:pt>
                <c:pt idx="846">
                  <c:v>299404.54007287219</c:v>
                </c:pt>
                <c:pt idx="847">
                  <c:v>299571.28532829875</c:v>
                </c:pt>
                <c:pt idx="848">
                  <c:v>299737.45506295422</c:v>
                </c:pt>
                <c:pt idx="849">
                  <c:v>299903.05127196858</c:v>
                </c:pt>
                <c:pt idx="850">
                  <c:v>300068.07593844051</c:v>
                </c:pt>
                <c:pt idx="851">
                  <c:v>300232.53103353892</c:v>
                </c:pt>
                <c:pt idx="852">
                  <c:v>300396.41851660312</c:v>
                </c:pt>
                <c:pt idx="853">
                  <c:v>300559.74033524224</c:v>
                </c:pt>
                <c:pt idx="854">
                  <c:v>300722.4984254333</c:v>
                </c:pt>
                <c:pt idx="855">
                  <c:v>300884.69471161847</c:v>
                </c:pt>
                <c:pt idx="856">
                  <c:v>301046.33110680082</c:v>
                </c:pt>
                <c:pt idx="857">
                  <c:v>301207.40951263974</c:v>
                </c:pt>
                <c:pt idx="858">
                  <c:v>301367.93181954481</c:v>
                </c:pt>
                <c:pt idx="859">
                  <c:v>301527.89990676875</c:v>
                </c:pt>
                <c:pt idx="860">
                  <c:v>301687.31564249971</c:v>
                </c:pt>
                <c:pt idx="861">
                  <c:v>301846.18088395201</c:v>
                </c:pt>
                <c:pt idx="862">
                  <c:v>302004.49747745669</c:v>
                </c:pt>
                <c:pt idx="863">
                  <c:v>302162.26725855027</c:v>
                </c:pt>
                <c:pt idx="864">
                  <c:v>302319.49205206323</c:v>
                </c:pt>
                <c:pt idx="865">
                  <c:v>302476.17367220728</c:v>
                </c:pt>
                <c:pt idx="866">
                  <c:v>302632.31392266165</c:v>
                </c:pt>
                <c:pt idx="867">
                  <c:v>302787.91459665878</c:v>
                </c:pt>
                <c:pt idx="868">
                  <c:v>302942.97747706872</c:v>
                </c:pt>
                <c:pt idx="869">
                  <c:v>303097.50433648296</c:v>
                </c:pt>
                <c:pt idx="870">
                  <c:v>303251.49693729723</c:v>
                </c:pt>
                <c:pt idx="871">
                  <c:v>303404.9570317936</c:v>
                </c:pt>
                <c:pt idx="872">
                  <c:v>303557.88636222162</c:v>
                </c:pt>
                <c:pt idx="873">
                  <c:v>303710.28666087851</c:v>
                </c:pt>
                <c:pt idx="874">
                  <c:v>303862.15965018887</c:v>
                </c:pt>
                <c:pt idx="875">
                  <c:v>304013.5070427832</c:v>
                </c:pt>
                <c:pt idx="876">
                  <c:v>304164.33054157573</c:v>
                </c:pt>
                <c:pt idx="877">
                  <c:v>304314.63183984172</c:v>
                </c:pt>
                <c:pt idx="878">
                  <c:v>304464.41262129357</c:v>
                </c:pt>
                <c:pt idx="879">
                  <c:v>304613.67456015653</c:v>
                </c:pt>
                <c:pt idx="880">
                  <c:v>304762.41932124336</c:v>
                </c:pt>
                <c:pt idx="881">
                  <c:v>304910.64856002817</c:v>
                </c:pt>
                <c:pt idx="882">
                  <c:v>305058.36392272002</c:v>
                </c:pt>
                <c:pt idx="883">
                  <c:v>305205.56704633508</c:v>
                </c:pt>
                <c:pt idx="884">
                  <c:v>305352.25955876883</c:v>
                </c:pt>
                <c:pt idx="885">
                  <c:v>305498.44307886681</c:v>
                </c:pt>
                <c:pt idx="886">
                  <c:v>305644.11921649502</c:v>
                </c:pt>
                <c:pt idx="887">
                  <c:v>305789.28957260982</c:v>
                </c:pt>
                <c:pt idx="888">
                  <c:v>305933.95573932666</c:v>
                </c:pt>
                <c:pt idx="889">
                  <c:v>306078.11929998844</c:v>
                </c:pt>
                <c:pt idx="890">
                  <c:v>306221.78182923316</c:v>
                </c:pt>
                <c:pt idx="891">
                  <c:v>306364.94489306083</c:v>
                </c:pt>
                <c:pt idx="892">
                  <c:v>306507.61004889978</c:v>
                </c:pt>
                <c:pt idx="893">
                  <c:v>306649.7788456722</c:v>
                </c:pt>
                <c:pt idx="894">
                  <c:v>306791.45282385923</c:v>
                </c:pt>
                <c:pt idx="895">
                  <c:v>306932.63351556537</c:v>
                </c:pt>
                <c:pt idx="896">
                  <c:v>307073.32244458189</c:v>
                </c:pt>
                <c:pt idx="897">
                  <c:v>307213.52112645033</c:v>
                </c:pt>
                <c:pt idx="898">
                  <c:v>307353.23106852465</c:v>
                </c:pt>
                <c:pt idx="899">
                  <c:v>307492.45377003337</c:v>
                </c:pt>
                <c:pt idx="900">
                  <c:v>307631.19072214066</c:v>
                </c:pt>
                <c:pt idx="901">
                  <c:v>307769.44340800709</c:v>
                </c:pt>
                <c:pt idx="902">
                  <c:v>307907.21330284973</c:v>
                </c:pt>
                <c:pt idx="903">
                  <c:v>308044.50187400175</c:v>
                </c:pt>
                <c:pt idx="904">
                  <c:v>308181.31058097119</c:v>
                </c:pt>
                <c:pt idx="905">
                  <c:v>308317.64087549946</c:v>
                </c:pt>
                <c:pt idx="906">
                  <c:v>308453.49420161918</c:v>
                </c:pt>
                <c:pt idx="907">
                  <c:v>308588.87199571141</c:v>
                </c:pt>
                <c:pt idx="908">
                  <c:v>308723.77568656235</c:v>
                </c:pt>
                <c:pt idx="909">
                  <c:v>308858.20669541956</c:v>
                </c:pt>
                <c:pt idx="910">
                  <c:v>308992.16643604764</c:v>
                </c:pt>
                <c:pt idx="911">
                  <c:v>309125.65631478326</c:v>
                </c:pt>
                <c:pt idx="912">
                  <c:v>309258.67773058987</c:v>
                </c:pt>
                <c:pt idx="913">
                  <c:v>309391.23207511177</c:v>
                </c:pt>
                <c:pt idx="914">
                  <c:v>309523.32073272771</c:v>
                </c:pt>
                <c:pt idx="915">
                  <c:v>309654.94508060382</c:v>
                </c:pt>
                <c:pt idx="916">
                  <c:v>309786.10648874642</c:v>
                </c:pt>
                <c:pt idx="917">
                  <c:v>309916.80632005387</c:v>
                </c:pt>
                <c:pt idx="918">
                  <c:v>310047.0459303683</c:v>
                </c:pt>
                <c:pt idx="919">
                  <c:v>310176.82666852686</c:v>
                </c:pt>
                <c:pt idx="920">
                  <c:v>310306.14987641212</c:v>
                </c:pt>
                <c:pt idx="921">
                  <c:v>310435.01688900241</c:v>
                </c:pt>
                <c:pt idx="922">
                  <c:v>310563.42903442134</c:v>
                </c:pt>
                <c:pt idx="923">
                  <c:v>310691.38763398741</c:v>
                </c:pt>
                <c:pt idx="924">
                  <c:v>310818.89400226239</c:v>
                </c:pt>
                <c:pt idx="925">
                  <c:v>310945.94944709999</c:v>
                </c:pt>
                <c:pt idx="926">
                  <c:v>311072.55526969361</c:v>
                </c:pt>
                <c:pt idx="927">
                  <c:v>311198.71276462381</c:v>
                </c:pt>
                <c:pt idx="928">
                  <c:v>311324.42321990547</c:v>
                </c:pt>
                <c:pt idx="929">
                  <c:v>311449.68791703426</c:v>
                </c:pt>
                <c:pt idx="930">
                  <c:v>311574.50813103275</c:v>
                </c:pt>
                <c:pt idx="931">
                  <c:v>311698.88513049646</c:v>
                </c:pt>
                <c:pt idx="932">
                  <c:v>311822.8201776389</c:v>
                </c:pt>
                <c:pt idx="933">
                  <c:v>311946.31452833669</c:v>
                </c:pt>
                <c:pt idx="934">
                  <c:v>312069.36943217408</c:v>
                </c:pt>
                <c:pt idx="935">
                  <c:v>312191.98613248684</c:v>
                </c:pt>
                <c:pt idx="936">
                  <c:v>312314.16586640634</c:v>
                </c:pt>
                <c:pt idx="937">
                  <c:v>312435.90986490267</c:v>
                </c:pt>
                <c:pt idx="938">
                  <c:v>312557.21935282758</c:v>
                </c:pt>
                <c:pt idx="939">
                  <c:v>312678.09554895724</c:v>
                </c:pt>
                <c:pt idx="940">
                  <c:v>312798.53966603411</c:v>
                </c:pt>
                <c:pt idx="941">
                  <c:v>312918.55291080906</c:v>
                </c:pt>
                <c:pt idx="942">
                  <c:v>313038.13648408261</c:v>
                </c:pt>
                <c:pt idx="943">
                  <c:v>313157.29158074612</c:v>
                </c:pt>
                <c:pt idx="944">
                  <c:v>313276.01938982244</c:v>
                </c:pt>
                <c:pt idx="945">
                  <c:v>313394.32109450613</c:v>
                </c:pt>
                <c:pt idx="946">
                  <c:v>313512.1978722036</c:v>
                </c:pt>
                <c:pt idx="947">
                  <c:v>313629.65089457284</c:v>
                </c:pt>
                <c:pt idx="948">
                  <c:v>313746.68132756249</c:v>
                </c:pt>
                <c:pt idx="949">
                  <c:v>313863.29033145087</c:v>
                </c:pt>
                <c:pt idx="950">
                  <c:v>313979.47906088468</c:v>
                </c:pt>
                <c:pt idx="951">
                  <c:v>314095.24866491708</c:v>
                </c:pt>
                <c:pt idx="952">
                  <c:v>314210.6002870457</c:v>
                </c:pt>
                <c:pt idx="953">
                  <c:v>314325.53506525041</c:v>
                </c:pt>
                <c:pt idx="954">
                  <c:v>314440.05413203029</c:v>
                </c:pt>
                <c:pt idx="955">
                  <c:v>314554.15861444082</c:v>
                </c:pt>
                <c:pt idx="956">
                  <c:v>314667.84963413043</c:v>
                </c:pt>
                <c:pt idx="957">
                  <c:v>314781.12830737676</c:v>
                </c:pt>
                <c:pt idx="958">
                  <c:v>314893.99574512272</c:v>
                </c:pt>
                <c:pt idx="959">
                  <c:v>315006.45305301232</c:v>
                </c:pt>
                <c:pt idx="960">
                  <c:v>315118.5013314258</c:v>
                </c:pt>
                <c:pt idx="961">
                  <c:v>315230.14167551481</c:v>
                </c:pt>
                <c:pt idx="962">
                  <c:v>315341.37517523736</c:v>
                </c:pt>
                <c:pt idx="963">
                  <c:v>315452.20291539194</c:v>
                </c:pt>
                <c:pt idx="964">
                  <c:v>315562.62597565207</c:v>
                </c:pt>
                <c:pt idx="965">
                  <c:v>315672.6454306001</c:v>
                </c:pt>
                <c:pt idx="966">
                  <c:v>315782.26234976063</c:v>
                </c:pt>
                <c:pt idx="967">
                  <c:v>315891.4777976342</c:v>
                </c:pt>
                <c:pt idx="968">
                  <c:v>316000.29283373</c:v>
                </c:pt>
                <c:pt idx="969">
                  <c:v>316108.70851259877</c:v>
                </c:pt>
                <c:pt idx="970">
                  <c:v>316216.72588386532</c:v>
                </c:pt>
                <c:pt idx="971">
                  <c:v>316324.34599226073</c:v>
                </c:pt>
                <c:pt idx="972">
                  <c:v>316431.56987765426</c:v>
                </c:pt>
                <c:pt idx="973">
                  <c:v>316538.39857508504</c:v>
                </c:pt>
                <c:pt idx="974">
                  <c:v>316644.83311479352</c:v>
                </c:pt>
                <c:pt idx="975">
                  <c:v>316750.87452225253</c:v>
                </c:pt>
                <c:pt idx="976">
                  <c:v>316856.52381819842</c:v>
                </c:pt>
                <c:pt idx="977">
                  <c:v>316961.78201866132</c:v>
                </c:pt>
                <c:pt idx="978">
                  <c:v>317066.65013499587</c:v>
                </c:pt>
                <c:pt idx="979">
                  <c:v>317171.12917391106</c:v>
                </c:pt>
                <c:pt idx="980">
                  <c:v>317275.22013750038</c:v>
                </c:pt>
                <c:pt idx="981">
                  <c:v>317378.92402327131</c:v>
                </c:pt>
                <c:pt idx="982">
                  <c:v>317482.24182417459</c:v>
                </c:pt>
                <c:pt idx="983">
                  <c:v>317585.17452863359</c:v>
                </c:pt>
                <c:pt idx="984">
                  <c:v>317687.72312057309</c:v>
                </c:pt>
                <c:pt idx="985">
                  <c:v>317789.8885794481</c:v>
                </c:pt>
                <c:pt idx="986">
                  <c:v>317891.67188027204</c:v>
                </c:pt>
                <c:pt idx="987">
                  <c:v>317993.07399364514</c:v>
                </c:pt>
                <c:pt idx="988">
                  <c:v>318094.09588578239</c:v>
                </c:pt>
                <c:pt idx="989">
                  <c:v>318194.73851854115</c:v>
                </c:pt>
                <c:pt idx="990">
                  <c:v>318295.00284944894</c:v>
                </c:pt>
                <c:pt idx="991">
                  <c:v>318394.8898317304</c:v>
                </c:pt>
                <c:pt idx="992">
                  <c:v>318494.40041433467</c:v>
                </c:pt>
                <c:pt idx="993">
                  <c:v>318593.53554196208</c:v>
                </c:pt>
                <c:pt idx="994">
                  <c:v>318692.29615509079</c:v>
                </c:pt>
                <c:pt idx="995">
                  <c:v>318790.68319000333</c:v>
                </c:pt>
                <c:pt idx="996">
                  <c:v>318888.69757881266</c:v>
                </c:pt>
                <c:pt idx="997">
                  <c:v>318986.34024948825</c:v>
                </c:pt>
                <c:pt idx="998">
                  <c:v>319083.61212588201</c:v>
                </c:pt>
                <c:pt idx="999">
                  <c:v>319180.51412775362</c:v>
                </c:pt>
                <c:pt idx="1000">
                  <c:v>319277.04717079608</c:v>
                </c:pt>
              </c:numCache>
            </c:numRef>
          </c:xVal>
          <c:yVal>
            <c:numRef>
              <c:f>Feuil1!$O$4:$O$1004</c:f>
              <c:numCache>
                <c:formatCode>General</c:formatCode>
                <c:ptCount val="1001"/>
                <c:pt idx="0">
                  <c:v>0</c:v>
                </c:pt>
                <c:pt idx="1">
                  <c:v>-22.000217613433108</c:v>
                </c:pt>
                <c:pt idx="2">
                  <c:v>-83.142465626436319</c:v>
                </c:pt>
                <c:pt idx="3">
                  <c:v>-162.67446546439203</c:v>
                </c:pt>
                <c:pt idx="4">
                  <c:v>-214.65297211630315</c:v>
                </c:pt>
                <c:pt idx="5">
                  <c:v>-162.52763714472937</c:v>
                </c:pt>
                <c:pt idx="6">
                  <c:v>100.30331911005902</c:v>
                </c:pt>
                <c:pt idx="7">
                  <c:v>693.32710483211065</c:v>
                </c:pt>
                <c:pt idx="8">
                  <c:v>1701.4393760048958</c:v>
                </c:pt>
                <c:pt idx="9">
                  <c:v>3106.1849172964803</c:v>
                </c:pt>
                <c:pt idx="10">
                  <c:v>4769.1385677095923</c:v>
                </c:pt>
                <c:pt idx="11">
                  <c:v>6507.9965228440278</c:v>
                </c:pt>
                <c:pt idx="12">
                  <c:v>8175.4840689858001</c:v>
                </c:pt>
                <c:pt idx="13">
                  <c:v>9673.1371234751641</c:v>
                </c:pt>
                <c:pt idx="14">
                  <c:v>10932.101010677998</c:v>
                </c:pt>
                <c:pt idx="15">
                  <c:v>11894.261248381976</c:v>
                </c:pt>
                <c:pt idx="16">
                  <c:v>12499.339101669713</c:v>
                </c:pt>
                <c:pt idx="17">
                  <c:v>12675.658594755812</c:v>
                </c:pt>
                <c:pt idx="18">
                  <c:v>12333.974151837469</c:v>
                </c:pt>
                <c:pt idx="19">
                  <c:v>11370.559009285927</c:v>
                </c:pt>
                <c:pt idx="20">
                  <c:v>9700.6617154199703</c:v>
                </c:pt>
                <c:pt idx="21">
                  <c:v>7344.5629180027354</c:v>
                </c:pt>
                <c:pt idx="22">
                  <c:v>4492.7966135665083</c:v>
                </c:pt>
                <c:pt idx="23">
                  <c:v>1412.2134348598011</c:v>
                </c:pt>
                <c:pt idx="24">
                  <c:v>-1716.7719685434706</c:v>
                </c:pt>
                <c:pt idx="25">
                  <c:v>-4846.5089591487467</c:v>
                </c:pt>
                <c:pt idx="26">
                  <c:v>-8017.3357630143782</c:v>
                </c:pt>
                <c:pt idx="27">
                  <c:v>-11285.779471397373</c:v>
                </c:pt>
                <c:pt idx="28">
                  <c:v>-14613.080407414171</c:v>
                </c:pt>
                <c:pt idx="29">
                  <c:v>-17770.579992604329</c:v>
                </c:pt>
                <c:pt idx="30">
                  <c:v>-20425.863769580363</c:v>
                </c:pt>
                <c:pt idx="31">
                  <c:v>-22333.617670371936</c:v>
                </c:pt>
                <c:pt idx="32">
                  <c:v>-23385.25816312891</c:v>
                </c:pt>
                <c:pt idx="33">
                  <c:v>-23543.34391789334</c:v>
                </c:pt>
                <c:pt idx="34">
                  <c:v>-22793.55889155576</c:v>
                </c:pt>
                <c:pt idx="35">
                  <c:v>-21135.122305952918</c:v>
                </c:pt>
                <c:pt idx="36">
                  <c:v>-18592.731877755396</c:v>
                </c:pt>
                <c:pt idx="37">
                  <c:v>-15227.649225363399</c:v>
                </c:pt>
                <c:pt idx="38">
                  <c:v>-11117.042779752619</c:v>
                </c:pt>
                <c:pt idx="39">
                  <c:v>-6305.3532151098407</c:v>
                </c:pt>
                <c:pt idx="40">
                  <c:v>-801.36329369018824</c:v>
                </c:pt>
                <c:pt idx="41">
                  <c:v>5297.0645526190874</c:v>
                </c:pt>
                <c:pt idx="42">
                  <c:v>11585.516192577492</c:v>
                </c:pt>
                <c:pt idx="43">
                  <c:v>17414.353745919838</c:v>
                </c:pt>
                <c:pt idx="44">
                  <c:v>22339.764024228229</c:v>
                </c:pt>
                <c:pt idx="45">
                  <c:v>26302.144247086435</c:v>
                </c:pt>
                <c:pt idx="46">
                  <c:v>29408.339822978738</c:v>
                </c:pt>
                <c:pt idx="47">
                  <c:v>31775.678478049984</c:v>
                </c:pt>
                <c:pt idx="48">
                  <c:v>33495.717867008236</c:v>
                </c:pt>
                <c:pt idx="49">
                  <c:v>34634.328790502448</c:v>
                </c:pt>
                <c:pt idx="50">
                  <c:v>35237.249977094529</c:v>
                </c:pt>
                <c:pt idx="51">
                  <c:v>35334.781874308697</c:v>
                </c:pt>
                <c:pt idx="52">
                  <c:v>34944.917836308647</c:v>
                </c:pt>
                <c:pt idx="53">
                  <c:v>34075.169722449798</c:v>
                </c:pt>
                <c:pt idx="54">
                  <c:v>32723.371251583336</c:v>
                </c:pt>
                <c:pt idx="55">
                  <c:v>30877.629177109953</c:v>
                </c:pt>
                <c:pt idx="56">
                  <c:v>28515.505708303455</c:v>
                </c:pt>
                <c:pt idx="57">
                  <c:v>25602.546535122798</c:v>
                </c:pt>
                <c:pt idx="58">
                  <c:v>22090.689197484018</c:v>
                </c:pt>
                <c:pt idx="59">
                  <c:v>17918.929247622811</c:v>
                </c:pt>
                <c:pt idx="60">
                  <c:v>13025.648960110313</c:v>
                </c:pt>
                <c:pt idx="61">
                  <c:v>7404.6659603737862</c:v>
                </c:pt>
                <c:pt idx="62">
                  <c:v>1265.2097245654845</c:v>
                </c:pt>
                <c:pt idx="63">
                  <c:v>-4838.469856922974</c:v>
                </c:pt>
                <c:pt idx="64">
                  <c:v>-10343.138775112213</c:v>
                </c:pt>
                <c:pt idx="65">
                  <c:v>-15080.031956758507</c:v>
                </c:pt>
                <c:pt idx="66">
                  <c:v>-19108.440244334579</c:v>
                </c:pt>
                <c:pt idx="67">
                  <c:v>-22384.248841129294</c:v>
                </c:pt>
                <c:pt idx="68">
                  <c:v>-24782.149950865438</c:v>
                </c:pt>
                <c:pt idx="69">
                  <c:v>-26328.554727254952</c:v>
                </c:pt>
                <c:pt idx="70">
                  <c:v>-27188.435518856637</c:v>
                </c:pt>
                <c:pt idx="71">
                  <c:v>-27514.228679190441</c:v>
                </c:pt>
                <c:pt idx="72">
                  <c:v>-27411.304391219772</c:v>
                </c:pt>
                <c:pt idx="73">
                  <c:v>-26950.852226261144</c:v>
                </c:pt>
                <c:pt idx="74">
                  <c:v>-26182.663557216354</c:v>
                </c:pt>
                <c:pt idx="75">
                  <c:v>-25143.010515691029</c:v>
                </c:pt>
                <c:pt idx="76">
                  <c:v>-23859.295352069315</c:v>
                </c:pt>
                <c:pt idx="77">
                  <c:v>-22352.885222164663</c:v>
                </c:pt>
                <c:pt idx="78">
                  <c:v>-20640.935233221491</c:v>
                </c:pt>
                <c:pt idx="79">
                  <c:v>-18737.638049543071</c:v>
                </c:pt>
                <c:pt idx="80">
                  <c:v>-16655.146566397103</c:v>
                </c:pt>
                <c:pt idx="81">
                  <c:v>-14404.311426504337</c:v>
                </c:pt>
                <c:pt idx="82">
                  <c:v>-11995.30109168729</c:v>
                </c:pt>
                <c:pt idx="83">
                  <c:v>-9438.0735981946891</c:v>
                </c:pt>
                <c:pt idx="84">
                  <c:v>-6742.4488254957623</c:v>
                </c:pt>
                <c:pt idx="85">
                  <c:v>-3917.0118078438986</c:v>
                </c:pt>
                <c:pt idx="86">
                  <c:v>-965.39762045684188</c:v>
                </c:pt>
                <c:pt idx="87">
                  <c:v>2117.5825564160596</c:v>
                </c:pt>
                <c:pt idx="88">
                  <c:v>5317.1876331018284</c:v>
                </c:pt>
                <c:pt idx="89">
                  <c:v>8521.6264285700672</c:v>
                </c:pt>
                <c:pt idx="90">
                  <c:v>11550.593120740476</c:v>
                </c:pt>
                <c:pt idx="91">
                  <c:v>14239.044188926086</c:v>
                </c:pt>
                <c:pt idx="92">
                  <c:v>16399.818106049832</c:v>
                </c:pt>
                <c:pt idx="93">
                  <c:v>17784.029810369029</c:v>
                </c:pt>
                <c:pt idx="94">
                  <c:v>18179.335298642811</c:v>
                </c:pt>
                <c:pt idx="95">
                  <c:v>17581.595781883017</c:v>
                </c:pt>
                <c:pt idx="96">
                  <c:v>16201.322183631837</c:v>
                </c:pt>
                <c:pt idx="97">
                  <c:v>14299.82454111526</c:v>
                </c:pt>
                <c:pt idx="98">
                  <c:v>12078.389717864424</c:v>
                </c:pt>
                <c:pt idx="99">
                  <c:v>9668.5803488342935</c:v>
                </c:pt>
                <c:pt idx="100">
                  <c:v>7153.5061027267229</c:v>
                </c:pt>
                <c:pt idx="101">
                  <c:v>4586.4727141360745</c:v>
                </c:pt>
                <c:pt idx="102">
                  <c:v>2002.7485412492076</c:v>
                </c:pt>
                <c:pt idx="103">
                  <c:v>-573.50378922460129</c:v>
                </c:pt>
                <c:pt idx="104">
                  <c:v>-3125.1409977214494</c:v>
                </c:pt>
                <c:pt idx="105">
                  <c:v>-5639.5742061550909</c:v>
                </c:pt>
                <c:pt idx="106">
                  <c:v>-8107.2374208857573</c:v>
                </c:pt>
                <c:pt idx="107">
                  <c:v>-10520.606315644069</c:v>
                </c:pt>
                <c:pt idx="108">
                  <c:v>-12873.550408085644</c:v>
                </c:pt>
                <c:pt idx="109">
                  <c:v>-15160.892663200937</c:v>
                </c:pt>
                <c:pt idx="110">
                  <c:v>-17378.101288698723</c:v>
                </c:pt>
                <c:pt idx="111">
                  <c:v>-19521.067499254725</c:v>
                </c:pt>
                <c:pt idx="112">
                  <c:v>-21585.940047188615</c:v>
                </c:pt>
                <c:pt idx="113">
                  <c:v>-23568.997546873681</c:v>
                </c:pt>
                <c:pt idx="114">
                  <c:v>-25466.545900054276</c:v>
                </c:pt>
                <c:pt idx="115">
                  <c:v>-27274.832048369921</c:v>
                </c:pt>
                <c:pt idx="116">
                  <c:v>-28989.967746862039</c:v>
                </c:pt>
                <c:pt idx="117">
                  <c:v>-30607.858598253079</c:v>
                </c:pt>
                <c:pt idx="118">
                  <c:v>-32124.134525477242</c:v>
                </c:pt>
                <c:pt idx="119">
                  <c:v>-33534.078374106539</c:v>
                </c:pt>
                <c:pt idx="120">
                  <c:v>-34832.549532674253</c:v>
                </c:pt>
                <c:pt idx="121">
                  <c:v>-36013.899391395069</c:v>
                </c:pt>
                <c:pt idx="122">
                  <c:v>-37071.875145141159</c:v>
                </c:pt>
                <c:pt idx="123">
                  <c:v>-37999.507870889131</c:v>
                </c:pt>
                <c:pt idx="124">
                  <c:v>-38788.979929900961</c:v>
                </c:pt>
                <c:pt idx="125">
                  <c:v>-39431.465484736429</c:v>
                </c:pt>
                <c:pt idx="126">
                  <c:v>-39916.936165285188</c:v>
                </c:pt>
                <c:pt idx="127">
                  <c:v>-40233.921500803634</c:v>
                </c:pt>
                <c:pt idx="128">
                  <c:v>-40369.210428751154</c:v>
                </c:pt>
                <c:pt idx="129">
                  <c:v>-40307.475697933594</c:v>
                </c:pt>
                <c:pt idx="130">
                  <c:v>-40030.796946731236</c:v>
                </c:pt>
                <c:pt idx="131">
                  <c:v>-39518.050320493574</c:v>
                </c:pt>
                <c:pt idx="132">
                  <c:v>-38744.12264300113</c:v>
                </c:pt>
                <c:pt idx="133">
                  <c:v>-37678.897370036349</c:v>
                </c:pt>
                <c:pt idx="134">
                  <c:v>-36285.951944995286</c:v>
                </c:pt>
                <c:pt idx="135">
                  <c:v>-34520.914472940451</c:v>
                </c:pt>
                <c:pt idx="136">
                  <c:v>-32329.487492857152</c:v>
                </c:pt>
                <c:pt idx="137">
                  <c:v>-29645.353698780582</c:v>
                </c:pt>
                <c:pt idx="138">
                  <c:v>-26388.783770050384</c:v>
                </c:pt>
                <c:pt idx="139">
                  <c:v>-22468.435857208508</c:v>
                </c:pt>
                <c:pt idx="140">
                  <c:v>-17793.589974124137</c:v>
                </c:pt>
                <c:pt idx="141">
                  <c:v>-12320.322936088674</c:v>
                </c:pt>
                <c:pt idx="142">
                  <c:v>-6196.0318379162145</c:v>
                </c:pt>
                <c:pt idx="143">
                  <c:v>178.05098804009958</c:v>
                </c:pt>
                <c:pt idx="144">
                  <c:v>6490.2267887605203</c:v>
                </c:pt>
                <c:pt idx="145">
                  <c:v>12666.819251078776</c:v>
                </c:pt>
                <c:pt idx="146">
                  <c:v>18577.77025696497</c:v>
                </c:pt>
                <c:pt idx="147">
                  <c:v>24044.677186033783</c:v>
                </c:pt>
                <c:pt idx="148">
                  <c:v>29057.667421179034</c:v>
                </c:pt>
                <c:pt idx="149">
                  <c:v>33709.473495191494</c:v>
                </c:pt>
                <c:pt idx="150">
                  <c:v>38064.222200774631</c:v>
                </c:pt>
                <c:pt idx="151">
                  <c:v>42162.782284118308</c:v>
                </c:pt>
                <c:pt idx="152">
                  <c:v>46033.556754078025</c:v>
                </c:pt>
                <c:pt idx="153">
                  <c:v>49697.755248775306</c:v>
                </c:pt>
                <c:pt idx="154">
                  <c:v>53172.000985557032</c:v>
                </c:pt>
                <c:pt idx="155">
                  <c:v>56469.753198228114</c:v>
                </c:pt>
                <c:pt idx="156">
                  <c:v>59602.159193807289</c:v>
                </c:pt>
                <c:pt idx="157">
                  <c:v>62578.604564851164</c:v>
                </c:pt>
                <c:pt idx="158">
                  <c:v>65407.089661186277</c:v>
                </c:pt>
                <c:pt idx="159">
                  <c:v>68094.498837980966</c:v>
                </c:pt>
                <c:pt idx="160">
                  <c:v>70646.799694752961</c:v>
                </c:pt>
                <c:pt idx="161">
                  <c:v>73069.194486987675</c:v>
                </c:pt>
                <c:pt idx="162">
                  <c:v>75366.237648731709</c:v>
                </c:pt>
                <c:pt idx="163">
                  <c:v>77541.92857612051</c:v>
                </c:pt>
                <c:pt idx="164">
                  <c:v>79599.78589956474</c:v>
                </c:pt>
                <c:pt idx="165">
                  <c:v>81542.907612356779</c:v>
                </c:pt>
                <c:pt idx="166">
                  <c:v>83374.020196437617</c:v>
                </c:pt>
                <c:pt idx="167">
                  <c:v>85095.519051421128</c:v>
                </c:pt>
                <c:pt idx="168">
                  <c:v>86709.50195005865</c:v>
                </c:pt>
                <c:pt idx="169">
                  <c:v>88217.796826762366</c:v>
                </c:pt>
                <c:pt idx="170">
                  <c:v>89621.984902014927</c:v>
                </c:pt>
                <c:pt idx="171">
                  <c:v>90923.41991985499</c:v>
                </c:pt>
                <c:pt idx="172">
                  <c:v>92123.244105180886</c:v>
                </c:pt>
                <c:pt idx="173">
                  <c:v>93222.401316764342</c:v>
                </c:pt>
                <c:pt idx="174">
                  <c:v>94221.647769796662</c:v>
                </c:pt>
                <c:pt idx="175">
                  <c:v>95121.560620843768</c:v>
                </c:pt>
                <c:pt idx="176">
                  <c:v>95922.544642737979</c:v>
                </c:pt>
                <c:pt idx="177">
                  <c:v>96624.837163112374</c:v>
                </c:pt>
                <c:pt idx="178">
                  <c:v>97228.511394924339</c:v>
                </c:pt>
                <c:pt idx="179">
                  <c:v>97733.478248052212</c:v>
                </c:pt>
                <c:pt idx="180">
                  <c:v>98139.486675995926</c:v>
                </c:pt>
                <c:pt idx="181">
                  <c:v>98446.122579308998</c:v>
                </c:pt>
                <c:pt idx="182">
                  <c:v>98652.806256274998</c:v>
                </c:pt>
                <c:pt idx="183">
                  <c:v>98758.788360269828</c:v>
                </c:pt>
                <c:pt idx="184">
                  <c:v>98763.14429099689</c:v>
                </c:pt>
                <c:pt idx="185">
                  <c:v>98664.76691207313</c:v>
                </c:pt>
                <c:pt idx="186">
                  <c:v>98462.357448872935</c:v>
                </c:pt>
                <c:pt idx="187">
                  <c:v>98154.414376476838</c:v>
                </c:pt>
                <c:pt idx="188">
                  <c:v>97739.220056064223</c:v>
                </c:pt>
                <c:pt idx="189">
                  <c:v>97214.824816705412</c:v>
                </c:pt>
                <c:pt idx="190">
                  <c:v>96579.028105171543</c:v>
                </c:pt>
                <c:pt idx="191">
                  <c:v>95829.356235118219</c:v>
                </c:pt>
                <c:pt idx="192">
                  <c:v>94963.036153611771</c:v>
                </c:pt>
                <c:pt idx="193">
                  <c:v>93976.96450056287</c:v>
                </c:pt>
                <c:pt idx="194">
                  <c:v>92867.671055974366</c:v>
                </c:pt>
                <c:pt idx="195">
                  <c:v>91631.275438485871</c:v>
                </c:pt>
                <c:pt idx="196">
                  <c:v>90263.43561938178</c:v>
                </c:pt>
                <c:pt idx="197">
                  <c:v>88759.286425344006</c:v>
                </c:pt>
                <c:pt idx="198">
                  <c:v>87113.365687692538</c:v>
                </c:pt>
                <c:pt idx="199">
                  <c:v>85319.525008961966</c:v>
                </c:pt>
                <c:pt idx="200">
                  <c:v>83370.821192781368</c:v>
                </c:pt>
                <c:pt idx="201">
                  <c:v>81259.38312412861</c:v>
                </c:pt>
                <c:pt idx="202">
                  <c:v>78976.247154378463</c:v>
                </c:pt>
                <c:pt idx="203">
                  <c:v>76511.151634105554</c:v>
                </c:pt>
                <c:pt idx="204">
                  <c:v>73852.277843729971</c:v>
                </c:pt>
                <c:pt idx="205">
                  <c:v>70985.919750848479</c:v>
                </c:pt>
                <c:pt idx="206">
                  <c:v>67896.058119119509</c:v>
                </c:pt>
                <c:pt idx="207">
                  <c:v>64563.804576233197</c:v>
                </c:pt>
                <c:pt idx="208">
                  <c:v>60966.667093336124</c:v>
                </c:pt>
                <c:pt idx="209">
                  <c:v>57077.568668194006</c:v>
                </c:pt>
                <c:pt idx="210">
                  <c:v>52863.525802495962</c:v>
                </c:pt>
                <c:pt idx="211">
                  <c:v>48283.868657966887</c:v>
                </c:pt>
                <c:pt idx="212">
                  <c:v>43287.889795501862</c:v>
                </c:pt>
                <c:pt idx="213">
                  <c:v>37811.9551456189</c:v>
                </c:pt>
                <c:pt idx="214">
                  <c:v>31776.801289980536</c:v>
                </c:pt>
                <c:pt idx="215">
                  <c:v>25088.36673380512</c:v>
                </c:pt>
                <c:pt idx="216">
                  <c:v>17654.367990893719</c:v>
                </c:pt>
                <c:pt idx="217">
                  <c:v>9451.6332153750154</c:v>
                </c:pt>
                <c:pt idx="218">
                  <c:v>686.09160008608217</c:v>
                </c:pt>
                <c:pt idx="219">
                  <c:v>-8109.0470729599419</c:v>
                </c:pt>
                <c:pt idx="220">
                  <c:v>-16363.135413169124</c:v>
                </c:pt>
                <c:pt idx="221">
                  <c:v>-23827.540013023536</c:v>
                </c:pt>
                <c:pt idx="222">
                  <c:v>-30525.56352592053</c:v>
                </c:pt>
                <c:pt idx="223">
                  <c:v>-36556.305851762336</c:v>
                </c:pt>
                <c:pt idx="224">
                  <c:v>-42014.961891375235</c:v>
                </c:pt>
                <c:pt idx="225">
                  <c:v>-46981.502723202342</c:v>
                </c:pt>
                <c:pt idx="226">
                  <c:v>-51523.200626681981</c:v>
                </c:pt>
                <c:pt idx="227">
                  <c:v>-55696.916409668695</c:v>
                </c:pt>
                <c:pt idx="228">
                  <c:v>-59550.441122354852</c:v>
                </c:pt>
                <c:pt idx="229">
                  <c:v>-63123.666287721411</c:v>
                </c:pt>
                <c:pt idx="230">
                  <c:v>-66449.787063051408</c:v>
                </c:pt>
                <c:pt idx="231">
                  <c:v>-69556.459639504741</c:v>
                </c:pt>
                <c:pt idx="232">
                  <c:v>-72466.825647168313</c:v>
                </c:pt>
                <c:pt idx="233">
                  <c:v>-75200.369629454915</c:v>
                </c:pt>
                <c:pt idx="234">
                  <c:v>-77773.614263172451</c:v>
                </c:pt>
                <c:pt idx="235">
                  <c:v>-80200.675050091959</c:v>
                </c:pt>
                <c:pt idx="236">
                  <c:v>-82493.700131207515</c:v>
                </c:pt>
                <c:pt idx="237">
                  <c:v>-84663.21890561968</c:v>
                </c:pt>
                <c:pt idx="238">
                  <c:v>-86718.419249913757</c:v>
                </c:pt>
                <c:pt idx="239">
                  <c:v>-88667.369116665723</c:v>
                </c:pt>
                <c:pt idx="240">
                  <c:v>-90517.194796728509</c:v>
                </c:pt>
                <c:pt idx="241">
                  <c:v>-92274.225307611458</c:v>
                </c:pt>
                <c:pt idx="242">
                  <c:v>-93944.110171051274</c:v>
                </c:pt>
                <c:pt idx="243">
                  <c:v>-95531.916159267959</c:v>
                </c:pt>
                <c:pt idx="244">
                  <c:v>-97042.207310505109</c:v>
                </c:pt>
                <c:pt idx="245">
                  <c:v>-98479.111544957195</c:v>
                </c:pt>
                <c:pt idx="246">
                  <c:v>-99846.376476190271</c:v>
                </c:pt>
                <c:pt idx="247">
                  <c:v>-101147.41645245359</c:v>
                </c:pt>
                <c:pt idx="248">
                  <c:v>-102385.35243305058</c:v>
                </c:pt>
                <c:pt idx="249">
                  <c:v>-103563.04597452213</c:v>
                </c:pt>
                <c:pt idx="250">
                  <c:v>-104683.12834551759</c:v>
                </c:pt>
                <c:pt idx="251">
                  <c:v>-105748.025589843</c:v>
                </c:pt>
                <c:pt idx="252">
                  <c:v>-106759.98020083996</c:v>
                </c:pt>
                <c:pt idx="253">
                  <c:v>-107721.06994690369</c:v>
                </c:pt>
                <c:pt idx="254">
                  <c:v>-108633.22429004246</c:v>
                </c:pt>
                <c:pt idx="255">
                  <c:v>-109498.23876120191</c:v>
                </c:pt>
                <c:pt idx="256">
                  <c:v>-110317.78759329455</c:v>
                </c:pt>
                <c:pt idx="257">
                  <c:v>-111093.43486217219</c:v>
                </c:pt>
                <c:pt idx="258">
                  <c:v>-111826.64434461405</c:v>
                </c:pt>
                <c:pt idx="259">
                  <c:v>-112518.78826880894</c:v>
                </c:pt>
                <c:pt idx="260">
                  <c:v>-113171.15510525725</c:v>
                </c:pt>
                <c:pt idx="261">
                  <c:v>-113784.95652331326</c:v>
                </c:pt>
                <c:pt idx="262">
                  <c:v>-114361.33361979297</c:v>
                </c:pt>
                <c:pt idx="263">
                  <c:v>-114901.36251044381</c:v>
                </c:pt>
                <c:pt idx="264">
                  <c:v>-115406.05936202349</c:v>
                </c:pt>
                <c:pt idx="265">
                  <c:v>-115876.38493179542</c:v>
                </c:pt>
                <c:pt idx="266">
                  <c:v>-116313.2486720403</c:v>
                </c:pt>
                <c:pt idx="267">
                  <c:v>-116717.51244940581</c:v>
                </c:pt>
                <c:pt idx="268">
                  <c:v>-117089.99392232193</c:v>
                </c:pt>
                <c:pt idx="269">
                  <c:v>-117431.46961409943</c:v>
                </c:pt>
                <c:pt idx="270">
                  <c:v>-117742.67771454122</c:v>
                </c:pt>
                <c:pt idx="271">
                  <c:v>-118024.32063879563</c:v>
                </c:pt>
                <c:pt idx="272">
                  <c:v>-118277.06736865982</c:v>
                </c:pt>
                <c:pt idx="273">
                  <c:v>-118501.55559850727</c:v>
                </c:pt>
                <c:pt idx="274">
                  <c:v>-118698.39370539332</c:v>
                </c:pt>
                <c:pt idx="275">
                  <c:v>-118868.16256062179</c:v>
                </c:pt>
                <c:pt idx="276">
                  <c:v>-119011.41719808444</c:v>
                </c:pt>
                <c:pt idx="277">
                  <c:v>-119128.68835296761</c:v>
                </c:pt>
                <c:pt idx="278">
                  <c:v>-119220.4838829216</c:v>
                </c:pt>
                <c:pt idx="279">
                  <c:v>-119287.29008247676</c:v>
                </c:pt>
                <c:pt idx="280">
                  <c:v>-119329.57290033999</c:v>
                </c:pt>
                <c:pt idx="281">
                  <c:v>-119347.7790681942</c:v>
                </c:pt>
                <c:pt idx="282">
                  <c:v>-119342.33714873259</c:v>
                </c:pt>
                <c:pt idx="283">
                  <c:v>-119313.65850987336</c:v>
                </c:pt>
                <c:pt idx="284">
                  <c:v>-119262.13823140504</c:v>
                </c:pt>
                <c:pt idx="285">
                  <c:v>-119188.15594969636</c:v>
                </c:pt>
                <c:pt idx="286">
                  <c:v>-119092.07664555726</c:v>
                </c:pt>
                <c:pt idx="287">
                  <c:v>-118974.25137985066</c:v>
                </c:pt>
                <c:pt idx="288">
                  <c:v>-118835.01798102118</c:v>
                </c:pt>
                <c:pt idx="289">
                  <c:v>-118674.70168831943</c:v>
                </c:pt>
                <c:pt idx="290">
                  <c:v>-118493.61575415402</c:v>
                </c:pt>
                <c:pt idx="291">
                  <c:v>-118292.062008694</c:v>
                </c:pt>
                <c:pt idx="292">
                  <c:v>-118070.33138956538</c:v>
                </c:pt>
                <c:pt idx="293">
                  <c:v>-117828.70443923587</c:v>
                </c:pt>
                <c:pt idx="294">
                  <c:v>-117567.45177245721</c:v>
                </c:pt>
                <c:pt idx="295">
                  <c:v>-117286.83451593142</c:v>
                </c:pt>
                <c:pt idx="296">
                  <c:v>-116987.10472218471</c:v>
                </c:pt>
                <c:pt idx="297">
                  <c:v>-116668.50575946753</c:v>
                </c:pt>
                <c:pt idx="298">
                  <c:v>-116331.27267934974</c:v>
                </c:pt>
                <c:pt idx="299">
                  <c:v>-115975.63256354444</c:v>
                </c:pt>
                <c:pt idx="300">
                  <c:v>-115601.80485137143</c:v>
                </c:pt>
                <c:pt idx="301">
                  <c:v>-115210.00164915931</c:v>
                </c:pt>
                <c:pt idx="302">
                  <c:v>-114800.42802278436</c:v>
                </c:pt>
                <c:pt idx="303">
                  <c:v>-114373.28227445162</c:v>
                </c:pt>
                <c:pt idx="304">
                  <c:v>-113928.75620473987</c:v>
                </c:pt>
                <c:pt idx="305">
                  <c:v>-113467.03536085536</c:v>
                </c:pt>
                <c:pt idx="306">
                  <c:v>-112988.29927196908</c:v>
                </c:pt>
                <c:pt idx="307">
                  <c:v>-112492.72167244882</c:v>
                </c:pt>
                <c:pt idx="308">
                  <c:v>-111980.47071373809</c:v>
                </c:pt>
                <c:pt idx="309">
                  <c:v>-111451.70916558121</c:v>
                </c:pt>
                <c:pt idx="310">
                  <c:v>-110906.59460724433</c:v>
                </c:pt>
                <c:pt idx="311">
                  <c:v>-110345.27960933733</c:v>
                </c:pt>
                <c:pt idx="312">
                  <c:v>-109767.91190680041</c:v>
                </c:pt>
                <c:pt idx="313">
                  <c:v>-109174.63456358142</c:v>
                </c:pt>
                <c:pt idx="314">
                  <c:v>-108565.58612949512</c:v>
                </c:pt>
                <c:pt idx="315">
                  <c:v>-107940.90078972364</c:v>
                </c:pt>
                <c:pt idx="316">
                  <c:v>-107300.70850738861</c:v>
                </c:pt>
                <c:pt idx="317">
                  <c:v>-106645.1351595977</c:v>
                </c:pt>
                <c:pt idx="318">
                  <c:v>-105974.30266734469</c:v>
                </c:pt>
                <c:pt idx="319">
                  <c:v>-105288.3291196185</c:v>
                </c:pt>
                <c:pt idx="320">
                  <c:v>-104587.32889205668</c:v>
                </c:pt>
                <c:pt idx="321">
                  <c:v>-103871.41276045929</c:v>
                </c:pt>
                <c:pt idx="322">
                  <c:v>-103140.68800946185</c:v>
                </c:pt>
                <c:pt idx="323">
                  <c:v>-102395.25853665022</c:v>
                </c:pt>
                <c:pt idx="324">
                  <c:v>-101635.22495238557</c:v>
                </c:pt>
                <c:pt idx="325">
                  <c:v>-100860.68467559456</c:v>
                </c:pt>
                <c:pt idx="326">
                  <c:v>-100071.73202576788</c:v>
                </c:pt>
                <c:pt idx="327">
                  <c:v>-99268.458311399401</c:v>
                </c:pt>
                <c:pt idx="328">
                  <c:v>-98450.951915088895</c:v>
                </c:pt>
                <c:pt idx="329">
                  <c:v>-97619.298375522441</c:v>
                </c:pt>
                <c:pt idx="330">
                  <c:v>-96773.58046653714</c:v>
                </c:pt>
                <c:pt idx="331">
                  <c:v>-95913.87827347056</c:v>
                </c:pt>
                <c:pt idx="332">
                  <c:v>-95040.26926698965</c:v>
                </c:pt>
                <c:pt idx="333">
                  <c:v>-94152.828374589226</c:v>
                </c:pt>
                <c:pt idx="334">
                  <c:v>-93251.628049947016</c:v>
                </c:pt>
                <c:pt idx="335">
                  <c:v>-92336.738340319265</c:v>
                </c:pt>
                <c:pt idx="336">
                  <c:v>-91408.226952159675</c:v>
                </c:pt>
                <c:pt idx="337">
                  <c:v>-90466.159315143843</c:v>
                </c:pt>
                <c:pt idx="338">
                  <c:v>-89510.598644781727</c:v>
                </c:pt>
                <c:pt idx="339">
                  <c:v>-88541.606003802604</c:v>
                </c:pt>
                <c:pt idx="340">
                  <c:v>-87559.240362499419</c:v>
                </c:pt>
                <c:pt idx="341">
                  <c:v>-86563.55865822357</c:v>
                </c:pt>
                <c:pt idx="342">
                  <c:v>-85554.615854226417</c:v>
                </c:pt>
                <c:pt idx="343">
                  <c:v>-84532.464998050404</c:v>
                </c:pt>
                <c:pt idx="344">
                  <c:v>-83497.157279680861</c:v>
                </c:pt>
                <c:pt idx="345">
                  <c:v>-82448.742089679203</c:v>
                </c:pt>
                <c:pt idx="346">
                  <c:v>-81387.267077530007</c:v>
                </c:pt>
                <c:pt idx="347">
                  <c:v>-80312.778210447505</c:v>
                </c:pt>
                <c:pt idx="348">
                  <c:v>-79225.319832903115</c:v>
                </c:pt>
                <c:pt idx="349">
                  <c:v>-78124.934727153261</c:v>
                </c:pt>
                <c:pt idx="350">
                  <c:v>-77011.664175067563</c:v>
                </c:pt>
                <c:pt idx="351">
                  <c:v>-75885.548021580849</c:v>
                </c:pt>
                <c:pt idx="352">
                  <c:v>-74746.624740119572</c:v>
                </c:pt>
                <c:pt idx="353">
                  <c:v>-73594.931500383318</c:v>
                </c:pt>
                <c:pt idx="354">
                  <c:v>-72430.504238897352</c:v>
                </c:pt>
                <c:pt idx="355">
                  <c:v>-71253.377732791094</c:v>
                </c:pt>
                <c:pt idx="356">
                  <c:v>-70063.585677302239</c:v>
                </c:pt>
                <c:pt idx="357">
                  <c:v>-68861.160767557012</c:v>
                </c:pt>
                <c:pt idx="358">
                  <c:v>-67646.134785234506</c:v>
                </c:pt>
                <c:pt idx="359">
                  <c:v>-66418.53869078838</c:v>
                </c:pt>
                <c:pt idx="360">
                  <c:v>-65178.40272197334</c:v>
                </c:pt>
                <c:pt idx="361">
                  <c:v>-63925.756499508156</c:v>
                </c:pt>
                <c:pt idx="362">
                  <c:v>-62660.629140802957</c:v>
                </c:pt>
                <c:pt idx="363">
                  <c:v>-61383.049382787882</c:v>
                </c:pt>
                <c:pt idx="364">
                  <c:v>-60093.045715004642</c:v>
                </c:pt>
                <c:pt idx="365">
                  <c:v>-58790.646524265212</c:v>
                </c:pt>
                <c:pt idx="366">
                  <c:v>-57475.880252344476</c:v>
                </c:pt>
                <c:pt idx="367">
                  <c:v>-56148.775568360434</c:v>
                </c:pt>
                <c:pt idx="368">
                  <c:v>-54809.361557709541</c:v>
                </c:pt>
                <c:pt idx="369">
                  <c:v>-53457.667929671043</c:v>
                </c:pt>
                <c:pt idx="370">
                  <c:v>-52093.725246077542</c:v>
                </c:pt>
                <c:pt idx="371">
                  <c:v>-50717.565173776311</c:v>
                </c:pt>
                <c:pt idx="372">
                  <c:v>-49329.220763984267</c:v>
                </c:pt>
                <c:pt idx="373">
                  <c:v>-47928.726762077873</c:v>
                </c:pt>
                <c:pt idx="374">
                  <c:v>-46516.119951868881</c:v>
                </c:pt>
                <c:pt idx="375">
                  <c:v>-45091.439539009567</c:v>
                </c:pt>
                <c:pt idx="376">
                  <c:v>-43654.727578863538</c:v>
                </c:pt>
                <c:pt idx="377">
                  <c:v>-42206.029454988035</c:v>
                </c:pt>
                <c:pt idx="378">
                  <c:v>-40745.394415324066</c:v>
                </c:pt>
                <c:pt idx="379">
                  <c:v>-39272.876174308629</c:v>
                </c:pt>
                <c:pt idx="380">
                  <c:v>-37788.533590442712</c:v>
                </c:pt>
                <c:pt idx="381">
                  <c:v>-36292.431430410033</c:v>
                </c:pt>
                <c:pt idx="382">
                  <c:v>-34784.641232695081</c:v>
                </c:pt>
                <c:pt idx="383">
                  <c:v>-33265.242285857108</c:v>
                </c:pt>
                <c:pt idx="384">
                  <c:v>-31734.322739255669</c:v>
                </c:pt>
                <c:pt idx="385">
                  <c:v>-30191.980867188558</c:v>
                </c:pt>
                <c:pt idx="386">
                  <c:v>-28638.326511214273</c:v>
                </c:pt>
                <c:pt idx="387">
                  <c:v>-27073.482730037453</c:v>
                </c:pt>
                <c:pt idx="388">
                  <c:v>-25497.587691926441</c:v>
                </c:pt>
                <c:pt idx="389">
                  <c:v>-23910.796851446488</c:v>
                </c:pt>
                <c:pt idx="390">
                  <c:v>-22313.28546063559</c:v>
                </c:pt>
                <c:pt idx="391">
                  <c:v>-20705.251475014415</c:v>
                </c:pt>
                <c:pt idx="392">
                  <c:v>-19086.918927512579</c:v>
                </c:pt>
                <c:pt idx="393">
                  <c:v>-17458.541859167253</c:v>
                </c:pt>
                <c:pt idx="394">
                  <c:v>-15820.408915165608</c:v>
                </c:pt>
                <c:pt idx="395">
                  <c:v>-14172.848739590709</c:v>
                </c:pt>
                <c:pt idx="396">
                  <c:v>-12516.236333592782</c:v>
                </c:pt>
                <c:pt idx="397">
                  <c:v>-10851.000581654615</c:v>
                </c:pt>
                <c:pt idx="398">
                  <c:v>-9177.6332018660341</c:v>
                </c:pt>
                <c:pt idx="399">
                  <c:v>-7496.6994423712949</c:v>
                </c:pt>
                <c:pt idx="400">
                  <c:v>-5808.850932508918</c:v>
                </c:pt>
                <c:pt idx="401">
                  <c:v>-4114.841210742853</c:v>
                </c:pt>
                <c:pt idx="402">
                  <c:v>-2415.544602336719</c:v>
                </c:pt>
                <c:pt idx="403">
                  <c:v>-711.97932224104397</c:v>
                </c:pt>
                <c:pt idx="404">
                  <c:v>994.66404621824142</c:v>
                </c:pt>
                <c:pt idx="405">
                  <c:v>2702.987167553064</c:v>
                </c:pt>
                <c:pt idx="406">
                  <c:v>4411.3396068424227</c:v>
                </c:pt>
                <c:pt idx="407">
                  <c:v>6117.7627088880326</c:v>
                </c:pt>
                <c:pt idx="408">
                  <c:v>7819.9178050285655</c:v>
                </c:pt>
                <c:pt idx="409">
                  <c:v>9514.9932369425442</c:v>
                </c:pt>
                <c:pt idx="410">
                  <c:v>11199.58223859387</c:v>
                </c:pt>
                <c:pt idx="411">
                  <c:v>12869.519888385883</c:v>
                </c:pt>
                <c:pt idx="412">
                  <c:v>14519.66115085347</c:v>
                </c:pt>
                <c:pt idx="413">
                  <c:v>16143.571632127358</c:v>
                </c:pt>
                <c:pt idx="414">
                  <c:v>17733.084525751859</c:v>
                </c:pt>
                <c:pt idx="415">
                  <c:v>19277.644355974702</c:v>
                </c:pt>
                <c:pt idx="416">
                  <c:v>20763.297179139787</c:v>
                </c:pt>
                <c:pt idx="417">
                  <c:v>22171.075964103115</c:v>
                </c:pt>
                <c:pt idx="418">
                  <c:v>23474.357735258334</c:v>
                </c:pt>
                <c:pt idx="419">
                  <c:v>24634.696516698987</c:v>
                </c:pt>
                <c:pt idx="420">
                  <c:v>25596.737060934938</c:v>
                </c:pt>
                <c:pt idx="421">
                  <c:v>26288.010021522325</c:v>
                </c:pt>
                <c:pt idx="422">
                  <c:v>26633.769399702505</c:v>
                </c:pt>
                <c:pt idx="423">
                  <c:v>26572.960889454425</c:v>
                </c:pt>
                <c:pt idx="424">
                  <c:v>26041.180145204435</c:v>
                </c:pt>
                <c:pt idx="425">
                  <c:v>24932.195982223253</c:v>
                </c:pt>
                <c:pt idx="426">
                  <c:v>23080.045671142449</c:v>
                </c:pt>
                <c:pt idx="427">
                  <c:v>20299.087697093641</c:v>
                </c:pt>
                <c:pt idx="428">
                  <c:v>16523.927509408401</c:v>
                </c:pt>
                <c:pt idx="429">
                  <c:v>11941.953232052472</c:v>
                </c:pt>
                <c:pt idx="430">
                  <c:v>6897.8296253211365</c:v>
                </c:pt>
                <c:pt idx="431">
                  <c:v>1682.0509968774877</c:v>
                </c:pt>
                <c:pt idx="432">
                  <c:v>-3540.8927443333268</c:v>
                </c:pt>
                <c:pt idx="433">
                  <c:v>-8694.373009728366</c:v>
                </c:pt>
                <c:pt idx="434">
                  <c:v>-13746.841688705521</c:v>
                </c:pt>
                <c:pt idx="435">
                  <c:v>-18687.875733692385</c:v>
                </c:pt>
                <c:pt idx="436">
                  <c:v>-23516.698538640532</c:v>
                </c:pt>
                <c:pt idx="437">
                  <c:v>-28236.825606946273</c:v>
                </c:pt>
                <c:pt idx="438">
                  <c:v>-32853.545103315249</c:v>
                </c:pt>
                <c:pt idx="439">
                  <c:v>-37372.71864873037</c:v>
                </c:pt>
                <c:pt idx="440">
                  <c:v>-41800.211548884807</c:v>
                </c:pt>
                <c:pt idx="441">
                  <c:v>-46141.630409691825</c:v>
                </c:pt>
                <c:pt idx="442">
                  <c:v>-50402.213475865472</c:v>
                </c:pt>
                <c:pt idx="443">
                  <c:v>-54586.797248136383</c:v>
                </c:pt>
                <c:pt idx="444">
                  <c:v>-58699.820679923512</c:v>
                </c:pt>
                <c:pt idx="445">
                  <c:v>-62745.347028530348</c:v>
                </c:pt>
                <c:pt idx="446">
                  <c:v>-66727.093023791211</c:v>
                </c:pt>
                <c:pt idx="447">
                  <c:v>-70648.460019364647</c:v>
                </c:pt>
                <c:pt idx="448">
                  <c:v>-74512.56444244078</c:v>
                </c:pt>
                <c:pt idx="449">
                  <c:v>-78322.266273946705</c:v>
                </c:pt>
                <c:pt idx="450">
                  <c:v>-82080.19504758103</c:v>
                </c:pt>
                <c:pt idx="451">
                  <c:v>-85788.773254260814</c:v>
                </c:pt>
                <c:pt idx="452">
                  <c:v>-89450.237240980277</c:v>
                </c:pt>
                <c:pt idx="453">
                  <c:v>-93066.655788171673</c:v>
                </c:pt>
                <c:pt idx="454">
                  <c:v>-96639.946586354345</c:v>
                </c:pt>
                <c:pt idx="455">
                  <c:v>-100171.89083844164</c:v>
                </c:pt>
                <c:pt idx="456">
                  <c:v>-103664.14620380838</c:v>
                </c:pt>
                <c:pt idx="457">
                  <c:v>-107118.25828261563</c:v>
                </c:pt>
                <c:pt idx="458">
                  <c:v>-110535.67081863139</c:v>
                </c:pt>
                <c:pt idx="459">
                  <c:v>-113917.73477838581</c:v>
                </c:pt>
                <c:pt idx="460">
                  <c:v>-117265.7164452335</c:v>
                </c:pt>
                <c:pt idx="461">
                  <c:v>-120580.80464933979</c:v>
                </c:pt>
                <c:pt idx="462">
                  <c:v>-123864.11723895205</c:v>
                </c:pt>
                <c:pt idx="463">
                  <c:v>-127116.70688454462</c:v>
                </c:pt>
                <c:pt idx="464">
                  <c:v>-130339.5662954125</c:v>
                </c:pt>
                <c:pt idx="465">
                  <c:v>-133533.63291786914</c:v>
                </c:pt>
                <c:pt idx="466">
                  <c:v>-136699.79317519339</c:v>
                </c:pt>
                <c:pt idx="467">
                  <c:v>-139838.88630169566</c:v>
                </c:pt>
                <c:pt idx="468">
                  <c:v>-142951.70781656765</c:v>
                </c:pt>
                <c:pt idx="469">
                  <c:v>-146039.0126773981</c:v>
                </c:pt>
                <c:pt idx="470">
                  <c:v>-149101.51814824727</c:v>
                </c:pt>
                <c:pt idx="471">
                  <c:v>-152139.90641286527</c:v>
                </c:pt>
                <c:pt idx="472">
                  <c:v>-155154.82695991237</c:v>
                </c:pt>
                <c:pt idx="473">
                  <c:v>-158146.89876381459</c:v>
                </c:pt>
                <c:pt idx="474">
                  <c:v>-161116.71228208873</c:v>
                </c:pt>
                <c:pt idx="475">
                  <c:v>-164064.83128754064</c:v>
                </c:pt>
                <c:pt idx="476">
                  <c:v>-166991.79455162431</c:v>
                </c:pt>
                <c:pt idx="477">
                  <c:v>-169898.11739340454</c:v>
                </c:pt>
                <c:pt idx="478">
                  <c:v>-172784.29310695446</c:v>
                </c:pt>
                <c:pt idx="479">
                  <c:v>-175650.79427860797</c:v>
                </c:pt>
                <c:pt idx="480">
                  <c:v>-178498.0740042509</c:v>
                </c:pt>
                <c:pt idx="481">
                  <c:v>-181326.56701574769</c:v>
                </c:pt>
                <c:pt idx="482">
                  <c:v>-184136.69072464376</c:v>
                </c:pt>
                <c:pt idx="483">
                  <c:v>-186928.84619044102</c:v>
                </c:pt>
                <c:pt idx="484">
                  <c:v>-189703.41901999825</c:v>
                </c:pt>
                <c:pt idx="485">
                  <c:v>-192460.78020394917</c:v>
                </c:pt>
                <c:pt idx="486">
                  <c:v>-195201.28689544668</c:v>
                </c:pt>
                <c:pt idx="487">
                  <c:v>-197925.28313602263</c:v>
                </c:pt>
                <c:pt idx="488">
                  <c:v>-200633.10053289033</c:v>
                </c:pt>
                <c:pt idx="489">
                  <c:v>-203325.05889160669</c:v>
                </c:pt>
                <c:pt idx="490">
                  <c:v>-206001.46680764281</c:v>
                </c:pt>
                <c:pt idx="491">
                  <c:v>-208662.6222200841</c:v>
                </c:pt>
                <c:pt idx="492">
                  <c:v>-211308.81293038742</c:v>
                </c:pt>
                <c:pt idx="493">
                  <c:v>-213940.31708885878</c:v>
                </c:pt>
                <c:pt idx="494">
                  <c:v>-216557.4036512794</c:v>
                </c:pt>
                <c:pt idx="495">
                  <c:v>-219160.33280789442</c:v>
                </c:pt>
                <c:pt idx="496">
                  <c:v>-221749.35638678758</c:v>
                </c:pt>
                <c:pt idx="497">
                  <c:v>-224324.71823349243</c:v>
                </c:pt>
                <c:pt idx="498">
                  <c:v>-226886.65456853434</c:v>
                </c:pt>
                <c:pt idx="499">
                  <c:v>-229435.39432445707</c:v>
                </c:pt>
                <c:pt idx="500">
                  <c:v>-231971.15946375937</c:v>
                </c:pt>
                <c:pt idx="501">
                  <c:v>-234494.1652790521</c:v>
                </c:pt>
                <c:pt idx="502">
                  <c:v>-237004.62067664057</c:v>
                </c:pt>
                <c:pt idx="503">
                  <c:v>-239502.72844464198</c:v>
                </c:pt>
                <c:pt idx="504">
                  <c:v>-241988.68550666058</c:v>
                </c:pt>
                <c:pt idx="505">
                  <c:v>-244462.68316196412</c:v>
                </c:pt>
                <c:pt idx="506">
                  <c:v>-246924.90731303362</c:v>
                </c:pt>
                <c:pt idx="507">
                  <c:v>-249375.53868129151</c:v>
                </c:pt>
                <c:pt idx="508">
                  <c:v>-251814.75301175422</c:v>
                </c:pt>
                <c:pt idx="509">
                  <c:v>-254242.72126729949</c:v>
                </c:pt>
                <c:pt idx="510">
                  <c:v>-256659.60981318846</c:v>
                </c:pt>
                <c:pt idx="511">
                  <c:v>-259065.58059243669</c:v>
                </c:pt>
                <c:pt idx="512">
                  <c:v>-261460.79129258523</c:v>
                </c:pt>
                <c:pt idx="513">
                  <c:v>-263845.39550438465</c:v>
                </c:pt>
                <c:pt idx="514">
                  <c:v>-266219.54287286865</c:v>
                </c:pt>
                <c:pt idx="515">
                  <c:v>-268583.37924126087</c:v>
                </c:pt>
                <c:pt idx="516">
                  <c:v>-270937.04678812873</c:v>
                </c:pt>
                <c:pt idx="517">
                  <c:v>-273280.68415816937</c:v>
                </c:pt>
                <c:pt idx="518">
                  <c:v>-275614.42658698792</c:v>
                </c:pt>
                <c:pt idx="519">
                  <c:v>-277938.40602020326</c:v>
                </c:pt>
                <c:pt idx="520">
                  <c:v>-280252.75122719572</c:v>
                </c:pt>
                <c:pt idx="521">
                  <c:v>-282557.58790978976</c:v>
                </c:pt>
                <c:pt idx="522">
                  <c:v>-284853.03880614619</c:v>
                </c:pt>
                <c:pt idx="523">
                  <c:v>-287139.22379012173</c:v>
                </c:pt>
                <c:pt idx="524">
                  <c:v>-289416.25996633567</c:v>
                </c:pt>
                <c:pt idx="525">
                  <c:v>-291684.26176117029</c:v>
                </c:pt>
                <c:pt idx="526">
                  <c:v>-293943.34100991685</c:v>
                </c:pt>
                <c:pt idx="527">
                  <c:v>-296193.6070402661</c:v>
                </c:pt>
                <c:pt idx="528">
                  <c:v>-298435.16675232974</c:v>
                </c:pt>
                <c:pt idx="529">
                  <c:v>-300668.12469536904</c:v>
                </c:pt>
                <c:pt idx="530">
                  <c:v>-302892.58314139559</c:v>
                </c:pt>
                <c:pt idx="531">
                  <c:v>-305108.64215579967</c:v>
                </c:pt>
                <c:pt idx="532">
                  <c:v>-307316.39966515242</c:v>
                </c:pt>
                <c:pt idx="533">
                  <c:v>-309515.95152231987</c:v>
                </c:pt>
                <c:pt idx="534">
                  <c:v>-311707.39156901924</c:v>
                </c:pt>
                <c:pt idx="535">
                  <c:v>-313890.81169593905</c:v>
                </c:pt>
                <c:pt idx="536">
                  <c:v>-316066.30190053978</c:v>
                </c:pt>
                <c:pt idx="537">
                  <c:v>-318233.95034264377</c:v>
                </c:pt>
                <c:pt idx="538">
                  <c:v>-320393.84339791769</c:v>
                </c:pt>
                <c:pt idx="539">
                  <c:v>-322546.06570934481</c:v>
                </c:pt>
                <c:pt idx="540">
                  <c:v>-324690.70023677987</c:v>
                </c:pt>
                <c:pt idx="541">
                  <c:v>-326827.8283046732</c:v>
                </c:pt>
                <c:pt idx="542">
                  <c:v>-328957.52964804653</c:v>
                </c:pt>
                <c:pt idx="543">
                  <c:v>-331079.88245679979</c:v>
                </c:pt>
                <c:pt idx="544">
                  <c:v>-333194.96341842116</c:v>
                </c:pt>
                <c:pt idx="545">
                  <c:v>-335302.8477591722</c:v>
                </c:pt>
                <c:pt idx="546">
                  <c:v>-337403.60928381392</c:v>
                </c:pt>
                <c:pt idx="547">
                  <c:v>-339497.32041393634</c:v>
                </c:pt>
                <c:pt idx="548">
                  <c:v>-341584.05222495296</c:v>
                </c:pt>
                <c:pt idx="549">
                  <c:v>-343663.87448181561</c:v>
                </c:pt>
                <c:pt idx="550">
                  <c:v>-345736.85567350406</c:v>
                </c:pt>
                <c:pt idx="551">
                  <c:v>-347803.06304634252</c:v>
                </c:pt>
                <c:pt idx="552">
                  <c:v>-349862.56263619068</c:v>
                </c:pt>
                <c:pt idx="553">
                  <c:v>-351915.41929955664</c:v>
                </c:pt>
                <c:pt idx="554">
                  <c:v>-353961.69674367539</c:v>
                </c:pt>
                <c:pt idx="555">
                  <c:v>-356001.45755559497</c:v>
                </c:pt>
                <c:pt idx="556">
                  <c:v>-358034.76323031029</c:v>
                </c:pt>
                <c:pt idx="557">
                  <c:v>-360061.67419798305</c:v>
                </c:pt>
                <c:pt idx="558">
                  <c:v>-362082.24985028367</c:v>
                </c:pt>
                <c:pt idx="559">
                  <c:v>-364096.54856588983</c:v>
                </c:pt>
                <c:pt idx="560">
                  <c:v>-366104.62773517519</c:v>
                </c:pt>
                <c:pt idx="561">
                  <c:v>-368106.54378411907</c:v>
                </c:pt>
                <c:pt idx="562">
                  <c:v>-370102.35219746747</c:v>
                </c:pt>
                <c:pt idx="563">
                  <c:v>-372092.1075411744</c:v>
                </c:pt>
                <c:pt idx="564">
                  <c:v>-374075.86348415003</c:v>
                </c:pt>
                <c:pt idx="565">
                  <c:v>-376053.67281934299</c:v>
                </c:pt>
                <c:pt idx="566">
                  <c:v>-378025.58748418052</c:v>
                </c:pt>
                <c:pt idx="567">
                  <c:v>-379991.65858039161</c:v>
                </c:pt>
                <c:pt idx="568">
                  <c:v>-381951.93639323505</c:v>
                </c:pt>
                <c:pt idx="569">
                  <c:v>-383906.47041015467</c:v>
                </c:pt>
                <c:pt idx="570">
                  <c:v>-385855.30933888216</c:v>
                </c:pt>
                <c:pt idx="571">
                  <c:v>-387798.50112500862</c:v>
                </c:pt>
                <c:pt idx="572">
                  <c:v>-389736.09296904237</c:v>
                </c:pt>
                <c:pt idx="573">
                  <c:v>-391668.13134297275</c:v>
                </c:pt>
                <c:pt idx="574">
                  <c:v>-393594.6620063564</c:v>
                </c:pt>
                <c:pt idx="575">
                  <c:v>-395515.73002194404</c:v>
                </c:pt>
                <c:pt idx="576">
                  <c:v>-397431.37977086229</c:v>
                </c:pt>
                <c:pt idx="577">
                  <c:v>-399341.65496736742</c:v>
                </c:pt>
                <c:pt idx="578">
                  <c:v>-401246.59867318533</c:v>
                </c:pt>
                <c:pt idx="579">
                  <c:v>-403146.25331145147</c:v>
                </c:pt>
                <c:pt idx="580">
                  <c:v>-405040.66068026505</c:v>
                </c:pt>
                <c:pt idx="581">
                  <c:v>-406929.86196587048</c:v>
                </c:pt>
                <c:pt idx="582">
                  <c:v>-408813.89775547828</c:v>
                </c:pt>
                <c:pt idx="583">
                  <c:v>-410692.80804973783</c:v>
                </c:pt>
                <c:pt idx="584">
                  <c:v>-412566.63227487344</c:v>
                </c:pt>
                <c:pt idx="585">
                  <c:v>-414435.40929449478</c:v>
                </c:pt>
                <c:pt idx="586">
                  <c:v>-416299.17742109275</c:v>
                </c:pt>
                <c:pt idx="587">
                  <c:v>-418157.97442723025</c:v>
                </c:pt>
                <c:pt idx="588">
                  <c:v>-420011.83755643904</c:v>
                </c:pt>
                <c:pt idx="589">
                  <c:v>-421860.80353383062</c:v>
                </c:pt>
                <c:pt idx="590">
                  <c:v>-423704.90857643163</c:v>
                </c:pt>
                <c:pt idx="591">
                  <c:v>-425544.18840325199</c:v>
                </c:pt>
                <c:pt idx="592">
                  <c:v>-427378.67824509402</c:v>
                </c:pt>
                <c:pt idx="593">
                  <c:v>-429208.41285411094</c:v>
                </c:pt>
                <c:pt idx="594">
                  <c:v>-431033.42651312298</c:v>
                </c:pt>
                <c:pt idx="595">
                  <c:v>-432853.75304469804</c:v>
                </c:pt>
                <c:pt idx="596">
                  <c:v>-434669.42582000419</c:v>
                </c:pt>
                <c:pt idx="597">
                  <c:v>-436480.47776744177</c:v>
                </c:pt>
                <c:pt idx="598">
                  <c:v>-438286.94138106087</c:v>
                </c:pt>
                <c:pt idx="599">
                  <c:v>-440088.8487287715</c:v>
                </c:pt>
                <c:pt idx="600">
                  <c:v>-441886.23146035202</c:v>
                </c:pt>
                <c:pt idx="601">
                  <c:v>-443679.12081526266</c:v>
                </c:pt>
                <c:pt idx="602">
                  <c:v>-445467.54763026937</c:v>
                </c:pt>
                <c:pt idx="603">
                  <c:v>-447251.54234688374</c:v>
                </c:pt>
                <c:pt idx="604">
                  <c:v>-449031.13501862471</c:v>
                </c:pt>
                <c:pt idx="605">
                  <c:v>-450806.35531810689</c:v>
                </c:pt>
                <c:pt idx="606">
                  <c:v>-452577.23254396109</c:v>
                </c:pt>
                <c:pt idx="607">
                  <c:v>-454343.79562759149</c:v>
                </c:pt>
                <c:pt idx="608">
                  <c:v>-456106.07313977415</c:v>
                </c:pt>
                <c:pt idx="609">
                  <c:v>-457864.09329710179</c:v>
                </c:pt>
                <c:pt idx="610">
                  <c:v>-459617.88396827906</c:v>
                </c:pt>
                <c:pt idx="611">
                  <c:v>-461367.47268027253</c:v>
                </c:pt>
                <c:pt idx="612">
                  <c:v>-463112.88662431936</c:v>
                </c:pt>
                <c:pt idx="613">
                  <c:v>-464854.15266179887</c:v>
                </c:pt>
                <c:pt idx="614">
                  <c:v>-466591.29732997104</c:v>
                </c:pt>
                <c:pt idx="615">
                  <c:v>-468324.34684758482</c:v>
                </c:pt>
                <c:pt idx="616">
                  <c:v>-470053.32712036092</c:v>
                </c:pt>
                <c:pt idx="617">
                  <c:v>-471778.26374635182</c:v>
                </c:pt>
                <c:pt idx="618">
                  <c:v>-473499.1820211825</c:v>
                </c:pt>
                <c:pt idx="619">
                  <c:v>-475216.10694317543</c:v>
                </c:pt>
                <c:pt idx="620">
                  <c:v>-476929.06321836263</c:v>
                </c:pt>
                <c:pt idx="621">
                  <c:v>-478638.075265388</c:v>
                </c:pt>
                <c:pt idx="622">
                  <c:v>-480343.16722030268</c:v>
                </c:pt>
                <c:pt idx="623">
                  <c:v>-482044.36294125696</c:v>
                </c:pt>
                <c:pt idx="624">
                  <c:v>-483741.68601309031</c:v>
                </c:pt>
                <c:pt idx="625">
                  <c:v>-485435.1597518234</c:v>
                </c:pt>
                <c:pt idx="626">
                  <c:v>-487124.80720905418</c:v>
                </c:pt>
                <c:pt idx="627">
                  <c:v>-488810.65117626026</c:v>
                </c:pt>
                <c:pt idx="628">
                  <c:v>-490492.7141890105</c:v>
                </c:pt>
                <c:pt idx="629">
                  <c:v>-492171.01853108825</c:v>
                </c:pt>
                <c:pt idx="630">
                  <c:v>-493845.58623852773</c:v>
                </c:pt>
                <c:pt idx="631">
                  <c:v>-495516.43910356675</c:v>
                </c:pt>
                <c:pt idx="632">
                  <c:v>-497183.59867851745</c:v>
                </c:pt>
                <c:pt idx="633">
                  <c:v>-498847.0862795568</c:v>
                </c:pt>
                <c:pt idx="634">
                  <c:v>-500506.92299043981</c:v>
                </c:pt>
                <c:pt idx="635">
                  <c:v>-502163.12966613629</c:v>
                </c:pt>
                <c:pt idx="636">
                  <c:v>-503815.72693639412</c:v>
                </c:pt>
                <c:pt idx="637">
                  <c:v>-505464.73520923028</c:v>
                </c:pt>
                <c:pt idx="638">
                  <c:v>-507110.17467435129</c:v>
                </c:pt>
                <c:pt idx="639">
                  <c:v>-508752.06530650525</c:v>
                </c:pt>
                <c:pt idx="640">
                  <c:v>-510390.42686876695</c:v>
                </c:pt>
                <c:pt idx="641">
                  <c:v>-512025.2789157579</c:v>
                </c:pt>
                <c:pt idx="642">
                  <c:v>-513656.6407968023</c:v>
                </c:pt>
                <c:pt idx="643">
                  <c:v>-515284.53165902104</c:v>
                </c:pt>
                <c:pt idx="644">
                  <c:v>-516908.97045036533</c:v>
                </c:pt>
                <c:pt idx="645">
                  <c:v>-518529.97592259082</c:v>
                </c:pt>
                <c:pt idx="646">
                  <c:v>-520147.56663417415</c:v>
                </c:pt>
                <c:pt idx="647">
                  <c:v>-521761.76095317298</c:v>
                </c:pt>
                <c:pt idx="648">
                  <c:v>-523372.5770600313</c:v>
                </c:pt>
                <c:pt idx="649">
                  <c:v>-524980.03295033041</c:v>
                </c:pt>
                <c:pt idx="650">
                  <c:v>-526584.14643748826</c:v>
                </c:pt>
                <c:pt idx="651">
                  <c:v>-528184.93515540671</c:v>
                </c:pt>
                <c:pt idx="652">
                  <c:v>-529782.41656106932</c:v>
                </c:pt>
                <c:pt idx="653">
                  <c:v>-531376.6079370901</c:v>
                </c:pt>
                <c:pt idx="654">
                  <c:v>-532967.52639421425</c:v>
                </c:pt>
                <c:pt idx="655">
                  <c:v>-534555.18887377274</c:v>
                </c:pt>
                <c:pt idx="656">
                  <c:v>-536139.61215009086</c:v>
                </c:pt>
                <c:pt idx="657">
                  <c:v>-537720.81283285224</c:v>
                </c:pt>
                <c:pt idx="658">
                  <c:v>-539298.80736941984</c:v>
                </c:pt>
                <c:pt idx="659">
                  <c:v>-540873.61204711383</c:v>
                </c:pt>
                <c:pt idx="660">
                  <c:v>-542445.24299544794</c:v>
                </c:pt>
                <c:pt idx="661">
                  <c:v>-544013.71618832566</c:v>
                </c:pt>
                <c:pt idx="662">
                  <c:v>-545579.04744619585</c:v>
                </c:pt>
                <c:pt idx="663">
                  <c:v>-547141.2524381706</c:v>
                </c:pt>
                <c:pt idx="664">
                  <c:v>-548700.3466841036</c:v>
                </c:pt>
                <c:pt idx="665">
                  <c:v>-550256.34555663308</c:v>
                </c:pt>
                <c:pt idx="666">
                  <c:v>-551809.26428318664</c:v>
                </c:pt>
                <c:pt idx="667">
                  <c:v>-553359.11794795212</c:v>
                </c:pt>
                <c:pt idx="668">
                  <c:v>-554905.92149381235</c:v>
                </c:pt>
                <c:pt idx="669">
                  <c:v>-556449.68972424709</c:v>
                </c:pt>
                <c:pt idx="670">
                  <c:v>-557990.43730520038</c:v>
                </c:pt>
                <c:pt idx="671">
                  <c:v>-559528.17876691662</c:v>
                </c:pt>
                <c:pt idx="672">
                  <c:v>-561062.92850574362</c:v>
                </c:pt>
                <c:pt idx="673">
                  <c:v>-562594.70078590547</c:v>
                </c:pt>
                <c:pt idx="674">
                  <c:v>-564123.50974124402</c:v>
                </c:pt>
                <c:pt idx="675">
                  <c:v>-565649.36937693099</c:v>
                </c:pt>
                <c:pt idx="676">
                  <c:v>-567172.29357115086</c:v>
                </c:pt>
                <c:pt idx="677">
                  <c:v>-568692.29607675434</c:v>
                </c:pt>
                <c:pt idx="678">
                  <c:v>-570209.39052288525</c:v>
                </c:pt>
                <c:pt idx="679">
                  <c:v>-571723.59041657811</c:v>
                </c:pt>
                <c:pt idx="680">
                  <c:v>-573234.90914433065</c:v>
                </c:pt>
                <c:pt idx="681">
                  <c:v>-574743.35997364856</c:v>
                </c:pt>
                <c:pt idx="682">
                  <c:v>-576248.95605456561</c:v>
                </c:pt>
                <c:pt idx="683">
                  <c:v>-577751.71042113728</c:v>
                </c:pt>
                <c:pt idx="684">
                  <c:v>-579251.63599291071</c:v>
                </c:pt>
                <c:pt idx="685">
                  <c:v>-580748.74557636993</c:v>
                </c:pt>
                <c:pt idx="686">
                  <c:v>-582243.05186635721</c:v>
                </c:pt>
                <c:pt idx="687">
                  <c:v>-583734.56744747167</c:v>
                </c:pt>
                <c:pt idx="688">
                  <c:v>-585223.30479544448</c:v>
                </c:pt>
                <c:pt idx="689">
                  <c:v>-586709.27627849206</c:v>
                </c:pt>
                <c:pt idx="690">
                  <c:v>-588192.49415864726</c:v>
                </c:pt>
                <c:pt idx="691">
                  <c:v>-589672.97059306921</c:v>
                </c:pt>
                <c:pt idx="692">
                  <c:v>-591150.71763533214</c:v>
                </c:pt>
                <c:pt idx="693">
                  <c:v>-592625.74723669305</c:v>
                </c:pt>
                <c:pt idx="694">
                  <c:v>-594098.0712473403</c:v>
                </c:pt>
                <c:pt idx="695">
                  <c:v>-595567.70141762088</c:v>
                </c:pt>
                <c:pt idx="696">
                  <c:v>-597034.64939924958</c:v>
                </c:pt>
                <c:pt idx="697">
                  <c:v>-598498.92674649844</c:v>
                </c:pt>
                <c:pt idx="698">
                  <c:v>-599960.54491736752</c:v>
                </c:pt>
                <c:pt idx="699">
                  <c:v>-601419.51527473773</c:v>
                </c:pt>
                <c:pt idx="700">
                  <c:v>-602875.84908750502</c:v>
                </c:pt>
                <c:pt idx="701">
                  <c:v>-604329.55753169768</c:v>
                </c:pt>
                <c:pt idx="702">
                  <c:v>-605780.65169157588</c:v>
                </c:pt>
                <c:pt idx="703">
                  <c:v>-607229.14256071439</c:v>
                </c:pt>
                <c:pt idx="704">
                  <c:v>-608675.04104306863</c:v>
                </c:pt>
                <c:pt idx="705">
                  <c:v>-610118.35795402469</c:v>
                </c:pt>
                <c:pt idx="706">
                  <c:v>-611559.10402143234</c:v>
                </c:pt>
                <c:pt idx="707">
                  <c:v>-612997.28988662397</c:v>
                </c:pt>
                <c:pt idx="708">
                  <c:v>-614432.9261054165</c:v>
                </c:pt>
                <c:pt idx="709">
                  <c:v>-615866.02314909908</c:v>
                </c:pt>
                <c:pt idx="710">
                  <c:v>-617296.59140540566</c:v>
                </c:pt>
                <c:pt idx="711">
                  <c:v>-618724.64117947291</c:v>
                </c:pt>
                <c:pt idx="712">
                  <c:v>-620150.18269478402</c:v>
                </c:pt>
                <c:pt idx="713">
                  <c:v>-621573.22609409841</c:v>
                </c:pt>
                <c:pt idx="714">
                  <c:v>-622993.78144036757</c:v>
                </c:pt>
                <c:pt idx="715">
                  <c:v>-624411.85871763714</c:v>
                </c:pt>
                <c:pt idx="716">
                  <c:v>-625827.46783193632</c:v>
                </c:pt>
                <c:pt idx="717">
                  <c:v>-627240.61861215357</c:v>
                </c:pt>
                <c:pt idx="718">
                  <c:v>-628651.32081089984</c:v>
                </c:pt>
                <c:pt idx="719">
                  <c:v>-630059.58410535916</c:v>
                </c:pt>
                <c:pt idx="720">
                  <c:v>-631465.41809812677</c:v>
                </c:pt>
                <c:pt idx="721">
                  <c:v>-632868.83231803554</c:v>
                </c:pt>
                <c:pt idx="722">
                  <c:v>-634269.83622096945</c:v>
                </c:pt>
                <c:pt idx="723">
                  <c:v>-635668.43919066666</c:v>
                </c:pt>
                <c:pt idx="724">
                  <c:v>-637064.65053951018</c:v>
                </c:pt>
                <c:pt idx="725">
                  <c:v>-638458.47950930754</c:v>
                </c:pt>
                <c:pt idx="726">
                  <c:v>-639849.93527205917</c:v>
                </c:pt>
                <c:pt idx="727">
                  <c:v>-641239.02693071624</c:v>
                </c:pt>
                <c:pt idx="728">
                  <c:v>-642625.76351992763</c:v>
                </c:pt>
                <c:pt idx="729">
                  <c:v>-644010.15400677593</c:v>
                </c:pt>
                <c:pt idx="730">
                  <c:v>-645392.20729150367</c:v>
                </c:pt>
                <c:pt idx="731">
                  <c:v>-646771.93220822921</c:v>
                </c:pt>
                <c:pt idx="732">
                  <c:v>-648149.33752565272</c:v>
                </c:pt>
                <c:pt idx="733">
                  <c:v>-649524.43194775179</c:v>
                </c:pt>
                <c:pt idx="734">
                  <c:v>-650897.22411446844</c:v>
                </c:pt>
                <c:pt idx="735">
                  <c:v>-652267.72260238521</c:v>
                </c:pt>
                <c:pt idx="736">
                  <c:v>-653635.9359253936</c:v>
                </c:pt>
                <c:pt idx="737">
                  <c:v>-655001.87253535178</c:v>
                </c:pt>
                <c:pt idx="738">
                  <c:v>-656365.54082273412</c:v>
                </c:pt>
                <c:pt idx="739">
                  <c:v>-657726.94911727216</c:v>
                </c:pt>
                <c:pt idx="740">
                  <c:v>-659086.10568858555</c:v>
                </c:pt>
                <c:pt idx="741">
                  <c:v>-660443.01874680619</c:v>
                </c:pt>
                <c:pt idx="742">
                  <c:v>-661797.69644319254</c:v>
                </c:pt>
                <c:pt idx="743">
                  <c:v>-663150.14687073603</c:v>
                </c:pt>
                <c:pt idx="744">
                  <c:v>-664500.37806475966</c:v>
                </c:pt>
                <c:pt idx="745">
                  <c:v>-665848.39800350857</c:v>
                </c:pt>
                <c:pt idx="746">
                  <c:v>-667194.21460873215</c:v>
                </c:pt>
                <c:pt idx="747">
                  <c:v>-668537.83574625873</c:v>
                </c:pt>
                <c:pt idx="748">
                  <c:v>-669879.26922656281</c:v>
                </c:pt>
                <c:pt idx="749">
                  <c:v>-671218.52280532499</c:v>
                </c:pt>
                <c:pt idx="750">
                  <c:v>-672555.60418398364</c:v>
                </c:pt>
                <c:pt idx="751">
                  <c:v>-673890.52101028012</c:v>
                </c:pt>
                <c:pt idx="752">
                  <c:v>-675223.28087879671</c:v>
                </c:pt>
                <c:pt idx="753">
                  <c:v>-676553.8913314871</c:v>
                </c:pt>
                <c:pt idx="754">
                  <c:v>-677882.35985820054</c:v>
                </c:pt>
                <c:pt idx="755">
                  <c:v>-679208.693897199</c:v>
                </c:pt>
                <c:pt idx="756">
                  <c:v>-680532.90083566715</c:v>
                </c:pt>
                <c:pt idx="757">
                  <c:v>-681854.98801021662</c:v>
                </c:pt>
                <c:pt idx="758">
                  <c:v>-683174.96270738286</c:v>
                </c:pt>
                <c:pt idx="759">
                  <c:v>-684492.83216411655</c:v>
                </c:pt>
                <c:pt idx="760">
                  <c:v>-685808.60356826801</c:v>
                </c:pt>
                <c:pt idx="761">
                  <c:v>-687122.28405906551</c:v>
                </c:pt>
                <c:pt idx="762">
                  <c:v>-688433.88072758797</c:v>
                </c:pt>
                <c:pt idx="763">
                  <c:v>-689743.40061723138</c:v>
                </c:pt>
                <c:pt idx="764">
                  <c:v>-691050.85072416917</c:v>
                </c:pt>
                <c:pt idx="765">
                  <c:v>-692356.23799780675</c:v>
                </c:pt>
                <c:pt idx="766">
                  <c:v>-693659.56934123079</c:v>
                </c:pt>
                <c:pt idx="767">
                  <c:v>-694960.85161165276</c:v>
                </c:pt>
                <c:pt idx="768">
                  <c:v>-696260.09162084607</c:v>
                </c:pt>
                <c:pt idx="769">
                  <c:v>-697557.29613557924</c:v>
                </c:pt>
                <c:pt idx="770">
                  <c:v>-698852.47187804256</c:v>
                </c:pt>
                <c:pt idx="771">
                  <c:v>-700145.62552626966</c:v>
                </c:pt>
                <c:pt idx="772">
                  <c:v>-701436.76371455437</c:v>
                </c:pt>
                <c:pt idx="773">
                  <c:v>-702725.89303386188</c:v>
                </c:pt>
                <c:pt idx="774">
                  <c:v>-704013.02003223519</c:v>
                </c:pt>
                <c:pt idx="775">
                  <c:v>-705298.15121519659</c:v>
                </c:pt>
                <c:pt idx="776">
                  <c:v>-706581.29304614372</c:v>
                </c:pt>
                <c:pt idx="777">
                  <c:v>-707862.45194674167</c:v>
                </c:pt>
                <c:pt idx="778">
                  <c:v>-709141.63429730979</c:v>
                </c:pt>
                <c:pt idx="779">
                  <c:v>-710418.8464372037</c:v>
                </c:pt>
                <c:pt idx="780">
                  <c:v>-711694.094665193</c:v>
                </c:pt>
                <c:pt idx="781">
                  <c:v>-712967.38523983455</c:v>
                </c:pt>
                <c:pt idx="782">
                  <c:v>-714238.72437984077</c:v>
                </c:pt>
                <c:pt idx="783">
                  <c:v>-715508.11826444382</c:v>
                </c:pt>
                <c:pt idx="784">
                  <c:v>-716775.57303375553</c:v>
                </c:pt>
                <c:pt idx="785">
                  <c:v>-718041.09478912305</c:v>
                </c:pt>
                <c:pt idx="786">
                  <c:v>-719304.68959347997</c:v>
                </c:pt>
                <c:pt idx="787">
                  <c:v>-720566.36347169371</c:v>
                </c:pt>
                <c:pt idx="788">
                  <c:v>-721826.12241090857</c:v>
                </c:pt>
                <c:pt idx="789">
                  <c:v>-723083.97236088431</c:v>
                </c:pt>
                <c:pt idx="790">
                  <c:v>-724339.91923433205</c:v>
                </c:pt>
                <c:pt idx="791">
                  <c:v>-725593.96890724474</c:v>
                </c:pt>
                <c:pt idx="792">
                  <c:v>-726846.1272192247</c:v>
                </c:pt>
                <c:pt idx="793">
                  <c:v>-728096.39997380704</c:v>
                </c:pt>
                <c:pt idx="794">
                  <c:v>-729344.79293877946</c:v>
                </c:pt>
                <c:pt idx="795">
                  <c:v>-730591.31184649805</c:v>
                </c:pt>
                <c:pt idx="796">
                  <c:v>-731835.96239420015</c:v>
                </c:pt>
                <c:pt idx="797">
                  <c:v>-733078.75024431245</c:v>
                </c:pt>
                <c:pt idx="798">
                  <c:v>-734319.68102475675</c:v>
                </c:pt>
                <c:pt idx="799">
                  <c:v>-735558.76032925141</c:v>
                </c:pt>
                <c:pt idx="800">
                  <c:v>-736795.99371760979</c:v>
                </c:pt>
                <c:pt idx="801">
                  <c:v>-738031.38671603508</c:v>
                </c:pt>
                <c:pt idx="802">
                  <c:v>-739264.94481741183</c:v>
                </c:pt>
                <c:pt idx="803">
                  <c:v>-740496.67348159431</c:v>
                </c:pt>
                <c:pt idx="804">
                  <c:v>-741726.57813569135</c:v>
                </c:pt>
                <c:pt idx="805">
                  <c:v>-742954.664174348</c:v>
                </c:pt>
                <c:pt idx="806">
                  <c:v>-744180.93696002453</c:v>
                </c:pt>
                <c:pt idx="807">
                  <c:v>-745405.40182327153</c:v>
                </c:pt>
                <c:pt idx="808">
                  <c:v>-746628.06406300259</c:v>
                </c:pt>
                <c:pt idx="809">
                  <c:v>-747848.92894676351</c:v>
                </c:pt>
                <c:pt idx="810">
                  <c:v>-749068.00171099859</c:v>
                </c:pt>
                <c:pt idx="811">
                  <c:v>-750285.28756131441</c:v>
                </c:pt>
                <c:pt idx="812">
                  <c:v>-751500.79167273978</c:v>
                </c:pt>
                <c:pt idx="813">
                  <c:v>-752714.51918998396</c:v>
                </c:pt>
                <c:pt idx="814">
                  <c:v>-753926.47522769088</c:v>
                </c:pt>
                <c:pt idx="815">
                  <c:v>-755136.66487069172</c:v>
                </c:pt>
                <c:pt idx="816">
                  <c:v>-756345.09317425371</c:v>
                </c:pt>
                <c:pt idx="817">
                  <c:v>-757551.76516432664</c:v>
                </c:pt>
                <c:pt idx="818">
                  <c:v>-758756.68583778723</c:v>
                </c:pt>
                <c:pt idx="819">
                  <c:v>-759959.86016267957</c:v>
                </c:pt>
                <c:pt idx="820">
                  <c:v>-761161.29307845421</c:v>
                </c:pt>
                <c:pt idx="821">
                  <c:v>-762360.98949620395</c:v>
                </c:pt>
                <c:pt idx="822">
                  <c:v>-763558.95429889718</c:v>
                </c:pt>
                <c:pt idx="823">
                  <c:v>-764755.19234160916</c:v>
                </c:pt>
                <c:pt idx="824">
                  <c:v>-765949.70845175011</c:v>
                </c:pt>
                <c:pt idx="825">
                  <c:v>-767142.50742929138</c:v>
                </c:pt>
                <c:pt idx="826">
                  <c:v>-768333.59404698911</c:v>
                </c:pt>
                <c:pt idx="827">
                  <c:v>-769522.97305060539</c:v>
                </c:pt>
                <c:pt idx="828">
                  <c:v>-770710.64915912692</c:v>
                </c:pt>
                <c:pt idx="829">
                  <c:v>-771896.62706498208</c:v>
                </c:pt>
                <c:pt idx="830">
                  <c:v>-773080.91143425461</c:v>
                </c:pt>
                <c:pt idx="831">
                  <c:v>-774263.50690689578</c:v>
                </c:pt>
                <c:pt idx="832">
                  <c:v>-775444.41809693468</c:v>
                </c:pt>
                <c:pt idx="833">
                  <c:v>-776623.64959268481</c:v>
                </c:pt>
                <c:pt idx="834">
                  <c:v>-777801.20595695032</c:v>
                </c:pt>
                <c:pt idx="835">
                  <c:v>-778977.09172722907</c:v>
                </c:pt>
                <c:pt idx="836">
                  <c:v>-780151.31141591351</c:v>
                </c:pt>
                <c:pt idx="837">
                  <c:v>-781323.86951048987</c:v>
                </c:pt>
                <c:pt idx="838">
                  <c:v>-782494.77047373517</c:v>
                </c:pt>
                <c:pt idx="839">
                  <c:v>-783664.01874391234</c:v>
                </c:pt>
                <c:pt idx="840">
                  <c:v>-784831.61873496266</c:v>
                </c:pt>
                <c:pt idx="841">
                  <c:v>-785997.57483669743</c:v>
                </c:pt>
                <c:pt idx="842">
                  <c:v>-787161.89141498634</c:v>
                </c:pt>
                <c:pt idx="843">
                  <c:v>-788324.57281194488</c:v>
                </c:pt>
                <c:pt idx="844">
                  <c:v>-789485.62334611919</c:v>
                </c:pt>
                <c:pt idx="845">
                  <c:v>-790645.04731266969</c:v>
                </c:pt>
                <c:pt idx="846">
                  <c:v>-791802.84898355219</c:v>
                </c:pt>
                <c:pt idx="847">
                  <c:v>-792959.03260769765</c:v>
                </c:pt>
                <c:pt idx="848">
                  <c:v>-794113.60241118982</c:v>
                </c:pt>
                <c:pt idx="849">
                  <c:v>-795266.56259744114</c:v>
                </c:pt>
                <c:pt idx="850">
                  <c:v>-796417.91734736704</c:v>
                </c:pt>
                <c:pt idx="851">
                  <c:v>-797567.67081955832</c:v>
                </c:pt>
                <c:pt idx="852">
                  <c:v>-798715.82715045183</c:v>
                </c:pt>
                <c:pt idx="853">
                  <c:v>-799862.39045449952</c:v>
                </c:pt>
                <c:pt idx="854">
                  <c:v>-801007.36482433567</c:v>
                </c:pt>
                <c:pt idx="855">
                  <c:v>-802150.75433094252</c:v>
                </c:pt>
                <c:pt idx="856">
                  <c:v>-803292.56302381435</c:v>
                </c:pt>
                <c:pt idx="857">
                  <c:v>-804432.79493112001</c:v>
                </c:pt>
                <c:pt idx="858">
                  <c:v>-805571.45405986323</c:v>
                </c:pt>
                <c:pt idx="859">
                  <c:v>-806708.54439604224</c:v>
                </c:pt>
                <c:pt idx="860">
                  <c:v>-807844.06990480737</c:v>
                </c:pt>
                <c:pt idx="861">
                  <c:v>-808978.03453061671</c:v>
                </c:pt>
                <c:pt idx="862">
                  <c:v>-810110.44219739106</c:v>
                </c:pt>
                <c:pt idx="863">
                  <c:v>-811241.29680866702</c:v>
                </c:pt>
                <c:pt idx="864">
                  <c:v>-812370.60224774806</c:v>
                </c:pt>
                <c:pt idx="865">
                  <c:v>-813498.362377855</c:v>
                </c:pt>
                <c:pt idx="866">
                  <c:v>-814624.58104227472</c:v>
                </c:pt>
                <c:pt idx="867">
                  <c:v>-815749.26206450688</c:v>
                </c:pt>
                <c:pt idx="868">
                  <c:v>-816872.40924841003</c:v>
                </c:pt>
                <c:pt idx="869">
                  <c:v>-817994.02637834591</c:v>
                </c:pt>
                <c:pt idx="870">
                  <c:v>-819114.11721932213</c:v>
                </c:pt>
                <c:pt idx="871">
                  <c:v>-820232.68551713426</c:v>
                </c:pt>
                <c:pt idx="872">
                  <c:v>-821349.7349985058</c:v>
                </c:pt>
                <c:pt idx="873">
                  <c:v>-822465.26937122678</c:v>
                </c:pt>
                <c:pt idx="874">
                  <c:v>-823579.29232429212</c:v>
                </c:pt>
                <c:pt idx="875">
                  <c:v>-824691.807528037</c:v>
                </c:pt>
                <c:pt idx="876">
                  <c:v>-825802.81863427232</c:v>
                </c:pt>
                <c:pt idx="877">
                  <c:v>-826912.32927641855</c:v>
                </c:pt>
                <c:pt idx="878">
                  <c:v>-828020.34306963766</c:v>
                </c:pt>
                <c:pt idx="879">
                  <c:v>-829126.86361096485</c:v>
                </c:pt>
                <c:pt idx="880">
                  <c:v>-830231.89447943796</c:v>
                </c:pt>
                <c:pt idx="881">
                  <c:v>-831335.43923622672</c:v>
                </c:pt>
                <c:pt idx="882">
                  <c:v>-832437.50142475998</c:v>
                </c:pt>
                <c:pt idx="883">
                  <c:v>-833538.08457085199</c:v>
                </c:pt>
                <c:pt idx="884">
                  <c:v>-834637.19218282774</c:v>
                </c:pt>
                <c:pt idx="885">
                  <c:v>-835734.8277516471</c:v>
                </c:pt>
                <c:pt idx="886">
                  <c:v>-836830.9947510272</c:v>
                </c:pt>
                <c:pt idx="887">
                  <c:v>-837925.69663756469</c:v>
                </c:pt>
                <c:pt idx="888">
                  <c:v>-839018.93685085571</c:v>
                </c:pt>
                <c:pt idx="889">
                  <c:v>-840110.71881361597</c:v>
                </c:pt>
                <c:pt idx="890">
                  <c:v>-841201.04593179864</c:v>
                </c:pt>
                <c:pt idx="891">
                  <c:v>-842289.92159471195</c:v>
                </c:pt>
                <c:pt idx="892">
                  <c:v>-843377.34917513537</c:v>
                </c:pt>
                <c:pt idx="893">
                  <c:v>-844463.33202943474</c:v>
                </c:pt>
                <c:pt idx="894">
                  <c:v>-845547.8734976761</c:v>
                </c:pt>
                <c:pt idx="895">
                  <c:v>-846630.97690373915</c:v>
                </c:pt>
                <c:pt idx="896">
                  <c:v>-847712.64555542904</c:v>
                </c:pt>
                <c:pt idx="897">
                  <c:v>-848792.88274458773</c:v>
                </c:pt>
                <c:pt idx="898">
                  <c:v>-849871.69174720347</c:v>
                </c:pt>
                <c:pt idx="899">
                  <c:v>-850949.07582352008</c:v>
                </c:pt>
                <c:pt idx="900">
                  <c:v>-852025.03821814526</c:v>
                </c:pt>
                <c:pt idx="901">
                  <c:v>-853099.58216015727</c:v>
                </c:pt>
                <c:pt idx="902">
                  <c:v>-854172.71086321119</c:v>
                </c:pt>
                <c:pt idx="903">
                  <c:v>-855244.42752564419</c:v>
                </c:pt>
                <c:pt idx="904">
                  <c:v>-856314.73533057969</c:v>
                </c:pt>
                <c:pt idx="905">
                  <c:v>-857383.63744603039</c:v>
                </c:pt>
                <c:pt idx="906">
                  <c:v>-858451.13702500111</c:v>
                </c:pt>
                <c:pt idx="907">
                  <c:v>-859517.23720559012</c:v>
                </c:pt>
                <c:pt idx="908">
                  <c:v>-860581.94111108943</c:v>
                </c:pt>
                <c:pt idx="909">
                  <c:v>-861645.25185008475</c:v>
                </c:pt>
                <c:pt idx="910">
                  <c:v>-862707.17251655413</c:v>
                </c:pt>
                <c:pt idx="911">
                  <c:v>-863767.70618996606</c:v>
                </c:pt>
                <c:pt idx="912">
                  <c:v>-864826.8559353766</c:v>
                </c:pt>
                <c:pt idx="913">
                  <c:v>-865884.62480352516</c:v>
                </c:pt>
                <c:pt idx="914">
                  <c:v>-866941.01583093056</c:v>
                </c:pt>
                <c:pt idx="915">
                  <c:v>-867996.03203998494</c:v>
                </c:pt>
                <c:pt idx="916">
                  <c:v>-869049.67643904802</c:v>
                </c:pt>
                <c:pt idx="917">
                  <c:v>-870101.95202253945</c:v>
                </c:pt>
                <c:pt idx="918">
                  <c:v>-871152.86177103152</c:v>
                </c:pt>
                <c:pt idx="919">
                  <c:v>-872202.40865134005</c:v>
                </c:pt>
                <c:pt idx="920">
                  <c:v>-873250.59561661514</c:v>
                </c:pt>
                <c:pt idx="921">
                  <c:v>-874297.42560643051</c:v>
                </c:pt>
                <c:pt idx="922">
                  <c:v>-875342.90154687315</c:v>
                </c:pt>
                <c:pt idx="923">
                  <c:v>-876387.02635063103</c:v>
                </c:pt>
                <c:pt idx="924">
                  <c:v>-877429.80291708058</c:v>
                </c:pt>
                <c:pt idx="925">
                  <c:v>-878471.23413237347</c:v>
                </c:pt>
                <c:pt idx="926">
                  <c:v>-879511.32286952273</c:v>
                </c:pt>
                <c:pt idx="927">
                  <c:v>-880550.07198848773</c:v>
                </c:pt>
                <c:pt idx="928">
                  <c:v>-881587.48433625884</c:v>
                </c:pt>
                <c:pt idx="929">
                  <c:v>-882623.562746941</c:v>
                </c:pt>
                <c:pt idx="930">
                  <c:v>-883658.31004183728</c:v>
                </c:pt>
                <c:pt idx="931">
                  <c:v>-884691.72902953066</c:v>
                </c:pt>
                <c:pt idx="932">
                  <c:v>-885723.82250596618</c:v>
                </c:pt>
                <c:pt idx="933">
                  <c:v>-886754.59325453173</c:v>
                </c:pt>
                <c:pt idx="934">
                  <c:v>-887784.0440461383</c:v>
                </c:pt>
                <c:pt idx="935">
                  <c:v>-888812.17763929977</c:v>
                </c:pt>
                <c:pt idx="936">
                  <c:v>-889838.99678021192</c:v>
                </c:pt>
                <c:pt idx="937">
                  <c:v>-890864.50420283037</c:v>
                </c:pt>
                <c:pt idx="938">
                  <c:v>-891888.70262894896</c:v>
                </c:pt>
                <c:pt idx="939">
                  <c:v>-892911.59476827609</c:v>
                </c:pt>
                <c:pt idx="940">
                  <c:v>-893933.18331851123</c:v>
                </c:pt>
                <c:pt idx="941">
                  <c:v>-894953.47096542106</c:v>
                </c:pt>
                <c:pt idx="942">
                  <c:v>-895972.46038291405</c:v>
                </c:pt>
                <c:pt idx="943">
                  <c:v>-896990.15423311561</c:v>
                </c:pt>
                <c:pt idx="944">
                  <c:v>-898006.55516644113</c:v>
                </c:pt>
                <c:pt idx="945">
                  <c:v>-899021.66582166986</c:v>
                </c:pt>
                <c:pt idx="946">
                  <c:v>-900035.48882601771</c:v>
                </c:pt>
                <c:pt idx="947">
                  <c:v>-901048.02679520892</c:v>
                </c:pt>
                <c:pt idx="948">
                  <c:v>-902059.2823335476</c:v>
                </c:pt>
                <c:pt idx="949">
                  <c:v>-903069.25803398888</c:v>
                </c:pt>
                <c:pt idx="950">
                  <c:v>-904077.956478209</c:v>
                </c:pt>
                <c:pt idx="951">
                  <c:v>-905085.38023667526</c:v>
                </c:pt>
                <c:pt idx="952">
                  <c:v>-906091.53186871519</c:v>
                </c:pt>
                <c:pt idx="953">
                  <c:v>-907096.41392258508</c:v>
                </c:pt>
                <c:pt idx="954">
                  <c:v>-908100.02893553802</c:v>
                </c:pt>
                <c:pt idx="955">
                  <c:v>-909102.37943389162</c:v>
                </c:pt>
                <c:pt idx="956">
                  <c:v>-910103.46793309494</c:v>
                </c:pt>
                <c:pt idx="957">
                  <c:v>-911103.29693779501</c:v>
                </c:pt>
                <c:pt idx="958">
                  <c:v>-912101.8689419023</c:v>
                </c:pt>
                <c:pt idx="959">
                  <c:v>-913099.1864286568</c:v>
                </c:pt>
                <c:pt idx="960">
                  <c:v>-914095.25187069247</c:v>
                </c:pt>
                <c:pt idx="961">
                  <c:v>-915090.06773010152</c:v>
                </c:pt>
                <c:pt idx="962">
                  <c:v>-916083.63645849854</c:v>
                </c:pt>
                <c:pt idx="963">
                  <c:v>-917075.96049708361</c:v>
                </c:pt>
                <c:pt idx="964">
                  <c:v>-918067.04227670527</c:v>
                </c:pt>
                <c:pt idx="965">
                  <c:v>-919056.88421792293</c:v>
                </c:pt>
                <c:pt idx="966">
                  <c:v>-920045.48873106821</c:v>
                </c:pt>
                <c:pt idx="967">
                  <c:v>-921032.85821630689</c:v>
                </c:pt>
                <c:pt idx="968">
                  <c:v>-922018.99506369943</c:v>
                </c:pt>
                <c:pt idx="969">
                  <c:v>-923003.90165326174</c:v>
                </c:pt>
                <c:pt idx="970">
                  <c:v>-923987.58035502443</c:v>
                </c:pt>
                <c:pt idx="971">
                  <c:v>-924970.03352909291</c:v>
                </c:pt>
                <c:pt idx="972">
                  <c:v>-925951.26352570602</c:v>
                </c:pt>
                <c:pt idx="973">
                  <c:v>-926931.27268529485</c:v>
                </c:pt>
                <c:pt idx="974">
                  <c:v>-927910.06333854038</c:v>
                </c:pt>
                <c:pt idx="975">
                  <c:v>-928887.63780643151</c:v>
                </c:pt>
                <c:pt idx="976">
                  <c:v>-929863.99840032193</c:v>
                </c:pt>
                <c:pt idx="977">
                  <c:v>-930839.14742198703</c:v>
                </c:pt>
                <c:pt idx="978">
                  <c:v>-931813.08716368012</c:v>
                </c:pt>
                <c:pt idx="979">
                  <c:v>-932785.81990818831</c:v>
                </c:pt>
                <c:pt idx="980">
                  <c:v>-933757.34792888793</c:v>
                </c:pt>
                <c:pt idx="981">
                  <c:v>-934727.67348979937</c:v>
                </c:pt>
                <c:pt idx="982">
                  <c:v>-935696.79884564213</c:v>
                </c:pt>
                <c:pt idx="983">
                  <c:v>-936664.72624188836</c:v>
                </c:pt>
                <c:pt idx="984">
                  <c:v>-937631.45791481715</c:v>
                </c:pt>
                <c:pt idx="985">
                  <c:v>-938596.99609156756</c:v>
                </c:pt>
                <c:pt idx="986">
                  <c:v>-939561.34299019142</c:v>
                </c:pt>
                <c:pt idx="987">
                  <c:v>-940524.50081970624</c:v>
                </c:pt>
                <c:pt idx="988">
                  <c:v>-941486.47178014717</c:v>
                </c:pt>
                <c:pt idx="989">
                  <c:v>-942447.25806261867</c:v>
                </c:pt>
                <c:pt idx="990">
                  <c:v>-943406.86184934585</c:v>
                </c:pt>
                <c:pt idx="991">
                  <c:v>-944365.28531372547</c:v>
                </c:pt>
                <c:pt idx="992">
                  <c:v>-945322.53062037646</c:v>
                </c:pt>
                <c:pt idx="993">
                  <c:v>-946278.59992519044</c:v>
                </c:pt>
                <c:pt idx="994">
                  <c:v>-947233.49537538097</c:v>
                </c:pt>
                <c:pt idx="995">
                  <c:v>-948187.21910953335</c:v>
                </c:pt>
                <c:pt idx="996">
                  <c:v>-949139.77325765369</c:v>
                </c:pt>
                <c:pt idx="997">
                  <c:v>-950091.15994121751</c:v>
                </c:pt>
                <c:pt idx="998">
                  <c:v>-951041.38127321796</c:v>
                </c:pt>
                <c:pt idx="999">
                  <c:v>-951990.43935821415</c:v>
                </c:pt>
                <c:pt idx="1000">
                  <c:v>-952938.3362923786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94-4818-B3D1-A6231D13F62C}"/>
            </c:ext>
          </c:extLst>
        </c:ser>
        <c:ser>
          <c:idx val="1"/>
          <c:order val="1"/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Feuil1!$AE$4:$AE$20</c:f>
              <c:numCache>
                <c:formatCode>General</c:formatCode>
                <c:ptCount val="17"/>
                <c:pt idx="0">
                  <c:v>30000</c:v>
                </c:pt>
                <c:pt idx="1">
                  <c:v>29238.795325112867</c:v>
                </c:pt>
                <c:pt idx="2">
                  <c:v>27071.067811865476</c:v>
                </c:pt>
                <c:pt idx="3">
                  <c:v>23826.834323650899</c:v>
                </c:pt>
                <c:pt idx="4">
                  <c:v>20000</c:v>
                </c:pt>
                <c:pt idx="5">
                  <c:v>16173.165676349103</c:v>
                </c:pt>
                <c:pt idx="6">
                  <c:v>12928.932188134524</c:v>
                </c:pt>
                <c:pt idx="7">
                  <c:v>10761.204674887133</c:v>
                </c:pt>
                <c:pt idx="8">
                  <c:v>10000</c:v>
                </c:pt>
                <c:pt idx="9">
                  <c:v>10761.204674887131</c:v>
                </c:pt>
                <c:pt idx="10">
                  <c:v>12928.932188134524</c:v>
                </c:pt>
                <c:pt idx="11">
                  <c:v>16173.165676349097</c:v>
                </c:pt>
                <c:pt idx="12">
                  <c:v>19999.999999999996</c:v>
                </c:pt>
                <c:pt idx="13">
                  <c:v>23826.834323650899</c:v>
                </c:pt>
                <c:pt idx="14">
                  <c:v>27071.06781186548</c:v>
                </c:pt>
                <c:pt idx="15">
                  <c:v>29238.795325112871</c:v>
                </c:pt>
                <c:pt idx="16">
                  <c:v>30000</c:v>
                </c:pt>
              </c:numCache>
            </c:numRef>
          </c:xVal>
          <c:yVal>
            <c:numRef>
              <c:f>Feuil1!$AF$4:$AF$20</c:f>
              <c:numCache>
                <c:formatCode>General</c:formatCode>
                <c:ptCount val="17"/>
                <c:pt idx="0">
                  <c:v>5000</c:v>
                </c:pt>
                <c:pt idx="1">
                  <c:v>8826.8343236508972</c:v>
                </c:pt>
                <c:pt idx="2">
                  <c:v>12071.067811865476</c:v>
                </c:pt>
                <c:pt idx="3">
                  <c:v>14238.795325112867</c:v>
                </c:pt>
                <c:pt idx="4">
                  <c:v>15000</c:v>
                </c:pt>
                <c:pt idx="5">
                  <c:v>14238.795325112867</c:v>
                </c:pt>
                <c:pt idx="6">
                  <c:v>12071.067811865476</c:v>
                </c:pt>
                <c:pt idx="7">
                  <c:v>8826.834323650899</c:v>
                </c:pt>
                <c:pt idx="8">
                  <c:v>5000.0000000000009</c:v>
                </c:pt>
                <c:pt idx="9">
                  <c:v>1173.1656763491033</c:v>
                </c:pt>
                <c:pt idx="10">
                  <c:v>-2071.0678118654751</c:v>
                </c:pt>
                <c:pt idx="11">
                  <c:v>-4238.7953251128656</c:v>
                </c:pt>
                <c:pt idx="12">
                  <c:v>-5000</c:v>
                </c:pt>
                <c:pt idx="13">
                  <c:v>-4238.7953251128656</c:v>
                </c:pt>
                <c:pt idx="14">
                  <c:v>-2071.0678118654705</c:v>
                </c:pt>
                <c:pt idx="15">
                  <c:v>1173.1656763491128</c:v>
                </c:pt>
                <c:pt idx="16">
                  <c:v>4999.9999999999973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94-4818-B3D1-A6231D13F62C}"/>
            </c:ext>
          </c:extLst>
        </c:ser>
        <c:ser>
          <c:idx val="2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Feuil1!$AG$4:$AG$20</c:f>
              <c:numCache>
                <c:formatCode>General</c:formatCode>
                <c:ptCount val="17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</c:numCache>
            </c:numRef>
          </c:xVal>
          <c:yVal>
            <c:numRef>
              <c:f>Feuil1!$AH$4:$AH$20</c:f>
              <c:numCache>
                <c:formatCode>General</c:formatCode>
                <c:ptCount val="17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E94-4818-B3D1-A6231D13F62C}"/>
            </c:ext>
          </c:extLst>
        </c:ser>
        <c:ser>
          <c:idx val="3"/>
          <c:order val="3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Feuil1!$AI$4:$AI$20</c:f>
              <c:numCache>
                <c:formatCode>General</c:formatCode>
                <c:ptCount val="17"/>
                <c:pt idx="0">
                  <c:v>0</c:v>
                </c:pt>
                <c:pt idx="1">
                  <c:v>-380.60233744356628</c:v>
                </c:pt>
                <c:pt idx="2">
                  <c:v>-1464.466094067262</c:v>
                </c:pt>
                <c:pt idx="3">
                  <c:v>-3086.5828381745505</c:v>
                </c:pt>
                <c:pt idx="4">
                  <c:v>-5000</c:v>
                </c:pt>
                <c:pt idx="5">
                  <c:v>-6913.4171618254486</c:v>
                </c:pt>
                <c:pt idx="6">
                  <c:v>-8535.533905932738</c:v>
                </c:pt>
                <c:pt idx="7">
                  <c:v>-9619.3976625564337</c:v>
                </c:pt>
                <c:pt idx="8">
                  <c:v>-10000</c:v>
                </c:pt>
                <c:pt idx="9">
                  <c:v>-9619.3976625564355</c:v>
                </c:pt>
                <c:pt idx="10">
                  <c:v>-8535.533905932738</c:v>
                </c:pt>
                <c:pt idx="11">
                  <c:v>-6913.4171618254513</c:v>
                </c:pt>
                <c:pt idx="12">
                  <c:v>-5000.0000000000009</c:v>
                </c:pt>
                <c:pt idx="13">
                  <c:v>-3086.58283817455</c:v>
                </c:pt>
                <c:pt idx="14">
                  <c:v>-1464.4660940672597</c:v>
                </c:pt>
                <c:pt idx="15">
                  <c:v>-380.60233744356447</c:v>
                </c:pt>
                <c:pt idx="16">
                  <c:v>0</c:v>
                </c:pt>
              </c:numCache>
            </c:numRef>
          </c:xVal>
          <c:yVal>
            <c:numRef>
              <c:f>Feuil1!$AJ$4:$AJ$20</c:f>
              <c:numCache>
                <c:formatCode>General</c:formatCode>
                <c:ptCount val="17"/>
                <c:pt idx="0">
                  <c:v>-15000</c:v>
                </c:pt>
                <c:pt idx="1">
                  <c:v>-13086.58283817455</c:v>
                </c:pt>
                <c:pt idx="2">
                  <c:v>-11464.466094067262</c:v>
                </c:pt>
                <c:pt idx="3">
                  <c:v>-10380.602337443566</c:v>
                </c:pt>
                <c:pt idx="4">
                  <c:v>-10000</c:v>
                </c:pt>
                <c:pt idx="5">
                  <c:v>-10380.602337443566</c:v>
                </c:pt>
                <c:pt idx="6">
                  <c:v>-11464.466094067262</c:v>
                </c:pt>
                <c:pt idx="7">
                  <c:v>-13086.58283817455</c:v>
                </c:pt>
                <c:pt idx="8">
                  <c:v>-15000</c:v>
                </c:pt>
                <c:pt idx="9">
                  <c:v>-16913.417161825448</c:v>
                </c:pt>
                <c:pt idx="10">
                  <c:v>-18535.533905932738</c:v>
                </c:pt>
                <c:pt idx="11">
                  <c:v>-19619.397662556432</c:v>
                </c:pt>
                <c:pt idx="12">
                  <c:v>-20000</c:v>
                </c:pt>
                <c:pt idx="13">
                  <c:v>-19619.397662556432</c:v>
                </c:pt>
                <c:pt idx="14">
                  <c:v>-18535.533905932734</c:v>
                </c:pt>
                <c:pt idx="15">
                  <c:v>-16913.417161825444</c:v>
                </c:pt>
                <c:pt idx="16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E94-4818-B3D1-A6231D13F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503840"/>
        <c:axId val="1455504672"/>
      </c:scatterChart>
      <c:valAx>
        <c:axId val="145550384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  <a:alpha val="36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5504672"/>
        <c:crosses val="autoZero"/>
        <c:crossBetween val="midCat"/>
      </c:valAx>
      <c:valAx>
        <c:axId val="1455504672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  <a:alpha val="86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5503840"/>
        <c:crosses val="autoZero"/>
        <c:crossBetween val="midCat"/>
        <c:majorUnit val="10000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Feuil1!$AE$4:$AE$20</c:f>
              <c:numCache>
                <c:formatCode>General</c:formatCode>
                <c:ptCount val="17"/>
                <c:pt idx="0">
                  <c:v>30000</c:v>
                </c:pt>
                <c:pt idx="1">
                  <c:v>29238.795325112867</c:v>
                </c:pt>
                <c:pt idx="2">
                  <c:v>27071.067811865476</c:v>
                </c:pt>
                <c:pt idx="3">
                  <c:v>23826.834323650899</c:v>
                </c:pt>
                <c:pt idx="4">
                  <c:v>20000</c:v>
                </c:pt>
                <c:pt idx="5">
                  <c:v>16173.165676349103</c:v>
                </c:pt>
                <c:pt idx="6">
                  <c:v>12928.932188134524</c:v>
                </c:pt>
                <c:pt idx="7">
                  <c:v>10761.204674887133</c:v>
                </c:pt>
                <c:pt idx="8">
                  <c:v>10000</c:v>
                </c:pt>
                <c:pt idx="9">
                  <c:v>10761.204674887131</c:v>
                </c:pt>
                <c:pt idx="10">
                  <c:v>12928.932188134524</c:v>
                </c:pt>
                <c:pt idx="11">
                  <c:v>16173.165676349097</c:v>
                </c:pt>
                <c:pt idx="12">
                  <c:v>19999.999999999996</c:v>
                </c:pt>
                <c:pt idx="13">
                  <c:v>23826.834323650899</c:v>
                </c:pt>
                <c:pt idx="14">
                  <c:v>27071.06781186548</c:v>
                </c:pt>
                <c:pt idx="15">
                  <c:v>29238.795325112871</c:v>
                </c:pt>
                <c:pt idx="16">
                  <c:v>30000</c:v>
                </c:pt>
              </c:numCache>
            </c:numRef>
          </c:xVal>
          <c:yVal>
            <c:numRef>
              <c:f>Feuil1!$AF$4:$AF$20</c:f>
              <c:numCache>
                <c:formatCode>General</c:formatCode>
                <c:ptCount val="17"/>
                <c:pt idx="0">
                  <c:v>5000</c:v>
                </c:pt>
                <c:pt idx="1">
                  <c:v>8826.8343236508972</c:v>
                </c:pt>
                <c:pt idx="2">
                  <c:v>12071.067811865476</c:v>
                </c:pt>
                <c:pt idx="3">
                  <c:v>14238.795325112867</c:v>
                </c:pt>
                <c:pt idx="4">
                  <c:v>15000</c:v>
                </c:pt>
                <c:pt idx="5">
                  <c:v>14238.795325112867</c:v>
                </c:pt>
                <c:pt idx="6">
                  <c:v>12071.067811865476</c:v>
                </c:pt>
                <c:pt idx="7">
                  <c:v>8826.834323650899</c:v>
                </c:pt>
                <c:pt idx="8">
                  <c:v>5000.0000000000009</c:v>
                </c:pt>
                <c:pt idx="9">
                  <c:v>1173.1656763491033</c:v>
                </c:pt>
                <c:pt idx="10">
                  <c:v>-2071.0678118654751</c:v>
                </c:pt>
                <c:pt idx="11">
                  <c:v>-4238.7953251128656</c:v>
                </c:pt>
                <c:pt idx="12">
                  <c:v>-5000</c:v>
                </c:pt>
                <c:pt idx="13">
                  <c:v>-4238.7953251128656</c:v>
                </c:pt>
                <c:pt idx="14">
                  <c:v>-2071.0678118654705</c:v>
                </c:pt>
                <c:pt idx="15">
                  <c:v>1173.1656763491128</c:v>
                </c:pt>
                <c:pt idx="16">
                  <c:v>4999.9999999999973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8-42CE-830A-D1EDECEEC9C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Feuil1!$AG$4:$AG$20</c:f>
              <c:numCache>
                <c:formatCode>General</c:formatCode>
                <c:ptCount val="17"/>
                <c:pt idx="0">
                  <c:v>-16500</c:v>
                </c:pt>
                <c:pt idx="1">
                  <c:v>-16766.421636210496</c:v>
                </c:pt>
                <c:pt idx="2">
                  <c:v>-17525.126265847084</c:v>
                </c:pt>
                <c:pt idx="3">
                  <c:v>-18660.607986722185</c:v>
                </c:pt>
                <c:pt idx="4">
                  <c:v>-20000</c:v>
                </c:pt>
                <c:pt idx="5">
                  <c:v>-21339.392013277815</c:v>
                </c:pt>
                <c:pt idx="6">
                  <c:v>-22474.873734152916</c:v>
                </c:pt>
                <c:pt idx="7">
                  <c:v>-23233.578363789504</c:v>
                </c:pt>
                <c:pt idx="8">
                  <c:v>-23500</c:v>
                </c:pt>
                <c:pt idx="9">
                  <c:v>-23233.578363789504</c:v>
                </c:pt>
                <c:pt idx="10">
                  <c:v>-22474.873734152916</c:v>
                </c:pt>
                <c:pt idx="11">
                  <c:v>-21339.392013277815</c:v>
                </c:pt>
                <c:pt idx="12">
                  <c:v>-20000</c:v>
                </c:pt>
                <c:pt idx="13">
                  <c:v>-18660.607986722185</c:v>
                </c:pt>
                <c:pt idx="14">
                  <c:v>-17525.126265847081</c:v>
                </c:pt>
                <c:pt idx="15">
                  <c:v>-16766.421636210496</c:v>
                </c:pt>
                <c:pt idx="16">
                  <c:v>-16500</c:v>
                </c:pt>
              </c:numCache>
            </c:numRef>
          </c:xVal>
          <c:yVal>
            <c:numRef>
              <c:f>Feuil1!$AH$4:$AH$20</c:f>
              <c:numCache>
                <c:formatCode>General</c:formatCode>
                <c:ptCount val="17"/>
                <c:pt idx="0">
                  <c:v>10000</c:v>
                </c:pt>
                <c:pt idx="1">
                  <c:v>11339.392013277815</c:v>
                </c:pt>
                <c:pt idx="2">
                  <c:v>12474.873734152916</c:v>
                </c:pt>
                <c:pt idx="3">
                  <c:v>13233.578363789504</c:v>
                </c:pt>
                <c:pt idx="4">
                  <c:v>13500</c:v>
                </c:pt>
                <c:pt idx="5">
                  <c:v>13233.578363789504</c:v>
                </c:pt>
                <c:pt idx="6">
                  <c:v>12474.873734152916</c:v>
                </c:pt>
                <c:pt idx="7">
                  <c:v>11339.392013277815</c:v>
                </c:pt>
                <c:pt idx="8">
                  <c:v>10000</c:v>
                </c:pt>
                <c:pt idx="9">
                  <c:v>8660.6079867221852</c:v>
                </c:pt>
                <c:pt idx="10">
                  <c:v>7525.1262658470841</c:v>
                </c:pt>
                <c:pt idx="11">
                  <c:v>6766.4216362104971</c:v>
                </c:pt>
                <c:pt idx="12">
                  <c:v>6500</c:v>
                </c:pt>
                <c:pt idx="13">
                  <c:v>6766.4216362104962</c:v>
                </c:pt>
                <c:pt idx="14">
                  <c:v>7525.126265847086</c:v>
                </c:pt>
                <c:pt idx="15">
                  <c:v>8660.6079867221888</c:v>
                </c:pt>
                <c:pt idx="16">
                  <c:v>10000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8-42CE-830A-D1EDECEEC9C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Feuil1!$AI$4:$AI$20</c:f>
              <c:numCache>
                <c:formatCode>General</c:formatCode>
                <c:ptCount val="17"/>
                <c:pt idx="0">
                  <c:v>0</c:v>
                </c:pt>
                <c:pt idx="1">
                  <c:v>-380.60233744356628</c:v>
                </c:pt>
                <c:pt idx="2">
                  <c:v>-1464.466094067262</c:v>
                </c:pt>
                <c:pt idx="3">
                  <c:v>-3086.5828381745505</c:v>
                </c:pt>
                <c:pt idx="4">
                  <c:v>-5000</c:v>
                </c:pt>
                <c:pt idx="5">
                  <c:v>-6913.4171618254486</c:v>
                </c:pt>
                <c:pt idx="6">
                  <c:v>-8535.533905932738</c:v>
                </c:pt>
                <c:pt idx="7">
                  <c:v>-9619.3976625564337</c:v>
                </c:pt>
                <c:pt idx="8">
                  <c:v>-10000</c:v>
                </c:pt>
                <c:pt idx="9">
                  <c:v>-9619.3976625564355</c:v>
                </c:pt>
                <c:pt idx="10">
                  <c:v>-8535.533905932738</c:v>
                </c:pt>
                <c:pt idx="11">
                  <c:v>-6913.4171618254513</c:v>
                </c:pt>
                <c:pt idx="12">
                  <c:v>-5000.0000000000009</c:v>
                </c:pt>
                <c:pt idx="13">
                  <c:v>-3086.58283817455</c:v>
                </c:pt>
                <c:pt idx="14">
                  <c:v>-1464.4660940672597</c:v>
                </c:pt>
                <c:pt idx="15">
                  <c:v>-380.60233744356447</c:v>
                </c:pt>
                <c:pt idx="16">
                  <c:v>0</c:v>
                </c:pt>
              </c:numCache>
            </c:numRef>
          </c:xVal>
          <c:yVal>
            <c:numRef>
              <c:f>Feuil1!$AJ$4:$AJ$20</c:f>
              <c:numCache>
                <c:formatCode>General</c:formatCode>
                <c:ptCount val="17"/>
                <c:pt idx="0">
                  <c:v>-15000</c:v>
                </c:pt>
                <c:pt idx="1">
                  <c:v>-13086.58283817455</c:v>
                </c:pt>
                <c:pt idx="2">
                  <c:v>-11464.466094067262</c:v>
                </c:pt>
                <c:pt idx="3">
                  <c:v>-10380.602337443566</c:v>
                </c:pt>
                <c:pt idx="4">
                  <c:v>-10000</c:v>
                </c:pt>
                <c:pt idx="5">
                  <c:v>-10380.602337443566</c:v>
                </c:pt>
                <c:pt idx="6">
                  <c:v>-11464.466094067262</c:v>
                </c:pt>
                <c:pt idx="7">
                  <c:v>-13086.58283817455</c:v>
                </c:pt>
                <c:pt idx="8">
                  <c:v>-15000</c:v>
                </c:pt>
                <c:pt idx="9">
                  <c:v>-16913.417161825448</c:v>
                </c:pt>
                <c:pt idx="10">
                  <c:v>-18535.533905932738</c:v>
                </c:pt>
                <c:pt idx="11">
                  <c:v>-19619.397662556432</c:v>
                </c:pt>
                <c:pt idx="12">
                  <c:v>-20000</c:v>
                </c:pt>
                <c:pt idx="13">
                  <c:v>-19619.397662556432</c:v>
                </c:pt>
                <c:pt idx="14">
                  <c:v>-18535.533905932734</c:v>
                </c:pt>
                <c:pt idx="15">
                  <c:v>-16913.417161825444</c:v>
                </c:pt>
                <c:pt idx="16">
                  <c:v>-15000.000000000002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8-42CE-830A-D1EDECEEC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503840"/>
        <c:axId val="14555046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Feuil1!$N$4:$N$1004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357.04245141439014</c:v>
                      </c:pt>
                      <c:pt idx="2">
                        <c:v>1429.4052100854506</c:v>
                      </c:pt>
                      <c:pt idx="3">
                        <c:v>3221.9305776024967</c:v>
                      </c:pt>
                      <c:pt idx="4">
                        <c:v>5743.3671471201542</c:v>
                      </c:pt>
                      <c:pt idx="5">
                        <c:v>9000.8457735386437</c:v>
                      </c:pt>
                      <c:pt idx="6">
                        <c:v>12977.79510129896</c:v>
                      </c:pt>
                      <c:pt idx="7">
                        <c:v>17574.389581626474</c:v>
                      </c:pt>
                      <c:pt idx="8">
                        <c:v>22512.557826924633</c:v>
                      </c:pt>
                      <c:pt idx="9">
                        <c:v>27310.388108021692</c:v>
                      </c:pt>
                      <c:pt idx="10">
                        <c:v>31456.866175410829</c:v>
                      </c:pt>
                      <c:pt idx="11">
                        <c:v>34636.033496735814</c:v>
                      </c:pt>
                      <c:pt idx="12">
                        <c:v>36752.25159745344</c:v>
                      </c:pt>
                      <c:pt idx="13">
                        <c:v>37820.677655497886</c:v>
                      </c:pt>
                      <c:pt idx="14">
                        <c:v>37883.070795771768</c:v>
                      </c:pt>
                      <c:pt idx="15">
                        <c:v>36974.006260785733</c:v>
                      </c:pt>
                      <c:pt idx="16">
                        <c:v>35112.913059564278</c:v>
                      </c:pt>
                      <c:pt idx="17">
                        <c:v>32308.370427952872</c:v>
                      </c:pt>
                      <c:pt idx="18">
                        <c:v>28575.409480403971</c:v>
                      </c:pt>
                      <c:pt idx="19">
                        <c:v>23979.360510079427</c:v>
                      </c:pt>
                      <c:pt idx="20">
                        <c:v>18724.745230084438</c:v>
                      </c:pt>
                      <c:pt idx="21">
                        <c:v>13244.704741903728</c:v>
                      </c:pt>
                      <c:pt idx="22">
                        <c:v>8101.0875102073878</c:v>
                      </c:pt>
                      <c:pt idx="23">
                        <c:v>3683.5802821978227</c:v>
                      </c:pt>
                      <c:pt idx="24">
                        <c:v>76.281085675317115</c:v>
                      </c:pt>
                      <c:pt idx="25">
                        <c:v>-2806.4200956214918</c:v>
                      </c:pt>
                      <c:pt idx="26">
                        <c:v>-5065.4265828979878</c:v>
                      </c:pt>
                      <c:pt idx="27">
                        <c:v>-6736.9425051922535</c:v>
                      </c:pt>
                      <c:pt idx="28">
                        <c:v>-7766.2493871291863</c:v>
                      </c:pt>
                      <c:pt idx="29">
                        <c:v>-8062.6549370774756</c:v>
                      </c:pt>
                      <c:pt idx="30">
                        <c:v>-7614.5647296640427</c:v>
                      </c:pt>
                      <c:pt idx="31">
                        <c:v>-6520.5008556448147</c:v>
                      </c:pt>
                      <c:pt idx="32">
                        <c:v>-4919.4547150219869</c:v>
                      </c:pt>
                      <c:pt idx="33">
                        <c:v>-2941.3466231217831</c:v>
                      </c:pt>
                      <c:pt idx="34">
                        <c:v>-703.59796623510181</c:v>
                      </c:pt>
                      <c:pt idx="35">
                        <c:v>1680.0655706518205</c:v>
                      </c:pt>
                      <c:pt idx="36">
                        <c:v>4101.5877391271079</c:v>
                      </c:pt>
                      <c:pt idx="37">
                        <c:v>6487.0601722102811</c:v>
                      </c:pt>
                      <c:pt idx="38">
                        <c:v>8845.398447562402</c:v>
                      </c:pt>
                      <c:pt idx="39">
                        <c:v>11289.929517052309</c:v>
                      </c:pt>
                      <c:pt idx="40">
                        <c:v>13995.623663730868</c:v>
                      </c:pt>
                      <c:pt idx="41">
                        <c:v>17098.587141084183</c:v>
                      </c:pt>
                      <c:pt idx="42">
                        <c:v>20544.731948969817</c:v>
                      </c:pt>
                      <c:pt idx="43">
                        <c:v>24040.483574788854</c:v>
                      </c:pt>
                      <c:pt idx="44">
                        <c:v>27275.357172305674</c:v>
                      </c:pt>
                      <c:pt idx="45">
                        <c:v>30113.397763226221</c:v>
                      </c:pt>
                      <c:pt idx="46">
                        <c:v>32541.596922019959</c:v>
                      </c:pt>
                      <c:pt idx="47">
                        <c:v>34583.22439160067</c:v>
                      </c:pt>
                      <c:pt idx="48">
                        <c:v>36264.385316792053</c:v>
                      </c:pt>
                      <c:pt idx="49">
                        <c:v>37605.669477540803</c:v>
                      </c:pt>
                      <c:pt idx="50">
                        <c:v>38620.872156877951</c:v>
                      </c:pt>
                      <c:pt idx="51">
                        <c:v>39317.268737391314</c:v>
                      </c:pt>
                      <c:pt idx="52">
                        <c:v>39695.963370148973</c:v>
                      </c:pt>
                      <c:pt idx="53">
                        <c:v>39751.914322661476</c:v>
                      </c:pt>
                      <c:pt idx="54">
                        <c:v>39473.494556547492</c:v>
                      </c:pt>
                      <c:pt idx="55">
                        <c:v>38841.464218529567</c:v>
                      </c:pt>
                      <c:pt idx="56">
                        <c:v>37827.168448108489</c:v>
                      </c:pt>
                      <c:pt idx="57">
                        <c:v>36389.687778468418</c:v>
                      </c:pt>
                      <c:pt idx="58">
                        <c:v>34471.689936411989</c:v>
                      </c:pt>
                      <c:pt idx="59">
                        <c:v>31994.476258483726</c:v>
                      </c:pt>
                      <c:pt idx="60">
                        <c:v>28856.971131755123</c:v>
                      </c:pt>
                      <c:pt idx="61">
                        <c:v>24961.522922201591</c:v>
                      </c:pt>
                      <c:pt idx="62">
                        <c:v>20330.783832814512</c:v>
                      </c:pt>
                      <c:pt idx="63">
                        <c:v>15279.827981430342</c:v>
                      </c:pt>
                      <c:pt idx="64">
                        <c:v>10252.432726785502</c:v>
                      </c:pt>
                      <c:pt idx="65">
                        <c:v>5429.0358507840247</c:v>
                      </c:pt>
                      <c:pt idx="66">
                        <c:v>698.85926595249794</c:v>
                      </c:pt>
                      <c:pt idx="67">
                        <c:v>-4044.7724472684317</c:v>
                      </c:pt>
                      <c:pt idx="68">
                        <c:v>-8663.6913142061003</c:v>
                      </c:pt>
                      <c:pt idx="69">
                        <c:v>-12917.436092546435</c:v>
                      </c:pt>
                      <c:pt idx="70">
                        <c:v>-16699.574181039545</c:v>
                      </c:pt>
                      <c:pt idx="71">
                        <c:v>-20008.75332013857</c:v>
                      </c:pt>
                      <c:pt idx="72">
                        <c:v>-22870.44712817133</c:v>
                      </c:pt>
                      <c:pt idx="73">
                        <c:v>-25310.001783140655</c:v>
                      </c:pt>
                      <c:pt idx="74">
                        <c:v>-27346.888117378578</c:v>
                      </c:pt>
                      <c:pt idx="75">
                        <c:v>-28994.267538393109</c:v>
                      </c:pt>
                      <c:pt idx="76">
                        <c:v>-30259.571407026699</c:v>
                      </c:pt>
                      <c:pt idx="77">
                        <c:v>-31145.065069976859</c:v>
                      </c:pt>
                      <c:pt idx="78">
                        <c:v>-31648.179431493663</c:v>
                      </c:pt>
                      <c:pt idx="79">
                        <c:v>-31761.584251091379</c:v>
                      </c:pt>
                      <c:pt idx="80">
                        <c:v>-31473.014933147577</c:v>
                      </c:pt>
                      <c:pt idx="81">
                        <c:v>-30764.871272577449</c:v>
                      </c:pt>
                      <c:pt idx="82">
                        <c:v>-29613.626476596084</c:v>
                      </c:pt>
                      <c:pt idx="83">
                        <c:v>-27989.162372051764</c:v>
                      </c:pt>
                      <c:pt idx="84">
                        <c:v>-25854.389146671063</c:v>
                      </c:pt>
                      <c:pt idx="85">
                        <c:v>-23166.247428801449</c:v>
                      </c:pt>
                      <c:pt idx="86">
                        <c:v>-19881.570361766648</c:v>
                      </c:pt>
                      <c:pt idx="87">
                        <c:v>-15978.150098282413</c:v>
                      </c:pt>
                      <c:pt idx="88">
                        <c:v>-11497.45914945078</c:v>
                      </c:pt>
                      <c:pt idx="89">
                        <c:v>-6511.1196595279289</c:v>
                      </c:pt>
                      <c:pt idx="90">
                        <c:v>-992.59433006986058</c:v>
                      </c:pt>
                      <c:pt idx="91">
                        <c:v>5175.9071157244662</c:v>
                      </c:pt>
                      <c:pt idx="92">
                        <c:v>12065.593941388433</c:v>
                      </c:pt>
                      <c:pt idx="93">
                        <c:v>19566.678699976561</c:v>
                      </c:pt>
                      <c:pt idx="94">
                        <c:v>27296.975122421853</c:v>
                      </c:pt>
                      <c:pt idx="95">
                        <c:v>34737.252506446355</c:v>
                      </c:pt>
                      <c:pt idx="96">
                        <c:v>41522.394228266152</c:v>
                      </c:pt>
                      <c:pt idx="97">
                        <c:v>47540.224615741638</c:v>
                      </c:pt>
                      <c:pt idx="98">
                        <c:v>52825.049221725683</c:v>
                      </c:pt>
                      <c:pt idx="99">
                        <c:v>57455.56394070488</c:v>
                      </c:pt>
                      <c:pt idx="100">
                        <c:v>61511.654208043939</c:v>
                      </c:pt>
                      <c:pt idx="101">
                        <c:v>65062.343907945244</c:v>
                      </c:pt>
                      <c:pt idx="102">
                        <c:v>68164.489977322693</c:v>
                      </c:pt>
                      <c:pt idx="103">
                        <c:v>70864.379156572642</c:v>
                      </c:pt>
                      <c:pt idx="104">
                        <c:v>73199.750261519686</c:v>
                      </c:pt>
                      <c:pt idx="105">
                        <c:v>75201.571211634029</c:v>
                      </c:pt>
                      <c:pt idx="106">
                        <c:v>76895.455130428032</c:v>
                      </c:pt>
                      <c:pt idx="107">
                        <c:v>78302.752871100834</c:v>
                      </c:pt>
                      <c:pt idx="108">
                        <c:v>79441.388746894983</c:v>
                      </c:pt>
                      <c:pt idx="109">
                        <c:v>80326.500796938053</c:v>
                      </c:pt>
                      <c:pt idx="110">
                        <c:v>80970.934187064282</c:v>
                      </c:pt>
                      <c:pt idx="111">
                        <c:v>81385.624304683122</c:v>
                      </c:pt>
                      <c:pt idx="112">
                        <c:v>81579.896535560343</c:v>
                      </c:pt>
                      <c:pt idx="113">
                        <c:v>81561.702554776493</c:v>
                      </c:pt>
                      <c:pt idx="114">
                        <c:v>81337.807739091644</c:v>
                      </c:pt>
                      <c:pt idx="115">
                        <c:v>80913.940520359611</c:v>
                      </c:pt>
                      <c:pt idx="116">
                        <c:v>80294.911752887696</c:v>
                      </c:pt>
                      <c:pt idx="117">
                        <c:v>79484.71016793637</c:v>
                      </c:pt>
                      <c:pt idx="118">
                        <c:v>78486.578526114841</c:v>
                      </c:pt>
                      <c:pt idx="119">
                        <c:v>77303.07400652561</c:v>
                      </c:pt>
                      <c:pt idx="120">
                        <c:v>75936.115589602239</c:v>
                      </c:pt>
                      <c:pt idx="121">
                        <c:v>74387.020632421976</c:v>
                      </c:pt>
                      <c:pt idx="122">
                        <c:v>72656.532461522394</c:v>
                      </c:pt>
                      <c:pt idx="123">
                        <c:v>70744.84060314791</c:v>
                      </c:pt>
                      <c:pt idx="124">
                        <c:v>68651.595242918644</c:v>
                      </c:pt>
                      <c:pt idx="125">
                        <c:v>66375.91769453435</c:v>
                      </c:pt>
                      <c:pt idx="126">
                        <c:v>63916.409141048418</c:v>
                      </c:pt>
                      <c:pt idx="127">
                        <c:v>61271.16083906492</c:v>
                      </c:pt>
                      <c:pt idx="128">
                        <c:v>58437.770600290496</c:v>
                      </c:pt>
                      <c:pt idx="129">
                        <c:v>55413.373122081153</c:v>
                      </c:pt>
                      <c:pt idx="130">
                        <c:v>52194.696375133739</c:v>
                      </c:pt>
                      <c:pt idx="131">
                        <c:v>48778.164051369968</c:v>
                      </c:pt>
                      <c:pt idx="132">
                        <c:v>45160.077214311837</c:v>
                      </c:pt>
                      <c:pt idx="133">
                        <c:v>41336.930453797104</c:v>
                      </c:pt>
                      <c:pt idx="134">
                        <c:v>37305.954919469004</c:v>
                      </c:pt>
                      <c:pt idx="135">
                        <c:v>33066.040833638421</c:v>
                      </c:pt>
                      <c:pt idx="136">
                        <c:v>28619.281994154586</c:v>
                      </c:pt>
                      <c:pt idx="137">
                        <c:v>23973.486417565768</c:v>
                      </c:pt>
                      <c:pt idx="138">
                        <c:v>19145.973871227416</c:v>
                      </c:pt>
                      <c:pt idx="139">
                        <c:v>14168.250897828029</c:v>
                      </c:pt>
                      <c:pt idx="140">
                        <c:v>9087.9774789753574</c:v>
                      </c:pt>
                      <c:pt idx="141">
                        <c:v>3959.3868383046665</c:v>
                      </c:pt>
                      <c:pt idx="142">
                        <c:v>-1139.3681666968803</c:v>
                      </c:pt>
                      <c:pt idx="143">
                        <c:v>-5951.4909401362456</c:v>
                      </c:pt>
                      <c:pt idx="144">
                        <c:v>-10182.97172223483</c:v>
                      </c:pt>
                      <c:pt idx="145">
                        <c:v>-13835.146929169505</c:v>
                      </c:pt>
                      <c:pt idx="146">
                        <c:v>-17098.518861297438</c:v>
                      </c:pt>
                      <c:pt idx="147">
                        <c:v>-20021.777734758321</c:v>
                      </c:pt>
                      <c:pt idx="148">
                        <c:v>-22554.440355303355</c:v>
                      </c:pt>
                      <c:pt idx="149">
                        <c:v>-24724.351163637642</c:v>
                      </c:pt>
                      <c:pt idx="150">
                        <c:v>-26583.276660327061</c:v>
                      </c:pt>
                      <c:pt idx="151">
                        <c:v>-28176.368502142501</c:v>
                      </c:pt>
                      <c:pt idx="152">
                        <c:v>-29539.670064018141</c:v>
                      </c:pt>
                      <c:pt idx="153">
                        <c:v>-30701.805822077858</c:v>
                      </c:pt>
                      <c:pt idx="154">
                        <c:v>-31685.762940887656</c:v>
                      </c:pt>
                      <c:pt idx="155">
                        <c:v>-32510.262688797502</c:v>
                      </c:pt>
                      <c:pt idx="156">
                        <c:v>-33190.762300630362</c:v>
                      </c:pt>
                      <c:pt idx="157">
                        <c:v>-33740.184866995398</c:v>
                      </c:pt>
                      <c:pt idx="158">
                        <c:v>-34169.456796175378</c:v>
                      </c:pt>
                      <c:pt idx="159">
                        <c:v>-34487.909307060974</c:v>
                      </c:pt>
                      <c:pt idx="160">
                        <c:v>-34703.582847274898</c:v>
                      </c:pt>
                      <c:pt idx="161">
                        <c:v>-34823.461230470471</c:v>
                      </c:pt>
                      <c:pt idx="162">
                        <c:v>-34853.654137814723</c:v>
                      </c:pt>
                      <c:pt idx="163">
                        <c:v>-34799.541134561645</c:v>
                      </c:pt>
                      <c:pt idx="164">
                        <c:v>-34665.886611934104</c:v>
                      </c:pt>
                      <c:pt idx="165">
                        <c:v>-34456.932484296369</c:v>
                      </c:pt>
                      <c:pt idx="166">
                        <c:v>-34176.473666792917</c:v>
                      </c:pt>
                      <c:pt idx="167">
                        <c:v>-33827.920078539057</c:v>
                      </c:pt>
                      <c:pt idx="168">
                        <c:v>-33414.347996272991</c:v>
                      </c:pt>
                      <c:pt idx="169">
                        <c:v>-32938.542913463993</c:v>
                      </c:pt>
                      <c:pt idx="170">
                        <c:v>-32403.035566297283</c:v>
                      </c:pt>
                      <c:pt idx="171">
                        <c:v>-31810.132420230068</c:v>
                      </c:pt>
                      <c:pt idx="172">
                        <c:v>-31161.941633995499</c:v>
                      </c:pt>
                      <c:pt idx="173">
                        <c:v>-30460.395307547515</c:v>
                      </c:pt>
                      <c:pt idx="174">
                        <c:v>-29707.26865914205</c:v>
                      </c:pt>
                      <c:pt idx="175">
                        <c:v>-28904.196652110244</c:v>
                      </c:pt>
                      <c:pt idx="176">
                        <c:v>-28052.688494900947</c:v>
                      </c:pt>
                      <c:pt idx="177">
                        <c:v>-27154.140362083912</c:v>
                      </c:pt>
                      <c:pt idx="178">
                        <c:v>-26209.846624376281</c:v>
                      </c:pt>
                      <c:pt idx="179">
                        <c:v>-25221.009828804144</c:v>
                      </c:pt>
                      <c:pt idx="180">
                        <c:v>-24188.749633178577</c:v>
                      </c:pt>
                      <c:pt idx="181">
                        <c:v>-23114.110870178589</c:v>
                      </c:pt>
                      <c:pt idx="182">
                        <c:v>-21998.070894038396</c:v>
                      </c:pt>
                      <c:pt idx="183">
                        <c:v>-20841.546346085761</c:v>
                      </c:pt>
                      <c:pt idx="184">
                        <c:v>-19645.399463451478</c:v>
                      </c:pt>
                      <c:pt idx="185">
                        <c:v>-18410.44404772545</c:v>
                      </c:pt>
                      <c:pt idx="186">
                        <c:v>-17137.451206982332</c:v>
                      </c:pt>
                      <c:pt idx="187">
                        <c:v>-15827.154985499057</c:v>
                      </c:pt>
                      <c:pt idx="188">
                        <c:v>-14480.258000963562</c:v>
                      </c:pt>
                      <c:pt idx="189">
                        <c:v>-13097.437219665862</c:v>
                      </c:pt>
                      <c:pt idx="190">
                        <c:v>-11679.350017092962</c:v>
                      </c:pt>
                      <c:pt idx="191">
                        <c:v>-10226.640696048129</c:v>
                      </c:pt>
                      <c:pt idx="192">
                        <c:v>-8739.9476691013715</c:v>
                      </c:pt>
                      <c:pt idx="193">
                        <c:v>-7219.91156003175</c:v>
                      </c:pt>
                      <c:pt idx="194">
                        <c:v>-5667.1845444966866</c:v>
                      </c:pt>
                      <c:pt idx="195">
                        <c:v>-4082.4413400068279</c:v>
                      </c:pt>
                      <c:pt idx="196">
                        <c:v>-2466.3923788934558</c:v>
                      </c:pt>
                      <c:pt idx="197">
                        <c:v>-819.79986924900572</c:v>
                      </c:pt>
                      <c:pt idx="198">
                        <c:v>856.50231153168249</c:v>
                      </c:pt>
                      <c:pt idx="199">
                        <c:v>2561.5836068475601</c:v>
                      </c:pt>
                      <c:pt idx="200">
                        <c:v>4294.3848845885686</c:v>
                      </c:pt>
                      <c:pt idx="201">
                        <c:v>6053.6771767574419</c:v>
                      </c:pt>
                      <c:pt idx="202">
                        <c:v>7838.0075304972124</c:v>
                      </c:pt>
                      <c:pt idx="203">
                        <c:v>9645.6268689716944</c:v>
                      </c:pt>
                      <c:pt idx="204">
                        <c:v>11474.392336737361</c:v>
                      </c:pt>
                      <c:pt idx="205">
                        <c:v>13321.632795975087</c:v>
                      </c:pt>
                      <c:pt idx="206">
                        <c:v>15183.960009746032</c:v>
                      </c:pt>
                      <c:pt idx="207">
                        <c:v>17056.997915187589</c:v>
                      </c:pt>
                      <c:pt idx="208">
                        <c:v>18934.985147548497</c:v>
                      </c:pt>
                      <c:pt idx="209">
                        <c:v>20810.175707972809</c:v>
                      </c:pt>
                      <c:pt idx="210">
                        <c:v>22671.907751704042</c:v>
                      </c:pt>
                      <c:pt idx="211">
                        <c:v>24505.10746173462</c:v>
                      </c:pt>
                      <c:pt idx="212">
                        <c:v>26287.795839343908</c:v>
                      </c:pt>
                      <c:pt idx="213">
                        <c:v>27986.77435652928</c:v>
                      </c:pt>
                      <c:pt idx="214">
                        <c:v>29549.909465364039</c:v>
                      </c:pt>
                      <c:pt idx="215">
                        <c:v>30892.18485232829</c:v>
                      </c:pt>
                      <c:pt idx="216">
                        <c:v>31872.117952338194</c:v>
                      </c:pt>
                      <c:pt idx="217">
                        <c:v>32264.879156096962</c:v>
                      </c:pt>
                      <c:pt idx="218">
                        <c:v>31790.707173728828</c:v>
                      </c:pt>
                      <c:pt idx="219">
                        <c:v>30300.377365082637</c:v>
                      </c:pt>
                      <c:pt idx="220">
                        <c:v>27941.927840480133</c:v>
                      </c:pt>
                      <c:pt idx="221">
                        <c:v>25018.046245569894</c:v>
                      </c:pt>
                      <c:pt idx="222">
                        <c:v>21765.906795476236</c:v>
                      </c:pt>
                      <c:pt idx="223">
                        <c:v>18324.585304891913</c:v>
                      </c:pt>
                      <c:pt idx="224">
                        <c:v>14777.784120632872</c:v>
                      </c:pt>
                      <c:pt idx="225">
                        <c:v>11181.426302103409</c:v>
                      </c:pt>
                      <c:pt idx="226">
                        <c:v>7574.4694450228008</c:v>
                      </c:pt>
                      <c:pt idx="227">
                        <c:v>3983.5943579835171</c:v>
                      </c:pt>
                      <c:pt idx="228">
                        <c:v>426.42144989516061</c:v>
                      </c:pt>
                      <c:pt idx="229">
                        <c:v>-3085.8572449075245</c:v>
                      </c:pt>
                      <c:pt idx="230">
                        <c:v>-6546.4386316099508</c:v>
                      </c:pt>
                      <c:pt idx="231">
                        <c:v>-9951.4421936889321</c:v>
                      </c:pt>
                      <c:pt idx="232">
                        <c:v>-13298.905758077528</c:v>
                      </c:pt>
                      <c:pt idx="233">
                        <c:v>-16588.114997705226</c:v>
                      </c:pt>
                      <c:pt idx="234">
                        <c:v>-19819.160459040872</c:v>
                      </c:pt>
                      <c:pt idx="235">
                        <c:v>-22992.64554686542</c:v>
                      </c:pt>
                      <c:pt idx="236">
                        <c:v>-26109.49365667269</c:v>
                      </c:pt>
                      <c:pt idx="237">
                        <c:v>-29170.820378936995</c:v>
                      </c:pt>
                      <c:pt idx="238">
                        <c:v>-32177.848592397935</c:v>
                      </c:pt>
                      <c:pt idx="239">
                        <c:v>-35131.852012879383</c:v>
                      </c:pt>
                      <c:pt idx="240">
                        <c:v>-38034.117761308458</c:v>
                      </c:pt>
                      <c:pt idx="241">
                        <c:v>-40885.921735057032</c:v>
                      </c:pt>
                      <c:pt idx="242">
                        <c:v>-43688.512652098587</c:v>
                      </c:pt>
                      <c:pt idx="243">
                        <c:v>-46443.101998213999</c:v>
                      </c:pt>
                      <c:pt idx="244">
                        <c:v>-49150.85800350683</c:v>
                      </c:pt>
                      <c:pt idx="245">
                        <c:v>-51812.902370244032</c:v>
                      </c:pt>
                      <c:pt idx="246">
                        <c:v>-54430.308874009097</c:v>
                      </c:pt>
                      <c:pt idx="247">
                        <c:v>-57004.103231216024</c:v>
                      </c:pt>
                      <c:pt idx="248">
                        <c:v>-59535.263811366094</c:v>
                      </c:pt>
                      <c:pt idx="249">
                        <c:v>-62024.722900188834</c:v>
                      </c:pt>
                      <c:pt idx="250">
                        <c:v>-64473.368308532685</c:v>
                      </c:pt>
                      <c:pt idx="251">
                        <c:v>-66882.045183889626</c:v>
                      </c:pt>
                      <c:pt idx="252">
                        <c:v>-69251.557925031389</c:v>
                      </c:pt>
                      <c:pt idx="253">
                        <c:v>-71582.672131016254</c:v>
                      </c:pt>
                      <c:pt idx="254">
                        <c:v>-73876.116537632828</c:v>
                      </c:pt>
                      <c:pt idx="255">
                        <c:v>-76132.584909829791</c:v>
                      </c:pt>
                      <c:pt idx="256">
                        <c:v>-78352.737869678196</c:v>
                      </c:pt>
                      <c:pt idx="257">
                        <c:v>-80537.204647215316</c:v>
                      </c:pt>
                      <c:pt idx="258">
                        <c:v>-82686.584747035755</c:v>
                      </c:pt>
                      <c:pt idx="259">
                        <c:v>-84801.449527370642</c:v>
                      </c:pt>
                      <c:pt idx="260">
                        <c:v>-86882.343691091271</c:v>
                      </c:pt>
                      <c:pt idx="261">
                        <c:v>-88929.786689917688</c:v>
                      </c:pt>
                      <c:pt idx="262">
                        <c:v>-90944.274044345526</c:v>
                      </c:pt>
                      <c:pt idx="263">
                        <c:v>-92926.278582595871</c:v>
                      </c:pt>
                      <c:pt idx="264">
                        <c:v>-94876.251602369608</c:v>
                      </c:pt>
                      <c:pt idx="265">
                        <c:v>-96794.623959438977</c:v>
                      </c:pt>
                      <c:pt idx="266">
                        <c:v>-98681.807087201916</c:v>
                      </c:pt>
                      <c:pt idx="267">
                        <c:v>-100538.1939513071</c:v>
                      </c:pt>
                      <c:pt idx="268">
                        <c:v>-102364.15994336402</c:v>
                      </c:pt>
                      <c:pt idx="269">
                        <c:v>-104160.06371760939</c:v>
                      </c:pt>
                      <c:pt idx="270">
                        <c:v>-105926.24797422612</c:v>
                      </c:pt>
                      <c:pt idx="271">
                        <c:v>-107663.04019281836</c:v>
                      </c:pt>
                      <c:pt idx="272">
                        <c:v>-109370.75331934389</c:v>
                      </c:pt>
                      <c:pt idx="273">
                        <c:v>-111049.68640960193</c:v>
                      </c:pt>
                      <c:pt idx="274">
                        <c:v>-112700.1252321732</c:v>
                      </c:pt>
                      <c:pt idx="275">
                        <c:v>-114322.34283351396</c:v>
                      </c:pt>
                      <c:pt idx="276">
                        <c:v>-115916.60006771868</c:v>
                      </c:pt>
                      <c:pt idx="277">
                        <c:v>-117483.1460932879</c:v>
                      </c:pt>
                      <c:pt idx="278">
                        <c:v>-119022.21883906996</c:v>
                      </c:pt>
                      <c:pt idx="279">
                        <c:v>-120534.04544138737</c:v>
                      </c:pt>
                      <c:pt idx="280">
                        <c:v>-122018.84265421052</c:v>
                      </c:pt>
                      <c:pt idx="281">
                        <c:v>-123476.81723410418</c:v>
                      </c:pt>
                      <c:pt idx="282">
                        <c:v>-124908.16630154339</c:v>
                      </c:pt>
                      <c:pt idx="283">
                        <c:v>-126313.07768007655</c:v>
                      </c:pt>
                      <c:pt idx="284">
                        <c:v>-127691.73021470285</c:v>
                      </c:pt>
                      <c:pt idx="285">
                        <c:v>-129044.29407072875</c:v>
                      </c:pt>
                      <c:pt idx="286">
                        <c:v>-130370.93101427316</c:v>
                      </c:pt>
                      <c:pt idx="287">
                        <c:v>-131671.79467550339</c:v>
                      </c:pt>
                      <c:pt idx="288">
                        <c:v>-132947.03079560245</c:v>
                      </c:pt>
                      <c:pt idx="289">
                        <c:v>-134196.77745839275</c:v>
                      </c:pt>
                      <c:pt idx="290">
                        <c:v>-135421.16530747208</c:v>
                      </c:pt>
                      <c:pt idx="291">
                        <c:v>-136620.31774965246</c:v>
                      </c:pt>
                      <c:pt idx="292">
                        <c:v>-137794.3511454332</c:v>
                      </c:pt>
                      <c:pt idx="293">
                        <c:v>-138943.3749871836</c:v>
                      </c:pt>
                      <c:pt idx="294">
                        <c:v>-140067.49206565923</c:v>
                      </c:pt>
                      <c:pt idx="295">
                        <c:v>-141166.79862542779</c:v>
                      </c:pt>
                      <c:pt idx="296">
                        <c:v>-142241.3845097365</c:v>
                      </c:pt>
                      <c:pt idx="297">
                        <c:v>-143291.33329531041</c:v>
                      </c:pt>
                      <c:pt idx="298">
                        <c:v>-144316.72241753354</c:v>
                      </c:pt>
                      <c:pt idx="299">
                        <c:v>-145317.62328642767</c:v>
                      </c:pt>
                      <c:pt idx="300">
                        <c:v>-146294.10139381033</c:v>
                      </c:pt>
                      <c:pt idx="301">
                        <c:v>-147246.21641198164</c:v>
                      </c:pt>
                      <c:pt idx="302">
                        <c:v>-148174.02228425996</c:v>
                      </c:pt>
                      <c:pt idx="303">
                        <c:v>-149077.56730765797</c:v>
                      </c:pt>
                      <c:pt idx="304">
                        <c:v>-149956.89420796526</c:v>
                      </c:pt>
                      <c:pt idx="305">
                        <c:v>-150812.04020747734</c:v>
                      </c:pt>
                      <c:pt idx="306">
                        <c:v>-151643.037085588</c:v>
                      </c:pt>
                      <c:pt idx="307">
                        <c:v>-152449.9112324396</c:v>
                      </c:pt>
                      <c:pt idx="308">
                        <c:v>-153232.68369580354</c:v>
                      </c:pt>
                      <c:pt idx="309">
                        <c:v>-153991.37022134339</c:v>
                      </c:pt>
                      <c:pt idx="310">
                        <c:v>-154725.98128639275</c:v>
                      </c:pt>
                      <c:pt idx="311">
                        <c:v>-155436.5221273615</c:v>
                      </c:pt>
                      <c:pt idx="312">
                        <c:v>-156122.99276086455</c:v>
                      </c:pt>
                      <c:pt idx="313">
                        <c:v>-156785.38799865055</c:v>
                      </c:pt>
                      <c:pt idx="314">
                        <c:v>-157423.6974563894</c:v>
                      </c:pt>
                      <c:pt idx="315">
                        <c:v>-158037.90555636041</c:v>
                      </c:pt>
                      <c:pt idx="316">
                        <c:v>-158627.99152406631</c:v>
                      </c:pt>
                      <c:pt idx="317">
                        <c:v>-159193.92937878129</c:v>
                      </c:pt>
                      <c:pt idx="318">
                        <c:v>-159735.68791802396</c:v>
                      </c:pt>
                      <c:pt idx="319">
                        <c:v>-160253.23069593034</c:v>
                      </c:pt>
                      <c:pt idx="320">
                        <c:v>-160746.51599548419</c:v>
                      </c:pt>
                      <c:pt idx="321">
                        <c:v>-161215.49679454556</c:v>
                      </c:pt>
                      <c:pt idx="322">
                        <c:v>-161660.12072560057</c:v>
                      </c:pt>
                      <c:pt idx="323">
                        <c:v>-162080.33002913865</c:v>
                      </c:pt>
                      <c:pt idx="324">
                        <c:v>-162476.06150054425</c:v>
                      </c:pt>
                      <c:pt idx="325">
                        <c:v>-162847.24643037253</c:v>
                      </c:pt>
                      <c:pt idx="326">
                        <c:v>-163193.81053785834</c:v>
                      </c:pt>
                      <c:pt idx="327">
                        <c:v>-163515.6738974888</c:v>
                      </c:pt>
                      <c:pt idx="328">
                        <c:v>-163812.75085844798</c:v>
                      </c:pt>
                      <c:pt idx="329">
                        <c:v>-164084.94995672139</c:v>
                      </c:pt>
                      <c:pt idx="330">
                        <c:v>-164332.17381962435</c:v>
                      </c:pt>
                      <c:pt idx="331">
                        <c:v>-164554.31906249514</c:v>
                      </c:pt>
                      <c:pt idx="332">
                        <c:v>-164751.27617726763</c:v>
                      </c:pt>
                      <c:pt idx="333">
                        <c:v>-164922.92941261217</c:v>
                      </c:pt>
                      <c:pt idx="334">
                        <c:v>-165069.15664530397</c:v>
                      </c:pt>
                      <c:pt idx="335">
                        <c:v>-165189.82924244896</c:v>
                      </c:pt>
                      <c:pt idx="336">
                        <c:v>-165284.81191416419</c:v>
                      </c:pt>
                      <c:pt idx="337">
                        <c:v>-165353.96255627513</c:v>
                      </c:pt>
                      <c:pt idx="338">
                        <c:v>-165397.13208255573</c:v>
                      </c:pt>
                      <c:pt idx="339">
                        <c:v>-165414.16424599683</c:v>
                      </c:pt>
                      <c:pt idx="340">
                        <c:v>-165404.89544854595</c:v>
                      </c:pt>
                      <c:pt idx="341">
                        <c:v>-165369.15453871567</c:v>
                      </c:pt>
                      <c:pt idx="342">
                        <c:v>-165306.76259640724</c:v>
                      </c:pt>
                      <c:pt idx="343">
                        <c:v>-165217.53270424352</c:v>
                      </c:pt>
                      <c:pt idx="344">
                        <c:v>-165101.26970464597</c:v>
                      </c:pt>
                      <c:pt idx="345">
                        <c:v>-164957.7699418281</c:v>
                      </c:pt>
                      <c:pt idx="346">
                        <c:v>-164786.82098780875</c:v>
                      </c:pt>
                      <c:pt idx="347">
                        <c:v>-164588.20135147448</c:v>
                      </c:pt>
                      <c:pt idx="348">
                        <c:v>-164361.68016963839</c:v>
                      </c:pt>
                      <c:pt idx="349">
                        <c:v>-164107.01687895518</c:v>
                      </c:pt>
                      <c:pt idx="350">
                        <c:v>-163823.96086745473</c:v>
                      </c:pt>
                      <c:pt idx="351">
                        <c:v>-163512.25110435105</c:v>
                      </c:pt>
                      <c:pt idx="352">
                        <c:v>-163171.61574666775</c:v>
                      </c:pt>
                      <c:pt idx="353">
                        <c:v>-162801.77172109389</c:v>
                      </c:pt>
                      <c:pt idx="354">
                        <c:v>-162402.42427934479</c:v>
                      </c:pt>
                      <c:pt idx="355">
                        <c:v>-161973.26652514949</c:v>
                      </c:pt>
                      <c:pt idx="356">
                        <c:v>-161513.97891081672</c:v>
                      </c:pt>
                      <c:pt idx="357">
                        <c:v>-161024.22870114626</c:v>
                      </c:pt>
                      <c:pt idx="358">
                        <c:v>-160503.66940224616</c:v>
                      </c:pt>
                      <c:pt idx="359">
                        <c:v>-159951.94015258938</c:v>
                      </c:pt>
                      <c:pt idx="360">
                        <c:v>-159368.66507339192</c:v>
                      </c:pt>
                      <c:pt idx="361">
                        <c:v>-158753.45257511485</c:v>
                      </c:pt>
                      <c:pt idx="362">
                        <c:v>-158105.89461658295</c:v>
                      </c:pt>
                      <c:pt idx="363">
                        <c:v>-157425.56591286793</c:v>
                      </c:pt>
                      <c:pt idx="364">
                        <c:v>-156712.02308769902</c:v>
                      </c:pt>
                      <c:pt idx="365">
                        <c:v>-155964.80376573608</c:v>
                      </c:pt>
                      <c:pt idx="366">
                        <c:v>-155183.42559955938</c:v>
                      </c:pt>
                      <c:pt idx="367">
                        <c:v>-154367.38522569422</c:v>
                      </c:pt>
                      <c:pt idx="368">
                        <c:v>-153516.15714338547</c:v>
                      </c:pt>
                      <c:pt idx="369">
                        <c:v>-152629.19250916035</c:v>
                      </c:pt>
                      <c:pt idx="370">
                        <c:v>-151705.91783945484</c:v>
                      </c:pt>
                      <c:pt idx="371">
                        <c:v>-150745.73361271931</c:v>
                      </c:pt>
                      <c:pt idx="372">
                        <c:v>-149748.01276144647</c:v>
                      </c:pt>
                      <c:pt idx="373">
                        <c:v>-148712.09904346307</c:v>
                      </c:pt>
                      <c:pt idx="374">
                        <c:v>-147637.30528057678</c:v>
                      </c:pt>
                      <c:pt idx="375">
                        <c:v>-146522.91145124743</c:v>
                      </c:pt>
                      <c:pt idx="376">
                        <c:v>-145368.1626223296</c:v>
                      </c:pt>
                      <c:pt idx="377">
                        <c:v>-144172.26670308111</c:v>
                      </c:pt>
                      <c:pt idx="378">
                        <c:v>-142934.39200250807</c:v>
                      </c:pt>
                      <c:pt idx="379">
                        <c:v>-141653.66456867958</c:v>
                      </c:pt>
                      <c:pt idx="380">
                        <c:v>-140329.16528583723</c:v>
                      </c:pt>
                      <c:pt idx="381">
                        <c:v>-138959.92670188361</c:v>
                      </c:pt>
                      <c:pt idx="382">
                        <c:v>-137544.92955508173</c:v>
                      </c:pt>
                      <c:pt idx="383">
                        <c:v>-136083.0989644395</c:v>
                      </c:pt>
                      <c:pt idx="384">
                        <c:v>-134573.30024318022</c:v>
                      </c:pt>
                      <c:pt idx="385">
                        <c:v>-133014.33428877112</c:v>
                      </c:pt>
                      <c:pt idx="386">
                        <c:v>-131404.93249603518</c:v>
                      </c:pt>
                      <c:pt idx="387">
                        <c:v>-129743.75113169884</c:v>
                      </c:pt>
                      <c:pt idx="388">
                        <c:v>-128029.36509908513</c:v>
                      </c:pt>
                      <c:pt idx="389">
                        <c:v>-126260.26101023603</c:v>
                      </c:pt>
                      <c:pt idx="390">
                        <c:v>-124434.8294691606</c:v>
                      </c:pt>
                      <c:pt idx="391">
                        <c:v>-122551.35645368013</c:v>
                      </c:pt>
                      <c:pt idx="392">
                        <c:v>-120608.01366388384</c:v>
                      </c:pt>
                      <c:pt idx="393">
                        <c:v>-118602.84768176809</c:v>
                      </c:pt>
                      <c:pt idx="394">
                        <c:v>-116533.76775826054</c:v>
                      </c:pt>
                      <c:pt idx="395">
                        <c:v>-114398.53200931846</c:v>
                      </c:pt>
                      <c:pt idx="396">
                        <c:v>-112194.7317605838</c:v>
                      </c:pt>
                      <c:pt idx="397">
                        <c:v>-109919.77372817376</c:v>
                      </c:pt>
                      <c:pt idx="398">
                        <c:v>-107570.85965897069</c:v>
                      </c:pt>
                      <c:pt idx="399">
                        <c:v>-105144.96297382518</c:v>
                      </c:pt>
                      <c:pt idx="400">
                        <c:v>-102638.80185686323</c:v>
                      </c:pt>
                      <c:pt idx="401">
                        <c:v>-100048.80810753176</c:v>
                      </c:pt>
                      <c:pt idx="402">
                        <c:v>-97371.090910950166</c:v>
                      </c:pt>
                      <c:pt idx="403">
                        <c:v>-94601.394475404013</c:v>
                      </c:pt>
                      <c:pt idx="404">
                        <c:v>-91735.048218048571</c:v>
                      </c:pt>
                      <c:pt idx="405">
                        <c:v>-88766.907829639837</c:v>
                      </c:pt>
                      <c:pt idx="406">
                        <c:v>-85691.285086141565</c:v>
                      </c:pt>
                      <c:pt idx="407">
                        <c:v>-82501.863656281537</c:v>
                      </c:pt>
                      <c:pt idx="408">
                        <c:v>-79191.597317696389</c:v>
                      </c:pt>
                      <c:pt idx="409">
                        <c:v>-75752.585851305048</c:v>
                      </c:pt>
                      <c:pt idx="410">
                        <c:v>-72175.922307762681</c:v>
                      </c:pt>
                      <c:pt idx="411">
                        <c:v>-68451.503159825879</c:v>
                      </c:pt>
                      <c:pt idx="412">
                        <c:v>-64567.78986667953</c:v>
                      </c:pt>
                      <c:pt idx="413">
                        <c:v>-60511.506447305328</c:v>
                      </c:pt>
                      <c:pt idx="414">
                        <c:v>-56267.253152288169</c:v>
                      </c:pt>
                      <c:pt idx="415">
                        <c:v>-51817.013643329592</c:v>
                      </c:pt>
                      <c:pt idx="416">
                        <c:v>-47139.542056550781</c:v>
                      </c:pt>
                      <c:pt idx="417">
                        <c:v>-42209.672209360899</c:v>
                      </c:pt>
                      <c:pt idx="418">
                        <c:v>-36997.810725002702</c:v>
                      </c:pt>
                      <c:pt idx="419">
                        <c:v>-31470.584906370739</c:v>
                      </c:pt>
                      <c:pt idx="420">
                        <c:v>-25595.247827357111</c:v>
                      </c:pt>
                      <c:pt idx="421">
                        <c:v>-19350.681006249815</c:v>
                      </c:pt>
                      <c:pt idx="422">
                        <c:v>-12735.731839650232</c:v>
                      </c:pt>
                      <c:pt idx="423">
                        <c:v>-5753.2717750950205</c:v>
                      </c:pt>
                      <c:pt idx="424">
                        <c:v>1613.6205759754534</c:v>
                      </c:pt>
                      <c:pt idx="425">
                        <c:v>9389.4725715757631</c:v>
                      </c:pt>
                      <c:pt idx="426">
                        <c:v>17548.325632243334</c:v>
                      </c:pt>
                      <c:pt idx="427">
                        <c:v>25917.095847118602</c:v>
                      </c:pt>
                      <c:pt idx="428">
                        <c:v>34115.041824452717</c:v>
                      </c:pt>
                      <c:pt idx="429">
                        <c:v>41706.557152070003</c:v>
                      </c:pt>
                      <c:pt idx="430">
                        <c:v>48466.527676536112</c:v>
                      </c:pt>
                      <c:pt idx="431">
                        <c:v>54420.014280760763</c:v>
                      </c:pt>
                      <c:pt idx="432">
                        <c:v>59696.479090371555</c:v>
                      </c:pt>
                      <c:pt idx="433">
                        <c:v>64428.468150079047</c:v>
                      </c:pt>
                      <c:pt idx="434">
                        <c:v>68723.187544503133</c:v>
                      </c:pt>
                      <c:pt idx="435">
                        <c:v>72662.279707798749</c:v>
                      </c:pt>
                      <c:pt idx="436">
                        <c:v>76307.463204550455</c:v>
                      </c:pt>
                      <c:pt idx="437">
                        <c:v>79705.87962969979</c:v>
                      </c:pt>
                      <c:pt idx="438">
                        <c:v>82894.110741516342</c:v>
                      </c:pt>
                      <c:pt idx="439">
                        <c:v>85901.024114039377</c:v>
                      </c:pt>
                      <c:pt idx="440">
                        <c:v>88749.768209043759</c:v>
                      </c:pt>
                      <c:pt idx="441">
                        <c:v>91459.181019871306</c:v>
                      </c:pt>
                      <c:pt idx="442">
                        <c:v>94044.798292030988</c:v>
                      </c:pt>
                      <c:pt idx="443">
                        <c:v>96519.586619546157</c:v>
                      </c:pt>
                      <c:pt idx="444">
                        <c:v>98894.485109823974</c:v>
                      </c:pt>
                      <c:pt idx="445">
                        <c:v>101178.81184116231</c:v>
                      </c:pt>
                      <c:pt idx="446">
                        <c:v>103380.57333076642</c:v>
                      </c:pt>
                      <c:pt idx="447">
                        <c:v>105506.70336279416</c:v>
                      </c:pt>
                      <c:pt idx="448">
                        <c:v>107563.24961613819</c:v>
                      </c:pt>
                      <c:pt idx="449">
                        <c:v>109555.5211885894</c:v>
                      </c:pt>
                      <c:pt idx="450">
                        <c:v>111488.20645283097</c:v>
                      </c:pt>
                      <c:pt idx="451">
                        <c:v>113365.46813478132</c:v>
                      </c:pt>
                      <c:pt idx="452">
                        <c:v>115191.02071096488</c:v>
                      </c:pt>
                      <c:pt idx="453">
                        <c:v>116968.19394017151</c:v>
                      </c:pt>
                      <c:pt idx="454">
                        <c:v>118699.9854176143</c:v>
                      </c:pt>
                      <c:pt idx="455">
                        <c:v>120389.10436103569</c:v>
                      </c:pt>
                      <c:pt idx="456">
                        <c:v>122038.00833561046</c:v>
                      </c:pt>
                      <c:pt idx="457">
                        <c:v>123648.93424836488</c:v>
                      </c:pt>
                      <c:pt idx="458">
                        <c:v>125223.92465853151</c:v>
                      </c:pt>
                      <c:pt idx="459">
                        <c:v>126764.85023334606</c:v>
                      </c:pt>
                      <c:pt idx="460">
                        <c:v>128273.42901182949</c:v>
                      </c:pt>
                      <c:pt idx="461">
                        <c:v>129751.24300951225</c:v>
                      </c:pt>
                      <c:pt idx="462">
                        <c:v>131199.75259569183</c:v>
                      </c:pt>
                      <c:pt idx="463">
                        <c:v>132620.30899493644</c:v>
                      </c:pt>
                      <c:pt idx="464">
                        <c:v>134014.16520116371</c:v>
                      </c:pt>
                      <c:pt idx="465">
                        <c:v>135382.48554199276</c:v>
                      </c:pt>
                      <c:pt idx="466">
                        <c:v>136726.35409037469</c:v>
                      </c:pt>
                      <c:pt idx="467">
                        <c:v>138046.7820876042</c:v>
                      </c:pt>
                      <c:pt idx="468">
                        <c:v>139344.71451506394</c:v>
                      </c:pt>
                      <c:pt idx="469">
                        <c:v>140621.0359301861</c:v>
                      </c:pt>
                      <c:pt idx="470">
                        <c:v>141876.57566415102</c:v>
                      </c:pt>
                      <c:pt idx="471">
                        <c:v>143112.11246401176</c:v>
                      </c:pt>
                      <c:pt idx="472">
                        <c:v>144328.37864963451</c:v>
                      </c:pt>
                      <c:pt idx="473">
                        <c:v>145526.06384559901</c:v>
                      </c:pt>
                      <c:pt idx="474">
                        <c:v>146705.81833963396</c:v>
                      </c:pt>
                      <c:pt idx="475">
                        <c:v>147868.25611196426</c:v>
                      </c:pt>
                      <c:pt idx="476">
                        <c:v>149013.95757388041</c:v>
                      </c:pt>
                      <c:pt idx="477">
                        <c:v>150143.47204870539</c:v>
                      </c:pt>
                      <c:pt idx="478">
                        <c:v>151257.32002397513</c:v>
                      </c:pt>
                      <c:pt idx="479">
                        <c:v>152355.99519993432</c:v>
                      </c:pt>
                      <c:pt idx="480">
                        <c:v>153439.96635627435</c:v>
                      </c:pt>
                      <c:pt idx="481">
                        <c:v>154509.67905631781</c:v>
                      </c:pt>
                      <c:pt idx="482">
                        <c:v>155565.55720551318</c:v>
                      </c:pt>
                      <c:pt idx="483">
                        <c:v>156608.00447908364</c:v>
                      </c:pt>
                      <c:pt idx="484">
                        <c:v>157637.40563192792</c:v>
                      </c:pt>
                      <c:pt idx="485">
                        <c:v>158654.12770235667</c:v>
                      </c:pt>
                      <c:pt idx="486">
                        <c:v>159658.52111993087</c:v>
                      </c:pt>
                      <c:pt idx="487">
                        <c:v>160650.92072652167</c:v>
                      </c:pt>
                      <c:pt idx="488">
                        <c:v>161631.64671870761</c:v>
                      </c:pt>
                      <c:pt idx="489">
                        <c:v>162601.0055187484</c:v>
                      </c:pt>
                      <c:pt idx="490">
                        <c:v>163559.29058060213</c:v>
                      </c:pt>
                      <c:pt idx="491">
                        <c:v>164506.78313677674</c:v>
                      </c:pt>
                      <c:pt idx="492">
                        <c:v>165443.75289120738</c:v>
                      </c:pt>
                      <c:pt idx="493">
                        <c:v>166370.458662825</c:v>
                      </c:pt>
                      <c:pt idx="494">
                        <c:v>167287.14898401394</c:v>
                      </c:pt>
                      <c:pt idx="495">
                        <c:v>168194.06265774177</c:v>
                      </c:pt>
                      <c:pt idx="496">
                        <c:v>169091.42927677778</c:v>
                      </c:pt>
                      <c:pt idx="497">
                        <c:v>169979.46970808864</c:v>
                      </c:pt>
                      <c:pt idx="498">
                        <c:v>170858.39654520783</c:v>
                      </c:pt>
                      <c:pt idx="499">
                        <c:v>171728.41453111547</c:v>
                      </c:pt>
                      <c:pt idx="500">
                        <c:v>172589.72095393189</c:v>
                      </c:pt>
                      <c:pt idx="501">
                        <c:v>173442.50601751907</c:v>
                      </c:pt>
                      <c:pt idx="502">
                        <c:v>174286.95318889775</c:v>
                      </c:pt>
                      <c:pt idx="503">
                        <c:v>175123.23952421892</c:v>
                      </c:pt>
                      <c:pt idx="504">
                        <c:v>175951.53597487736</c:v>
                      </c:pt>
                      <c:pt idx="505">
                        <c:v>176772.00767521808</c:v>
                      </c:pt>
                      <c:pt idx="506">
                        <c:v>177584.81421316383</c:v>
                      </c:pt>
                      <c:pt idx="507">
                        <c:v>178390.10988498019</c:v>
                      </c:pt>
                      <c:pt idx="508">
                        <c:v>179188.04393529415</c:v>
                      </c:pt>
                      <c:pt idx="509">
                        <c:v>179978.76078339067</c:v>
                      </c:pt>
                      <c:pt idx="510">
                        <c:v>180762.40023672959</c:v>
                      </c:pt>
                      <c:pt idx="511">
                        <c:v>181539.09769254911</c:v>
                      </c:pt>
                      <c:pt idx="512">
                        <c:v>182308.98432835456</c:v>
                      </c:pt>
                      <c:pt idx="513">
                        <c:v>183072.18728202852</c:v>
                      </c:pt>
                      <c:pt idx="514">
                        <c:v>183828.82982224171</c:v>
                      </c:pt>
                      <c:pt idx="515">
                        <c:v>184579.03150979237</c:v>
                      </c:pt>
                      <c:pt idx="516">
                        <c:v>185322.90835045461</c:v>
                      </c:pt>
                      <c:pt idx="517">
                        <c:v>186060.57293987283</c:v>
                      </c:pt>
                      <c:pt idx="518">
                        <c:v>186792.13460099988</c:v>
                      </c:pt>
                      <c:pt idx="519">
                        <c:v>187517.69951454067</c:v>
                      </c:pt>
                      <c:pt idx="520">
                        <c:v>188237.37084282868</c:v>
                      </c:pt>
                      <c:pt idx="521">
                        <c:v>188951.24884753386</c:v>
                      </c:pt>
                      <c:pt idx="522">
                        <c:v>189659.43100157098</c:v>
                      </c:pt>
                      <c:pt idx="523">
                        <c:v>190362.01209555229</c:v>
                      </c:pt>
                      <c:pt idx="524">
                        <c:v>191059.08433910477</c:v>
                      </c:pt>
                      <c:pt idx="525">
                        <c:v>191750.73745734998</c:v>
                      </c:pt>
                      <c:pt idx="526">
                        <c:v>192437.05878282461</c:v>
                      </c:pt>
                      <c:pt idx="527">
                        <c:v>193118.13334310101</c:v>
                      </c:pt>
                      <c:pt idx="528">
                        <c:v>193794.04394435012</c:v>
                      </c:pt>
                      <c:pt idx="529">
                        <c:v>194464.87125107271</c:v>
                      </c:pt>
                      <c:pt idx="530">
                        <c:v>195130.69386221105</c:v>
                      </c:pt>
                      <c:pt idx="531">
                        <c:v>195791.58838383839</c:v>
                      </c:pt>
                      <c:pt idx="532">
                        <c:v>196447.62949861208</c:v>
                      </c:pt>
                      <c:pt idx="533">
                        <c:v>197098.89003216353</c:v>
                      </c:pt>
                      <c:pt idx="534">
                        <c:v>197745.4410165881</c:v>
                      </c:pt>
                      <c:pt idx="535">
                        <c:v>198387.35175118753</c:v>
                      </c:pt>
                      <c:pt idx="536">
                        <c:v>199024.68986060796</c:v>
                      </c:pt>
                      <c:pt idx="537">
                        <c:v>199657.52135050861</c:v>
                      </c:pt>
                      <c:pt idx="538">
                        <c:v>200285.9106608869</c:v>
                      </c:pt>
                      <c:pt idx="539">
                        <c:v>200909.92071717975</c:v>
                      </c:pt>
                      <c:pt idx="540">
                        <c:v>201529.61297925212</c:v>
                      </c:pt>
                      <c:pt idx="541">
                        <c:v>202145.04748837862</c:v>
                      </c:pt>
                      <c:pt idx="542">
                        <c:v>202756.28291231723</c:v>
                      </c:pt>
                      <c:pt idx="543">
                        <c:v>203363.37658856847</c:v>
                      </c:pt>
                      <c:pt idx="544">
                        <c:v>203966.38456590817</c:v>
                      </c:pt>
                      <c:pt idx="545">
                        <c:v>204565.36164427712</c:v>
                      </c:pt>
                      <c:pt idx="546">
                        <c:v>205160.36141310574</c:v>
                      </c:pt>
                      <c:pt idx="547">
                        <c:v>205751.43628814825</c:v>
                      </c:pt>
                      <c:pt idx="548">
                        <c:v>206338.63754689574</c:v>
                      </c:pt>
                      <c:pt idx="549">
                        <c:v>206922.01536263482</c:v>
                      </c:pt>
                      <c:pt idx="550">
                        <c:v>207501.61883721425</c:v>
                      </c:pt>
                      <c:pt idx="551">
                        <c:v>208077.49603257835</c:v>
                      </c:pt>
                      <c:pt idx="552">
                        <c:v>208649.6940011238</c:v>
                      </c:pt>
                      <c:pt idx="553">
                        <c:v>209218.25881493234</c:v>
                      </c:pt>
                      <c:pt idx="554">
                        <c:v>209783.2355939298</c:v>
                      </c:pt>
                      <c:pt idx="555">
                        <c:v>210344.66853301931</c:v>
                      </c:pt>
                      <c:pt idx="556">
                        <c:v>210902.60092823333</c:v>
                      </c:pt>
                      <c:pt idx="557">
                        <c:v>211457.07520194782</c:v>
                      </c:pt>
                      <c:pt idx="558">
                        <c:v>212008.13292719881</c:v>
                      </c:pt>
                      <c:pt idx="559">
                        <c:v>212555.81485114023</c:v>
                      </c:pt>
                      <c:pt idx="560">
                        <c:v>213100.16091767952</c:v>
                      </c:pt>
                      <c:pt idx="561">
                        <c:v>213641.2102893258</c:v>
                      </c:pt>
                      <c:pt idx="562">
                        <c:v>214179.00136828367</c:v>
                      </c:pt>
                      <c:pt idx="563">
                        <c:v>214713.57181682438</c:v>
                      </c:pt>
                      <c:pt idx="564">
                        <c:v>215244.95857696381</c:v>
                      </c:pt>
                      <c:pt idx="565">
                        <c:v>215773.19788947626</c:v>
                      </c:pt>
                      <c:pt idx="566">
                        <c:v>216298.32531227081</c:v>
                      </c:pt>
                      <c:pt idx="567">
                        <c:v>216820.37573815617</c:v>
                      </c:pt>
                      <c:pt idx="568">
                        <c:v>217339.38341201856</c:v>
                      </c:pt>
                      <c:pt idx="569">
                        <c:v>217855.38194743634</c:v>
                      </c:pt>
                      <c:pt idx="570">
                        <c:v>218368.40434275323</c:v>
                      </c:pt>
                      <c:pt idx="571">
                        <c:v>218878.48299663202</c:v>
                      </c:pt>
                      <c:pt idx="572">
                        <c:v>219385.64972310845</c:v>
                      </c:pt>
                      <c:pt idx="573">
                        <c:v>219889.9357661652</c:v>
                      </c:pt>
                      <c:pt idx="574">
                        <c:v>220391.37181384434</c:v>
                      </c:pt>
                      <c:pt idx="575">
                        <c:v>220889.98801191556</c:v>
                      </c:pt>
                      <c:pt idx="576">
                        <c:v>221385.8139771178</c:v>
                      </c:pt>
                      <c:pt idx="577">
                        <c:v>221878.87880998963</c:v>
                      </c:pt>
                      <c:pt idx="578">
                        <c:v>222369.21110730444</c:v>
                      </c:pt>
                      <c:pt idx="579">
                        <c:v>222856.83897412455</c:v>
                      </c:pt>
                      <c:pt idx="580">
                        <c:v>223341.7900354891</c:v>
                      </c:pt>
                      <c:pt idx="581">
                        <c:v>223824.09144774862</c:v>
                      </c:pt>
                      <c:pt idx="582">
                        <c:v>224303.76990955923</c:v>
                      </c:pt>
                      <c:pt idx="583">
                        <c:v>224780.85167254912</c:v>
                      </c:pt>
                      <c:pt idx="584">
                        <c:v>225255.36255166912</c:v>
                      </c:pt>
                      <c:pt idx="585">
                        <c:v>225727.32793523822</c:v>
                      </c:pt>
                      <c:pt idx="586">
                        <c:v>226196.77279469548</c:v>
                      </c:pt>
                      <c:pt idx="587">
                        <c:v>226663.7216940684</c:v>
                      </c:pt>
                      <c:pt idx="588">
                        <c:v>227128.19879916785</c:v>
                      </c:pt>
                      <c:pt idx="589">
                        <c:v>227590.22788651896</c:v>
                      </c:pt>
                      <c:pt idx="590">
                        <c:v>228049.8323520374</c:v>
                      </c:pt>
                      <c:pt idx="591">
                        <c:v>228507.03521945962</c:v>
                      </c:pt>
                      <c:pt idx="592">
                        <c:v>228961.8591485355</c:v>
                      </c:pt>
                      <c:pt idx="593">
                        <c:v>229414.32644299176</c:v>
                      </c:pt>
                      <c:pt idx="594">
                        <c:v>229864.45905827355</c:v>
                      </c:pt>
                      <c:pt idx="595">
                        <c:v>230312.27860907195</c:v>
                      </c:pt>
                      <c:pt idx="596">
                        <c:v>230757.80637664441</c:v>
                      </c:pt>
                      <c:pt idx="597">
                        <c:v>231201.06331593517</c:v>
                      </c:pt>
                      <c:pt idx="598">
                        <c:v>231642.07006250211</c:v>
                      </c:pt>
                      <c:pt idx="599">
                        <c:v>232080.84693925659</c:v>
                      </c:pt>
                      <c:pt idx="600">
                        <c:v>232517.413963022</c:v>
                      </c:pt>
                      <c:pt idx="601">
                        <c:v>232951.79085091769</c:v>
                      </c:pt>
                      <c:pt idx="602">
                        <c:v>233383.99702657294</c:v>
                      </c:pt>
                      <c:pt idx="603">
                        <c:v>233814.05162617716</c:v>
                      </c:pt>
                      <c:pt idx="604">
                        <c:v>234241.97350437145</c:v>
                      </c:pt>
                      <c:pt idx="605">
                        <c:v>234667.78123998625</c:v>
                      </c:pt>
                      <c:pt idx="606">
                        <c:v>235091.49314163011</c:v>
                      </c:pt>
                      <c:pt idx="607">
                        <c:v>235513.12725313447</c:v>
                      </c:pt>
                      <c:pt idx="608">
                        <c:v>235932.70135885855</c:v>
                      </c:pt>
                      <c:pt idx="609">
                        <c:v>236350.23298885912</c:v>
                      </c:pt>
                      <c:pt idx="610">
                        <c:v>236765.73942392896</c:v>
                      </c:pt>
                      <c:pt idx="611">
                        <c:v>237179.23770050818</c:v>
                      </c:pt>
                      <c:pt idx="612">
                        <c:v>237590.7446154725</c:v>
                      </c:pt>
                      <c:pt idx="613">
                        <c:v>238000.27673080182</c:v>
                      </c:pt>
                      <c:pt idx="614">
                        <c:v>238407.85037813304</c:v>
                      </c:pt>
                      <c:pt idx="615">
                        <c:v>238813.48166320048</c:v>
                      </c:pt>
                      <c:pt idx="616">
                        <c:v>239217.18647016722</c:v>
                      </c:pt>
                      <c:pt idx="617">
                        <c:v>239618.98046585068</c:v>
                      </c:pt>
                      <c:pt idx="618">
                        <c:v>240018.87910384557</c:v>
                      </c:pt>
                      <c:pt idx="619">
                        <c:v>240416.89762854725</c:v>
                      </c:pt>
                      <c:pt idx="620">
                        <c:v>240813.0510790782</c:v>
                      </c:pt>
                      <c:pt idx="621">
                        <c:v>241207.35429312076</c:v>
                      </c:pt>
                      <c:pt idx="622">
                        <c:v>241599.82191065868</c:v>
                      </c:pt>
                      <c:pt idx="623">
                        <c:v>241990.46837763008</c:v>
                      </c:pt>
                      <c:pt idx="624">
                        <c:v>242379.3079494944</c:v>
                      </c:pt>
                      <c:pt idx="625">
                        <c:v>242766.35469471585</c:v>
                      </c:pt>
                      <c:pt idx="626">
                        <c:v>243151.62249816561</c:v>
                      </c:pt>
                      <c:pt idx="627">
                        <c:v>243535.12506444522</c:v>
                      </c:pt>
                      <c:pt idx="628">
                        <c:v>243916.87592113321</c:v>
                      </c:pt>
                      <c:pt idx="629">
                        <c:v>244296.88842195735</c:v>
                      </c:pt>
                      <c:pt idx="630">
                        <c:v>244675.17574989432</c:v>
                      </c:pt>
                      <c:pt idx="631">
                        <c:v>245051.75092019895</c:v>
                      </c:pt>
                      <c:pt idx="632">
                        <c:v>245426.62678336509</c:v>
                      </c:pt>
                      <c:pt idx="633">
                        <c:v>245799.81602801962</c:v>
                      </c:pt>
                      <c:pt idx="634">
                        <c:v>246171.33118375193</c:v>
                      </c:pt>
                      <c:pt idx="635">
                        <c:v>246541.18462388011</c:v>
                      </c:pt>
                      <c:pt idx="636">
                        <c:v>246909.38856815596</c:v>
                      </c:pt>
                      <c:pt idx="637">
                        <c:v>247275.95508541024</c:v>
                      </c:pt>
                      <c:pt idx="638">
                        <c:v>247640.89609613986</c:v>
                      </c:pt>
                      <c:pt idx="639">
                        <c:v>248004.22337503839</c:v>
                      </c:pt>
                      <c:pt idx="640">
                        <c:v>248365.9485534718</c:v>
                      </c:pt>
                      <c:pt idx="641">
                        <c:v>248726.0831219003</c:v>
                      </c:pt>
                      <c:pt idx="642">
                        <c:v>249084.6384322482</c:v>
                      </c:pt>
                      <c:pt idx="643">
                        <c:v>249441.62570022282</c:v>
                      </c:pt>
                      <c:pt idx="644">
                        <c:v>249797.05600758397</c:v>
                      </c:pt>
                      <c:pt idx="645">
                        <c:v>250150.94030436521</c:v>
                      </c:pt>
                      <c:pt idx="646">
                        <c:v>250503.28941104808</c:v>
                      </c:pt>
                      <c:pt idx="647">
                        <c:v>250854.11402069058</c:v>
                      </c:pt>
                      <c:pt idx="648">
                        <c:v>251203.42470101107</c:v>
                      </c:pt>
                      <c:pt idx="649">
                        <c:v>251551.23189642874</c:v>
                      </c:pt>
                      <c:pt idx="650">
                        <c:v>251897.54593006152</c:v>
                      </c:pt>
                      <c:pt idx="651">
                        <c:v>252242.37700568294</c:v>
                      </c:pt>
                      <c:pt idx="652">
                        <c:v>252585.7352096386</c:v>
                      </c:pt>
                      <c:pt idx="653">
                        <c:v>252927.63051272329</c:v>
                      </c:pt>
                      <c:pt idx="654">
                        <c:v>253268.07277202007</c:v>
                      </c:pt>
                      <c:pt idx="655">
                        <c:v>253607.07173270173</c:v>
                      </c:pt>
                      <c:pt idx="656">
                        <c:v>253944.63702979608</c:v>
                      </c:pt>
                      <c:pt idx="657">
                        <c:v>254280.77818991547</c:v>
                      </c:pt>
                      <c:pt idx="658">
                        <c:v>254615.50463295195</c:v>
                      </c:pt>
                      <c:pt idx="659">
                        <c:v>254948.82567373832</c:v>
                      </c:pt>
                      <c:pt idx="660">
                        <c:v>255280.75052367637</c:v>
                      </c:pt>
                      <c:pt idx="661">
                        <c:v>255611.2882923329</c:v>
                      </c:pt>
                      <c:pt idx="662">
                        <c:v>255940.44798900426</c:v>
                      </c:pt>
                      <c:pt idx="663">
                        <c:v>256268.23852425016</c:v>
                      </c:pt>
                      <c:pt idx="664">
                        <c:v>256594.66871139777</c:v>
                      </c:pt>
                      <c:pt idx="665">
                        <c:v>256919.74726801628</c:v>
                      </c:pt>
                      <c:pt idx="666">
                        <c:v>257243.48281736308</c:v>
                      </c:pt>
                      <c:pt idx="667">
                        <c:v>257565.88388980218</c:v>
                      </c:pt>
                      <c:pt idx="668">
                        <c:v>257886.95892419512</c:v>
                      </c:pt>
                      <c:pt idx="669">
                        <c:v>258206.71626926542</c:v>
                      </c:pt>
                      <c:pt idx="670">
                        <c:v>258525.16418493728</c:v>
                      </c:pt>
                      <c:pt idx="671">
                        <c:v>258842.31084364845</c:v>
                      </c:pt>
                      <c:pt idx="672">
                        <c:v>259158.16433163875</c:v>
                      </c:pt>
                      <c:pt idx="673">
                        <c:v>259472.73265021414</c:v>
                      </c:pt>
                      <c:pt idx="674">
                        <c:v>259786.02371698714</c:v>
                      </c:pt>
                      <c:pt idx="675">
                        <c:v>260098.04536709425</c:v>
                      </c:pt>
                      <c:pt idx="676">
                        <c:v>260408.8053543905</c:v>
                      </c:pt>
                      <c:pt idx="677">
                        <c:v>260718.3113526222</c:v>
                      </c:pt>
                      <c:pt idx="678">
                        <c:v>261026.57095657798</c:v>
                      </c:pt>
                      <c:pt idx="679">
                        <c:v>261333.5916832186</c:v>
                      </c:pt>
                      <c:pt idx="680">
                        <c:v>261639.38097278628</c:v>
                      </c:pt>
                      <c:pt idx="681">
                        <c:v>261943.9461898937</c:v>
                      </c:pt>
                      <c:pt idx="682">
                        <c:v>262247.29462459346</c:v>
                      </c:pt>
                      <c:pt idx="683">
                        <c:v>262549.43349342793</c:v>
                      </c:pt>
                      <c:pt idx="684">
                        <c:v>262850.3699404606</c:v>
                      </c:pt>
                      <c:pt idx="685">
                        <c:v>263150.11103828845</c:v>
                      </c:pt>
                      <c:pt idx="686">
                        <c:v>263448.66378903692</c:v>
                      </c:pt>
                      <c:pt idx="687">
                        <c:v>263746.03512533649</c:v>
                      </c:pt>
                      <c:pt idx="688">
                        <c:v>264042.23191128252</c:v>
                      </c:pt>
                      <c:pt idx="689">
                        <c:v>264337.26094337786</c:v>
                      </c:pt>
                      <c:pt idx="690">
                        <c:v>264631.12895145896</c:v>
                      </c:pt>
                      <c:pt idx="691">
                        <c:v>264923.84259960591</c:v>
                      </c:pt>
                      <c:pt idx="692">
                        <c:v>265215.40848703636</c:v>
                      </c:pt>
                      <c:pt idx="693">
                        <c:v>265505.83314898424</c:v>
                      </c:pt>
                      <c:pt idx="694">
                        <c:v>265795.12305756286</c:v>
                      </c:pt>
                      <c:pt idx="695">
                        <c:v>266083.28462261357</c:v>
                      </c:pt>
                      <c:pt idx="696">
                        <c:v>266370.3241925395</c:v>
                      </c:pt>
                      <c:pt idx="697">
                        <c:v>266656.2480551253</c:v>
                      </c:pt>
                      <c:pt idx="698">
                        <c:v>266941.06243834266</c:v>
                      </c:pt>
                      <c:pt idx="699">
                        <c:v>267224.77351114247</c:v>
                      </c:pt>
                      <c:pt idx="700">
                        <c:v>267507.38738423318</c:v>
                      </c:pt>
                      <c:pt idx="701">
                        <c:v>267788.91011084639</c:v>
                      </c:pt>
                      <c:pt idx="702">
                        <c:v>268069.34768748941</c:v>
                      </c:pt>
                      <c:pt idx="703">
                        <c:v>268348.70605468523</c:v>
                      </c:pt>
                      <c:pt idx="704">
                        <c:v>268626.99109770032</c:v>
                      </c:pt>
                      <c:pt idx="705">
                        <c:v>268904.20864725992</c:v>
                      </c:pt>
                      <c:pt idx="706">
                        <c:v>269180.36448025214</c:v>
                      </c:pt>
                      <c:pt idx="707">
                        <c:v>269455.46432041988</c:v>
                      </c:pt>
                      <c:pt idx="708">
                        <c:v>269729.5138390417</c:v>
                      </c:pt>
                      <c:pt idx="709">
                        <c:v>270002.51865560131</c:v>
                      </c:pt>
                      <c:pt idx="710">
                        <c:v>270274.48433844646</c:v>
                      </c:pt>
                      <c:pt idx="711">
                        <c:v>270545.41640543682</c:v>
                      </c:pt>
                      <c:pt idx="712">
                        <c:v>270815.32032458147</c:v>
                      </c:pt>
                      <c:pt idx="713">
                        <c:v>271084.20151466609</c:v>
                      </c:pt>
                      <c:pt idx="714">
                        <c:v>271352.06534587027</c:v>
                      </c:pt>
                      <c:pt idx="715">
                        <c:v>271618.91714037448</c:v>
                      </c:pt>
                      <c:pt idx="716">
                        <c:v>271884.76217295782</c:v>
                      </c:pt>
                      <c:pt idx="717">
                        <c:v>272149.60567158594</c:v>
                      </c:pt>
                      <c:pt idx="718">
                        <c:v>272413.45281798986</c:v>
                      </c:pt>
                      <c:pt idx="719">
                        <c:v>272676.3087482354</c:v>
                      </c:pt>
                      <c:pt idx="720">
                        <c:v>272938.17855328385</c:v>
                      </c:pt>
                      <c:pt idx="721">
                        <c:v>273199.06727954373</c:v>
                      </c:pt>
                      <c:pt idx="722">
                        <c:v>273458.979929414</c:v>
                      </c:pt>
                      <c:pt idx="723">
                        <c:v>273717.9214618188</c:v>
                      </c:pt>
                      <c:pt idx="724">
                        <c:v>273975.89679273369</c:v>
                      </c:pt>
                      <c:pt idx="725">
                        <c:v>274232.91079570405</c:v>
                      </c:pt>
                      <c:pt idx="726">
                        <c:v>274488.96830235526</c:v>
                      </c:pt>
                      <c:pt idx="727">
                        <c:v>274744.0741028951</c:v>
                      </c:pt>
                      <c:pt idx="728">
                        <c:v>274998.23294660851</c:v>
                      </c:pt>
                      <c:pt idx="729">
                        <c:v>275251.44954234472</c:v>
                      </c:pt>
                      <c:pt idx="730">
                        <c:v>275503.72855899698</c:v>
                      </c:pt>
                      <c:pt idx="731">
                        <c:v>275755.07462597499</c:v>
                      </c:pt>
                      <c:pt idx="732">
                        <c:v>276005.49233367032</c:v>
                      </c:pt>
                      <c:pt idx="733">
                        <c:v>276254.98623391468</c:v>
                      </c:pt>
                      <c:pt idx="734">
                        <c:v>276503.56084043114</c:v>
                      </c:pt>
                      <c:pt idx="735">
                        <c:v>276751.22062927909</c:v>
                      </c:pt>
                      <c:pt idx="736">
                        <c:v>276997.97003929206</c:v>
                      </c:pt>
                      <c:pt idx="737">
                        <c:v>277243.81347250938</c:v>
                      </c:pt>
                      <c:pt idx="738">
                        <c:v>277488.7552946012</c:v>
                      </c:pt>
                      <c:pt idx="739">
                        <c:v>277732.79983528744</c:v>
                      </c:pt>
                      <c:pt idx="740">
                        <c:v>277975.95138875017</c:v>
                      </c:pt>
                      <c:pt idx="741">
                        <c:v>278218.21421404055</c:v>
                      </c:pt>
                      <c:pt idx="742">
                        <c:v>278459.59253547934</c:v>
                      </c:pt>
                      <c:pt idx="743">
                        <c:v>278700.09054305172</c:v>
                      </c:pt>
                      <c:pt idx="744">
                        <c:v>278939.71239279641</c:v>
                      </c:pt>
                      <c:pt idx="745">
                        <c:v>279178.462207189</c:v>
                      </c:pt>
                      <c:pt idx="746">
                        <c:v>279416.34407551982</c:v>
                      </c:pt>
                      <c:pt idx="747">
                        <c:v>279653.36205426668</c:v>
                      </c:pt>
                      <c:pt idx="748">
                        <c:v>279889.5201674616</c:v>
                      </c:pt>
                      <c:pt idx="749">
                        <c:v>280124.82240705297</c:v>
                      </c:pt>
                      <c:pt idx="750">
                        <c:v>280359.27273326193</c:v>
                      </c:pt>
                      <c:pt idx="751">
                        <c:v>280592.87507493427</c:v>
                      </c:pt>
                      <c:pt idx="752">
                        <c:v>280825.633329887</c:v>
                      </c:pt>
                      <c:pt idx="753">
                        <c:v>281057.55136524985</c:v>
                      </c:pt>
                      <c:pt idx="754">
                        <c:v>281288.63301780244</c:v>
                      </c:pt>
                      <c:pt idx="755">
                        <c:v>281518.88209430641</c:v>
                      </c:pt>
                      <c:pt idx="756">
                        <c:v>281748.30237183289</c:v>
                      </c:pt>
                      <c:pt idx="757">
                        <c:v>281976.89759808552</c:v>
                      </c:pt>
                      <c:pt idx="758">
                        <c:v>282204.67149171891</c:v>
                      </c:pt>
                      <c:pt idx="759">
                        <c:v>282431.62774265261</c:v>
                      </c:pt>
                      <c:pt idx="760">
                        <c:v>282657.77001238085</c:v>
                      </c:pt>
                      <c:pt idx="761">
                        <c:v>282883.10193427809</c:v>
                      </c:pt>
                      <c:pt idx="762">
                        <c:v>283107.62711390003</c:v>
                      </c:pt>
                      <c:pt idx="763">
                        <c:v>283331.34912928095</c:v>
                      </c:pt>
                      <c:pt idx="764">
                        <c:v>283554.27153122652</c:v>
                      </c:pt>
                      <c:pt idx="765">
                        <c:v>283776.39784360304</c:v>
                      </c:pt>
                      <c:pt idx="766">
                        <c:v>283997.73156362254</c:v>
                      </c:pt>
                      <c:pt idx="767">
                        <c:v>284218.27616212389</c:v>
                      </c:pt>
                      <c:pt idx="768">
                        <c:v>284438.03508385044</c:v>
                      </c:pt>
                      <c:pt idx="769">
                        <c:v>284657.01174772356</c:v>
                      </c:pt>
                      <c:pt idx="770">
                        <c:v>284875.20954711287</c:v>
                      </c:pt>
                      <c:pt idx="771">
                        <c:v>285092.63185010268</c:v>
                      </c:pt>
                      <c:pt idx="772">
                        <c:v>285309.28199975472</c:v>
                      </c:pt>
                      <c:pt idx="773">
                        <c:v>285525.16331436759</c:v>
                      </c:pt>
                      <c:pt idx="774">
                        <c:v>285740.27908773284</c:v>
                      </c:pt>
                      <c:pt idx="775">
                        <c:v>285954.63258938736</c:v>
                      </c:pt>
                      <c:pt idx="776">
                        <c:v>286168.22706486261</c:v>
                      </c:pt>
                      <c:pt idx="777">
                        <c:v>286381.06573593069</c:v>
                      </c:pt>
                      <c:pt idx="778">
                        <c:v>286593.15180084697</c:v>
                      </c:pt>
                      <c:pt idx="779">
                        <c:v>286804.48843458958</c:v>
                      </c:pt>
                      <c:pt idx="780">
                        <c:v>287015.07878909603</c:v>
                      </c:pt>
                      <c:pt idx="781">
                        <c:v>287224.92599349638</c:v>
                      </c:pt>
                      <c:pt idx="782">
                        <c:v>287434.0331543436</c:v>
                      </c:pt>
                      <c:pt idx="783">
                        <c:v>287642.40335584112</c:v>
                      </c:pt>
                      <c:pt idx="784">
                        <c:v>287850.03966006701</c:v>
                      </c:pt>
                      <c:pt idx="785">
                        <c:v>288056.94510719547</c:v>
                      </c:pt>
                      <c:pt idx="786">
                        <c:v>288263.12271571573</c:v>
                      </c:pt>
                      <c:pt idx="787">
                        <c:v>288468.57548264781</c:v>
                      </c:pt>
                      <c:pt idx="788">
                        <c:v>288673.30638375587</c:v>
                      </c:pt>
                      <c:pt idx="789">
                        <c:v>288877.31837375829</c:v>
                      </c:pt>
                      <c:pt idx="790">
                        <c:v>289080.61438653583</c:v>
                      </c:pt>
                      <c:pt idx="791">
                        <c:v>289283.19733533647</c:v>
                      </c:pt>
                      <c:pt idx="792">
                        <c:v>289485.07011297811</c:v>
                      </c:pt>
                      <c:pt idx="793">
                        <c:v>289686.23559204856</c:v>
                      </c:pt>
                      <c:pt idx="794">
                        <c:v>289886.69662510307</c:v>
                      </c:pt>
                      <c:pt idx="795">
                        <c:v>290086.45604485931</c:v>
                      </c:pt>
                      <c:pt idx="796">
                        <c:v>290285.5166643901</c:v>
                      </c:pt>
                      <c:pt idx="797">
                        <c:v>290483.88127731334</c:v>
                      </c:pt>
                      <c:pt idx="798">
                        <c:v>290681.55265798024</c:v>
                      </c:pt>
                      <c:pt idx="799">
                        <c:v>290878.53356166062</c:v>
                      </c:pt>
                      <c:pt idx="800">
                        <c:v>291074.82672472607</c:v>
                      </c:pt>
                      <c:pt idx="801">
                        <c:v>291270.43486483122</c:v>
                      </c:pt>
                      <c:pt idx="802">
                        <c:v>291465.36068109219</c:v>
                      </c:pt>
                      <c:pt idx="803">
                        <c:v>291659.60685426346</c:v>
                      </c:pt>
                      <c:pt idx="804">
                        <c:v>291853.17604691215</c:v>
                      </c:pt>
                      <c:pt idx="805">
                        <c:v>292046.0709035903</c:v>
                      </c:pt>
                      <c:pt idx="806">
                        <c:v>292238.2940510051</c:v>
                      </c:pt>
                      <c:pt idx="807">
                        <c:v>292429.84809818724</c:v>
                      </c:pt>
                      <c:pt idx="808">
                        <c:v>292620.7356366567</c:v>
                      </c:pt>
                      <c:pt idx="809">
                        <c:v>292810.95924058714</c:v>
                      </c:pt>
                      <c:pt idx="810">
                        <c:v>293000.52146696794</c:v>
                      </c:pt>
                      <c:pt idx="811">
                        <c:v>293189.42485576443</c:v>
                      </c:pt>
                      <c:pt idx="812">
                        <c:v>293377.67193007621</c:v>
                      </c:pt>
                      <c:pt idx="813">
                        <c:v>293565.26519629365</c:v>
                      </c:pt>
                      <c:pt idx="814">
                        <c:v>293752.20714425226</c:v>
                      </c:pt>
                      <c:pt idx="815">
                        <c:v>293938.50024738553</c:v>
                      </c:pt>
                      <c:pt idx="816">
                        <c:v>294124.14696287585</c:v>
                      </c:pt>
                      <c:pt idx="817">
                        <c:v>294309.14973180374</c:v>
                      </c:pt>
                      <c:pt idx="818">
                        <c:v>294493.51097929495</c:v>
                      </c:pt>
                      <c:pt idx="819">
                        <c:v>294677.23311466654</c:v>
                      </c:pt>
                      <c:pt idx="820">
                        <c:v>294860.31853157049</c:v>
                      </c:pt>
                      <c:pt idx="821">
                        <c:v>295042.76960813603</c:v>
                      </c:pt>
                      <c:pt idx="822">
                        <c:v>295224.58870711055</c:v>
                      </c:pt>
                      <c:pt idx="823">
                        <c:v>295405.77817599825</c:v>
                      </c:pt>
                      <c:pt idx="824">
                        <c:v>295586.34034719766</c:v>
                      </c:pt>
                      <c:pt idx="825">
                        <c:v>295766.27753813739</c:v>
                      </c:pt>
                      <c:pt idx="826">
                        <c:v>295945.59205141058</c:v>
                      </c:pt>
                      <c:pt idx="827">
                        <c:v>296124.28617490729</c:v>
                      </c:pt>
                      <c:pt idx="828">
                        <c:v>296302.36218194576</c:v>
                      </c:pt>
                      <c:pt idx="829">
                        <c:v>296479.82233140222</c:v>
                      </c:pt>
                      <c:pt idx="830">
                        <c:v>296656.66886783892</c:v>
                      </c:pt>
                      <c:pt idx="831">
                        <c:v>296832.90402163088</c:v>
                      </c:pt>
                      <c:pt idx="832">
                        <c:v>297008.53000909142</c:v>
                      </c:pt>
                      <c:pt idx="833">
                        <c:v>297183.54903259565</c:v>
                      </c:pt>
                      <c:pt idx="834">
                        <c:v>297357.96328070323</c:v>
                      </c:pt>
                      <c:pt idx="835">
                        <c:v>297531.7749282794</c:v>
                      </c:pt>
                      <c:pt idx="836">
                        <c:v>297704.98613661469</c:v>
                      </c:pt>
                      <c:pt idx="837">
                        <c:v>297877.59905354347</c:v>
                      </c:pt>
                      <c:pt idx="838">
                        <c:v>298049.61581356078</c:v>
                      </c:pt>
                      <c:pt idx="839">
                        <c:v>298221.03853793826</c:v>
                      </c:pt>
                      <c:pt idx="840">
                        <c:v>298391.86933483859</c:v>
                      </c:pt>
                      <c:pt idx="841">
                        <c:v>298562.11029942869</c:v>
                      </c:pt>
                      <c:pt idx="842">
                        <c:v>298731.76351399178</c:v>
                      </c:pt>
                      <c:pt idx="843">
                        <c:v>298900.83104803803</c:v>
                      </c:pt>
                      <c:pt idx="844">
                        <c:v>299069.31495841395</c:v>
                      </c:pt>
                      <c:pt idx="845">
                        <c:v>299237.21728941094</c:v>
                      </c:pt>
                      <c:pt idx="846">
                        <c:v>299404.54007287219</c:v>
                      </c:pt>
                      <c:pt idx="847">
                        <c:v>299571.28532829875</c:v>
                      </c:pt>
                      <c:pt idx="848">
                        <c:v>299737.45506295422</c:v>
                      </c:pt>
                      <c:pt idx="849">
                        <c:v>299903.05127196858</c:v>
                      </c:pt>
                      <c:pt idx="850">
                        <c:v>300068.07593844051</c:v>
                      </c:pt>
                      <c:pt idx="851">
                        <c:v>300232.53103353892</c:v>
                      </c:pt>
                      <c:pt idx="852">
                        <c:v>300396.41851660312</c:v>
                      </c:pt>
                      <c:pt idx="853">
                        <c:v>300559.74033524224</c:v>
                      </c:pt>
                      <c:pt idx="854">
                        <c:v>300722.4984254333</c:v>
                      </c:pt>
                      <c:pt idx="855">
                        <c:v>300884.69471161847</c:v>
                      </c:pt>
                      <c:pt idx="856">
                        <c:v>301046.33110680082</c:v>
                      </c:pt>
                      <c:pt idx="857">
                        <c:v>301207.40951263974</c:v>
                      </c:pt>
                      <c:pt idx="858">
                        <c:v>301367.93181954481</c:v>
                      </c:pt>
                      <c:pt idx="859">
                        <c:v>301527.89990676875</c:v>
                      </c:pt>
                      <c:pt idx="860">
                        <c:v>301687.31564249971</c:v>
                      </c:pt>
                      <c:pt idx="861">
                        <c:v>301846.18088395201</c:v>
                      </c:pt>
                      <c:pt idx="862">
                        <c:v>302004.49747745669</c:v>
                      </c:pt>
                      <c:pt idx="863">
                        <c:v>302162.26725855027</c:v>
                      </c:pt>
                      <c:pt idx="864">
                        <c:v>302319.49205206323</c:v>
                      </c:pt>
                      <c:pt idx="865">
                        <c:v>302476.17367220728</c:v>
                      </c:pt>
                      <c:pt idx="866">
                        <c:v>302632.31392266165</c:v>
                      </c:pt>
                      <c:pt idx="867">
                        <c:v>302787.91459665878</c:v>
                      </c:pt>
                      <c:pt idx="868">
                        <c:v>302942.97747706872</c:v>
                      </c:pt>
                      <c:pt idx="869">
                        <c:v>303097.50433648296</c:v>
                      </c:pt>
                      <c:pt idx="870">
                        <c:v>303251.49693729723</c:v>
                      </c:pt>
                      <c:pt idx="871">
                        <c:v>303404.9570317936</c:v>
                      </c:pt>
                      <c:pt idx="872">
                        <c:v>303557.88636222162</c:v>
                      </c:pt>
                      <c:pt idx="873">
                        <c:v>303710.28666087851</c:v>
                      </c:pt>
                      <c:pt idx="874">
                        <c:v>303862.15965018887</c:v>
                      </c:pt>
                      <c:pt idx="875">
                        <c:v>304013.5070427832</c:v>
                      </c:pt>
                      <c:pt idx="876">
                        <c:v>304164.33054157573</c:v>
                      </c:pt>
                      <c:pt idx="877">
                        <c:v>304314.63183984172</c:v>
                      </c:pt>
                      <c:pt idx="878">
                        <c:v>304464.41262129357</c:v>
                      </c:pt>
                      <c:pt idx="879">
                        <c:v>304613.67456015653</c:v>
                      </c:pt>
                      <c:pt idx="880">
                        <c:v>304762.41932124336</c:v>
                      </c:pt>
                      <c:pt idx="881">
                        <c:v>304910.64856002817</c:v>
                      </c:pt>
                      <c:pt idx="882">
                        <c:v>305058.36392272002</c:v>
                      </c:pt>
                      <c:pt idx="883">
                        <c:v>305205.56704633508</c:v>
                      </c:pt>
                      <c:pt idx="884">
                        <c:v>305352.25955876883</c:v>
                      </c:pt>
                      <c:pt idx="885">
                        <c:v>305498.44307886681</c:v>
                      </c:pt>
                      <c:pt idx="886">
                        <c:v>305644.11921649502</c:v>
                      </c:pt>
                      <c:pt idx="887">
                        <c:v>305789.28957260982</c:v>
                      </c:pt>
                      <c:pt idx="888">
                        <c:v>305933.95573932666</c:v>
                      </c:pt>
                      <c:pt idx="889">
                        <c:v>306078.11929998844</c:v>
                      </c:pt>
                      <c:pt idx="890">
                        <c:v>306221.78182923316</c:v>
                      </c:pt>
                      <c:pt idx="891">
                        <c:v>306364.94489306083</c:v>
                      </c:pt>
                      <c:pt idx="892">
                        <c:v>306507.61004889978</c:v>
                      </c:pt>
                      <c:pt idx="893">
                        <c:v>306649.7788456722</c:v>
                      </c:pt>
                      <c:pt idx="894">
                        <c:v>306791.45282385923</c:v>
                      </c:pt>
                      <c:pt idx="895">
                        <c:v>306932.63351556537</c:v>
                      </c:pt>
                      <c:pt idx="896">
                        <c:v>307073.32244458189</c:v>
                      </c:pt>
                      <c:pt idx="897">
                        <c:v>307213.52112645033</c:v>
                      </c:pt>
                      <c:pt idx="898">
                        <c:v>307353.23106852465</c:v>
                      </c:pt>
                      <c:pt idx="899">
                        <c:v>307492.45377003337</c:v>
                      </c:pt>
                      <c:pt idx="900">
                        <c:v>307631.19072214066</c:v>
                      </c:pt>
                      <c:pt idx="901">
                        <c:v>307769.44340800709</c:v>
                      </c:pt>
                      <c:pt idx="902">
                        <c:v>307907.21330284973</c:v>
                      </c:pt>
                      <c:pt idx="903">
                        <c:v>308044.50187400175</c:v>
                      </c:pt>
                      <c:pt idx="904">
                        <c:v>308181.31058097119</c:v>
                      </c:pt>
                      <c:pt idx="905">
                        <c:v>308317.64087549946</c:v>
                      </c:pt>
                      <c:pt idx="906">
                        <c:v>308453.49420161918</c:v>
                      </c:pt>
                      <c:pt idx="907">
                        <c:v>308588.87199571141</c:v>
                      </c:pt>
                      <c:pt idx="908">
                        <c:v>308723.77568656235</c:v>
                      </c:pt>
                      <c:pt idx="909">
                        <c:v>308858.20669541956</c:v>
                      </c:pt>
                      <c:pt idx="910">
                        <c:v>308992.16643604764</c:v>
                      </c:pt>
                      <c:pt idx="911">
                        <c:v>309125.65631478326</c:v>
                      </c:pt>
                      <c:pt idx="912">
                        <c:v>309258.67773058987</c:v>
                      </c:pt>
                      <c:pt idx="913">
                        <c:v>309391.23207511177</c:v>
                      </c:pt>
                      <c:pt idx="914">
                        <c:v>309523.32073272771</c:v>
                      </c:pt>
                      <c:pt idx="915">
                        <c:v>309654.94508060382</c:v>
                      </c:pt>
                      <c:pt idx="916">
                        <c:v>309786.10648874642</c:v>
                      </c:pt>
                      <c:pt idx="917">
                        <c:v>309916.80632005387</c:v>
                      </c:pt>
                      <c:pt idx="918">
                        <c:v>310047.0459303683</c:v>
                      </c:pt>
                      <c:pt idx="919">
                        <c:v>310176.82666852686</c:v>
                      </c:pt>
                      <c:pt idx="920">
                        <c:v>310306.14987641212</c:v>
                      </c:pt>
                      <c:pt idx="921">
                        <c:v>310435.01688900241</c:v>
                      </c:pt>
                      <c:pt idx="922">
                        <c:v>310563.42903442134</c:v>
                      </c:pt>
                      <c:pt idx="923">
                        <c:v>310691.38763398741</c:v>
                      </c:pt>
                      <c:pt idx="924">
                        <c:v>310818.89400226239</c:v>
                      </c:pt>
                      <c:pt idx="925">
                        <c:v>310945.94944709999</c:v>
                      </c:pt>
                      <c:pt idx="926">
                        <c:v>311072.55526969361</c:v>
                      </c:pt>
                      <c:pt idx="927">
                        <c:v>311198.71276462381</c:v>
                      </c:pt>
                      <c:pt idx="928">
                        <c:v>311324.42321990547</c:v>
                      </c:pt>
                      <c:pt idx="929">
                        <c:v>311449.68791703426</c:v>
                      </c:pt>
                      <c:pt idx="930">
                        <c:v>311574.50813103275</c:v>
                      </c:pt>
                      <c:pt idx="931">
                        <c:v>311698.88513049646</c:v>
                      </c:pt>
                      <c:pt idx="932">
                        <c:v>311822.8201776389</c:v>
                      </c:pt>
                      <c:pt idx="933">
                        <c:v>311946.31452833669</c:v>
                      </c:pt>
                      <c:pt idx="934">
                        <c:v>312069.36943217408</c:v>
                      </c:pt>
                      <c:pt idx="935">
                        <c:v>312191.98613248684</c:v>
                      </c:pt>
                      <c:pt idx="936">
                        <c:v>312314.16586640634</c:v>
                      </c:pt>
                      <c:pt idx="937">
                        <c:v>312435.90986490267</c:v>
                      </c:pt>
                      <c:pt idx="938">
                        <c:v>312557.21935282758</c:v>
                      </c:pt>
                      <c:pt idx="939">
                        <c:v>312678.09554895724</c:v>
                      </c:pt>
                      <c:pt idx="940">
                        <c:v>312798.53966603411</c:v>
                      </c:pt>
                      <c:pt idx="941">
                        <c:v>312918.55291080906</c:v>
                      </c:pt>
                      <c:pt idx="942">
                        <c:v>313038.13648408261</c:v>
                      </c:pt>
                      <c:pt idx="943">
                        <c:v>313157.29158074612</c:v>
                      </c:pt>
                      <c:pt idx="944">
                        <c:v>313276.01938982244</c:v>
                      </c:pt>
                      <c:pt idx="945">
                        <c:v>313394.32109450613</c:v>
                      </c:pt>
                      <c:pt idx="946">
                        <c:v>313512.1978722036</c:v>
                      </c:pt>
                      <c:pt idx="947">
                        <c:v>313629.65089457284</c:v>
                      </c:pt>
                      <c:pt idx="948">
                        <c:v>313746.68132756249</c:v>
                      </c:pt>
                      <c:pt idx="949">
                        <c:v>313863.29033145087</c:v>
                      </c:pt>
                      <c:pt idx="950">
                        <c:v>313979.47906088468</c:v>
                      </c:pt>
                      <c:pt idx="951">
                        <c:v>314095.24866491708</c:v>
                      </c:pt>
                      <c:pt idx="952">
                        <c:v>314210.6002870457</c:v>
                      </c:pt>
                      <c:pt idx="953">
                        <c:v>314325.53506525041</c:v>
                      </c:pt>
                      <c:pt idx="954">
                        <c:v>314440.05413203029</c:v>
                      </c:pt>
                      <c:pt idx="955">
                        <c:v>314554.15861444082</c:v>
                      </c:pt>
                      <c:pt idx="956">
                        <c:v>314667.84963413043</c:v>
                      </c:pt>
                      <c:pt idx="957">
                        <c:v>314781.12830737676</c:v>
                      </c:pt>
                      <c:pt idx="958">
                        <c:v>314893.99574512272</c:v>
                      </c:pt>
                      <c:pt idx="959">
                        <c:v>315006.45305301232</c:v>
                      </c:pt>
                      <c:pt idx="960">
                        <c:v>315118.5013314258</c:v>
                      </c:pt>
                      <c:pt idx="961">
                        <c:v>315230.14167551481</c:v>
                      </c:pt>
                      <c:pt idx="962">
                        <c:v>315341.37517523736</c:v>
                      </c:pt>
                      <c:pt idx="963">
                        <c:v>315452.20291539194</c:v>
                      </c:pt>
                      <c:pt idx="964">
                        <c:v>315562.62597565207</c:v>
                      </c:pt>
                      <c:pt idx="965">
                        <c:v>315672.6454306001</c:v>
                      </c:pt>
                      <c:pt idx="966">
                        <c:v>315782.26234976063</c:v>
                      </c:pt>
                      <c:pt idx="967">
                        <c:v>315891.4777976342</c:v>
                      </c:pt>
                      <c:pt idx="968">
                        <c:v>316000.29283373</c:v>
                      </c:pt>
                      <c:pt idx="969">
                        <c:v>316108.70851259877</c:v>
                      </c:pt>
                      <c:pt idx="970">
                        <c:v>316216.72588386532</c:v>
                      </c:pt>
                      <c:pt idx="971">
                        <c:v>316324.34599226073</c:v>
                      </c:pt>
                      <c:pt idx="972">
                        <c:v>316431.56987765426</c:v>
                      </c:pt>
                      <c:pt idx="973">
                        <c:v>316538.39857508504</c:v>
                      </c:pt>
                      <c:pt idx="974">
                        <c:v>316644.83311479352</c:v>
                      </c:pt>
                      <c:pt idx="975">
                        <c:v>316750.87452225253</c:v>
                      </c:pt>
                      <c:pt idx="976">
                        <c:v>316856.52381819842</c:v>
                      </c:pt>
                      <c:pt idx="977">
                        <c:v>316961.78201866132</c:v>
                      </c:pt>
                      <c:pt idx="978">
                        <c:v>317066.65013499587</c:v>
                      </c:pt>
                      <c:pt idx="979">
                        <c:v>317171.12917391106</c:v>
                      </c:pt>
                      <c:pt idx="980">
                        <c:v>317275.22013750038</c:v>
                      </c:pt>
                      <c:pt idx="981">
                        <c:v>317378.92402327131</c:v>
                      </c:pt>
                      <c:pt idx="982">
                        <c:v>317482.24182417459</c:v>
                      </c:pt>
                      <c:pt idx="983">
                        <c:v>317585.17452863359</c:v>
                      </c:pt>
                      <c:pt idx="984">
                        <c:v>317687.72312057309</c:v>
                      </c:pt>
                      <c:pt idx="985">
                        <c:v>317789.8885794481</c:v>
                      </c:pt>
                      <c:pt idx="986">
                        <c:v>317891.67188027204</c:v>
                      </c:pt>
                      <c:pt idx="987">
                        <c:v>317993.07399364514</c:v>
                      </c:pt>
                      <c:pt idx="988">
                        <c:v>318094.09588578239</c:v>
                      </c:pt>
                      <c:pt idx="989">
                        <c:v>318194.73851854115</c:v>
                      </c:pt>
                      <c:pt idx="990">
                        <c:v>318295.00284944894</c:v>
                      </c:pt>
                      <c:pt idx="991">
                        <c:v>318394.8898317304</c:v>
                      </c:pt>
                      <c:pt idx="992">
                        <c:v>318494.40041433467</c:v>
                      </c:pt>
                      <c:pt idx="993">
                        <c:v>318593.53554196208</c:v>
                      </c:pt>
                      <c:pt idx="994">
                        <c:v>318692.29615509079</c:v>
                      </c:pt>
                      <c:pt idx="995">
                        <c:v>318790.68319000333</c:v>
                      </c:pt>
                      <c:pt idx="996">
                        <c:v>318888.69757881266</c:v>
                      </c:pt>
                      <c:pt idx="997">
                        <c:v>318986.34024948825</c:v>
                      </c:pt>
                      <c:pt idx="998">
                        <c:v>319083.61212588201</c:v>
                      </c:pt>
                      <c:pt idx="999">
                        <c:v>319180.51412775362</c:v>
                      </c:pt>
                      <c:pt idx="1000">
                        <c:v>319277.04717079608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Feuil1!$O$4:$O$1004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-22.000217613433108</c:v>
                      </c:pt>
                      <c:pt idx="2">
                        <c:v>-83.142465626436319</c:v>
                      </c:pt>
                      <c:pt idx="3">
                        <c:v>-162.67446546439203</c:v>
                      </c:pt>
                      <c:pt idx="4">
                        <c:v>-214.65297211630315</c:v>
                      </c:pt>
                      <c:pt idx="5">
                        <c:v>-162.52763714472937</c:v>
                      </c:pt>
                      <c:pt idx="6">
                        <c:v>100.30331911005902</c:v>
                      </c:pt>
                      <c:pt idx="7">
                        <c:v>693.32710483211065</c:v>
                      </c:pt>
                      <c:pt idx="8">
                        <c:v>1701.4393760048958</c:v>
                      </c:pt>
                      <c:pt idx="9">
                        <c:v>3106.1849172964803</c:v>
                      </c:pt>
                      <c:pt idx="10">
                        <c:v>4769.1385677095923</c:v>
                      </c:pt>
                      <c:pt idx="11">
                        <c:v>6507.9965228440278</c:v>
                      </c:pt>
                      <c:pt idx="12">
                        <c:v>8175.4840689858001</c:v>
                      </c:pt>
                      <c:pt idx="13">
                        <c:v>9673.1371234751641</c:v>
                      </c:pt>
                      <c:pt idx="14">
                        <c:v>10932.101010677998</c:v>
                      </c:pt>
                      <c:pt idx="15">
                        <c:v>11894.261248381976</c:v>
                      </c:pt>
                      <c:pt idx="16">
                        <c:v>12499.339101669713</c:v>
                      </c:pt>
                      <c:pt idx="17">
                        <c:v>12675.658594755812</c:v>
                      </c:pt>
                      <c:pt idx="18">
                        <c:v>12333.974151837469</c:v>
                      </c:pt>
                      <c:pt idx="19">
                        <c:v>11370.559009285927</c:v>
                      </c:pt>
                      <c:pt idx="20">
                        <c:v>9700.6617154199703</c:v>
                      </c:pt>
                      <c:pt idx="21">
                        <c:v>7344.5629180027354</c:v>
                      </c:pt>
                      <c:pt idx="22">
                        <c:v>4492.7966135665083</c:v>
                      </c:pt>
                      <c:pt idx="23">
                        <c:v>1412.2134348598011</c:v>
                      </c:pt>
                      <c:pt idx="24">
                        <c:v>-1716.7719685434706</c:v>
                      </c:pt>
                      <c:pt idx="25">
                        <c:v>-4846.5089591487467</c:v>
                      </c:pt>
                      <c:pt idx="26">
                        <c:v>-8017.3357630143782</c:v>
                      </c:pt>
                      <c:pt idx="27">
                        <c:v>-11285.779471397373</c:v>
                      </c:pt>
                      <c:pt idx="28">
                        <c:v>-14613.080407414171</c:v>
                      </c:pt>
                      <c:pt idx="29">
                        <c:v>-17770.579992604329</c:v>
                      </c:pt>
                      <c:pt idx="30">
                        <c:v>-20425.863769580363</c:v>
                      </c:pt>
                      <c:pt idx="31">
                        <c:v>-22333.617670371936</c:v>
                      </c:pt>
                      <c:pt idx="32">
                        <c:v>-23385.25816312891</c:v>
                      </c:pt>
                      <c:pt idx="33">
                        <c:v>-23543.34391789334</c:v>
                      </c:pt>
                      <c:pt idx="34">
                        <c:v>-22793.55889155576</c:v>
                      </c:pt>
                      <c:pt idx="35">
                        <c:v>-21135.122305952918</c:v>
                      </c:pt>
                      <c:pt idx="36">
                        <c:v>-18592.731877755396</c:v>
                      </c:pt>
                      <c:pt idx="37">
                        <c:v>-15227.649225363399</c:v>
                      </c:pt>
                      <c:pt idx="38">
                        <c:v>-11117.042779752619</c:v>
                      </c:pt>
                      <c:pt idx="39">
                        <c:v>-6305.3532151098407</c:v>
                      </c:pt>
                      <c:pt idx="40">
                        <c:v>-801.36329369018824</c:v>
                      </c:pt>
                      <c:pt idx="41">
                        <c:v>5297.0645526190874</c:v>
                      </c:pt>
                      <c:pt idx="42">
                        <c:v>11585.516192577492</c:v>
                      </c:pt>
                      <c:pt idx="43">
                        <c:v>17414.353745919838</c:v>
                      </c:pt>
                      <c:pt idx="44">
                        <c:v>22339.764024228229</c:v>
                      </c:pt>
                      <c:pt idx="45">
                        <c:v>26302.144247086435</c:v>
                      </c:pt>
                      <c:pt idx="46">
                        <c:v>29408.339822978738</c:v>
                      </c:pt>
                      <c:pt idx="47">
                        <c:v>31775.678478049984</c:v>
                      </c:pt>
                      <c:pt idx="48">
                        <c:v>33495.717867008236</c:v>
                      </c:pt>
                      <c:pt idx="49">
                        <c:v>34634.328790502448</c:v>
                      </c:pt>
                      <c:pt idx="50">
                        <c:v>35237.249977094529</c:v>
                      </c:pt>
                      <c:pt idx="51">
                        <c:v>35334.781874308697</c:v>
                      </c:pt>
                      <c:pt idx="52">
                        <c:v>34944.917836308647</c:v>
                      </c:pt>
                      <c:pt idx="53">
                        <c:v>34075.169722449798</c:v>
                      </c:pt>
                      <c:pt idx="54">
                        <c:v>32723.371251583336</c:v>
                      </c:pt>
                      <c:pt idx="55">
                        <c:v>30877.629177109953</c:v>
                      </c:pt>
                      <c:pt idx="56">
                        <c:v>28515.505708303455</c:v>
                      </c:pt>
                      <c:pt idx="57">
                        <c:v>25602.546535122798</c:v>
                      </c:pt>
                      <c:pt idx="58">
                        <c:v>22090.689197484018</c:v>
                      </c:pt>
                      <c:pt idx="59">
                        <c:v>17918.929247622811</c:v>
                      </c:pt>
                      <c:pt idx="60">
                        <c:v>13025.648960110313</c:v>
                      </c:pt>
                      <c:pt idx="61">
                        <c:v>7404.6659603737862</c:v>
                      </c:pt>
                      <c:pt idx="62">
                        <c:v>1265.2097245654845</c:v>
                      </c:pt>
                      <c:pt idx="63">
                        <c:v>-4838.469856922974</c:v>
                      </c:pt>
                      <c:pt idx="64">
                        <c:v>-10343.138775112213</c:v>
                      </c:pt>
                      <c:pt idx="65">
                        <c:v>-15080.031956758507</c:v>
                      </c:pt>
                      <c:pt idx="66">
                        <c:v>-19108.440244334579</c:v>
                      </c:pt>
                      <c:pt idx="67">
                        <c:v>-22384.248841129294</c:v>
                      </c:pt>
                      <c:pt idx="68">
                        <c:v>-24782.149950865438</c:v>
                      </c:pt>
                      <c:pt idx="69">
                        <c:v>-26328.554727254952</c:v>
                      </c:pt>
                      <c:pt idx="70">
                        <c:v>-27188.435518856637</c:v>
                      </c:pt>
                      <c:pt idx="71">
                        <c:v>-27514.228679190441</c:v>
                      </c:pt>
                      <c:pt idx="72">
                        <c:v>-27411.304391219772</c:v>
                      </c:pt>
                      <c:pt idx="73">
                        <c:v>-26950.852226261144</c:v>
                      </c:pt>
                      <c:pt idx="74">
                        <c:v>-26182.663557216354</c:v>
                      </c:pt>
                      <c:pt idx="75">
                        <c:v>-25143.010515691029</c:v>
                      </c:pt>
                      <c:pt idx="76">
                        <c:v>-23859.295352069315</c:v>
                      </c:pt>
                      <c:pt idx="77">
                        <c:v>-22352.885222164663</c:v>
                      </c:pt>
                      <c:pt idx="78">
                        <c:v>-20640.935233221491</c:v>
                      </c:pt>
                      <c:pt idx="79">
                        <c:v>-18737.638049543071</c:v>
                      </c:pt>
                      <c:pt idx="80">
                        <c:v>-16655.146566397103</c:v>
                      </c:pt>
                      <c:pt idx="81">
                        <c:v>-14404.311426504337</c:v>
                      </c:pt>
                      <c:pt idx="82">
                        <c:v>-11995.30109168729</c:v>
                      </c:pt>
                      <c:pt idx="83">
                        <c:v>-9438.0735981946891</c:v>
                      </c:pt>
                      <c:pt idx="84">
                        <c:v>-6742.4488254957623</c:v>
                      </c:pt>
                      <c:pt idx="85">
                        <c:v>-3917.0118078438986</c:v>
                      </c:pt>
                      <c:pt idx="86">
                        <c:v>-965.39762045684188</c:v>
                      </c:pt>
                      <c:pt idx="87">
                        <c:v>2117.5825564160596</c:v>
                      </c:pt>
                      <c:pt idx="88">
                        <c:v>5317.1876331018284</c:v>
                      </c:pt>
                      <c:pt idx="89">
                        <c:v>8521.6264285700672</c:v>
                      </c:pt>
                      <c:pt idx="90">
                        <c:v>11550.593120740476</c:v>
                      </c:pt>
                      <c:pt idx="91">
                        <c:v>14239.044188926086</c:v>
                      </c:pt>
                      <c:pt idx="92">
                        <c:v>16399.818106049832</c:v>
                      </c:pt>
                      <c:pt idx="93">
                        <c:v>17784.029810369029</c:v>
                      </c:pt>
                      <c:pt idx="94">
                        <c:v>18179.335298642811</c:v>
                      </c:pt>
                      <c:pt idx="95">
                        <c:v>17581.595781883017</c:v>
                      </c:pt>
                      <c:pt idx="96">
                        <c:v>16201.322183631837</c:v>
                      </c:pt>
                      <c:pt idx="97">
                        <c:v>14299.82454111526</c:v>
                      </c:pt>
                      <c:pt idx="98">
                        <c:v>12078.389717864424</c:v>
                      </c:pt>
                      <c:pt idx="99">
                        <c:v>9668.5803488342935</c:v>
                      </c:pt>
                      <c:pt idx="100">
                        <c:v>7153.5061027267229</c:v>
                      </c:pt>
                      <c:pt idx="101">
                        <c:v>4586.4727141360745</c:v>
                      </c:pt>
                      <c:pt idx="102">
                        <c:v>2002.7485412492076</c:v>
                      </c:pt>
                      <c:pt idx="103">
                        <c:v>-573.50378922460129</c:v>
                      </c:pt>
                      <c:pt idx="104">
                        <c:v>-3125.1409977214494</c:v>
                      </c:pt>
                      <c:pt idx="105">
                        <c:v>-5639.5742061550909</c:v>
                      </c:pt>
                      <c:pt idx="106">
                        <c:v>-8107.2374208857573</c:v>
                      </c:pt>
                      <c:pt idx="107">
                        <c:v>-10520.606315644069</c:v>
                      </c:pt>
                      <c:pt idx="108">
                        <c:v>-12873.550408085644</c:v>
                      </c:pt>
                      <c:pt idx="109">
                        <c:v>-15160.892663200937</c:v>
                      </c:pt>
                      <c:pt idx="110">
                        <c:v>-17378.101288698723</c:v>
                      </c:pt>
                      <c:pt idx="111">
                        <c:v>-19521.067499254725</c:v>
                      </c:pt>
                      <c:pt idx="112">
                        <c:v>-21585.940047188615</c:v>
                      </c:pt>
                      <c:pt idx="113">
                        <c:v>-23568.997546873681</c:v>
                      </c:pt>
                      <c:pt idx="114">
                        <c:v>-25466.545900054276</c:v>
                      </c:pt>
                      <c:pt idx="115">
                        <c:v>-27274.832048369921</c:v>
                      </c:pt>
                      <c:pt idx="116">
                        <c:v>-28989.967746862039</c:v>
                      </c:pt>
                      <c:pt idx="117">
                        <c:v>-30607.858598253079</c:v>
                      </c:pt>
                      <c:pt idx="118">
                        <c:v>-32124.134525477242</c:v>
                      </c:pt>
                      <c:pt idx="119">
                        <c:v>-33534.078374106539</c:v>
                      </c:pt>
                      <c:pt idx="120">
                        <c:v>-34832.549532674253</c:v>
                      </c:pt>
                      <c:pt idx="121">
                        <c:v>-36013.899391395069</c:v>
                      </c:pt>
                      <c:pt idx="122">
                        <c:v>-37071.875145141159</c:v>
                      </c:pt>
                      <c:pt idx="123">
                        <c:v>-37999.507870889131</c:v>
                      </c:pt>
                      <c:pt idx="124">
                        <c:v>-38788.979929900961</c:v>
                      </c:pt>
                      <c:pt idx="125">
                        <c:v>-39431.465484736429</c:v>
                      </c:pt>
                      <c:pt idx="126">
                        <c:v>-39916.936165285188</c:v>
                      </c:pt>
                      <c:pt idx="127">
                        <c:v>-40233.921500803634</c:v>
                      </c:pt>
                      <c:pt idx="128">
                        <c:v>-40369.210428751154</c:v>
                      </c:pt>
                      <c:pt idx="129">
                        <c:v>-40307.475697933594</c:v>
                      </c:pt>
                      <c:pt idx="130">
                        <c:v>-40030.796946731236</c:v>
                      </c:pt>
                      <c:pt idx="131">
                        <c:v>-39518.050320493574</c:v>
                      </c:pt>
                      <c:pt idx="132">
                        <c:v>-38744.12264300113</c:v>
                      </c:pt>
                      <c:pt idx="133">
                        <c:v>-37678.897370036349</c:v>
                      </c:pt>
                      <c:pt idx="134">
                        <c:v>-36285.951944995286</c:v>
                      </c:pt>
                      <c:pt idx="135">
                        <c:v>-34520.914472940451</c:v>
                      </c:pt>
                      <c:pt idx="136">
                        <c:v>-32329.487492857152</c:v>
                      </c:pt>
                      <c:pt idx="137">
                        <c:v>-29645.353698780582</c:v>
                      </c:pt>
                      <c:pt idx="138">
                        <c:v>-26388.783770050384</c:v>
                      </c:pt>
                      <c:pt idx="139">
                        <c:v>-22468.435857208508</c:v>
                      </c:pt>
                      <c:pt idx="140">
                        <c:v>-17793.589974124137</c:v>
                      </c:pt>
                      <c:pt idx="141">
                        <c:v>-12320.322936088674</c:v>
                      </c:pt>
                      <c:pt idx="142">
                        <c:v>-6196.0318379162145</c:v>
                      </c:pt>
                      <c:pt idx="143">
                        <c:v>178.05098804009958</c:v>
                      </c:pt>
                      <c:pt idx="144">
                        <c:v>6490.2267887605203</c:v>
                      </c:pt>
                      <c:pt idx="145">
                        <c:v>12666.819251078776</c:v>
                      </c:pt>
                      <c:pt idx="146">
                        <c:v>18577.77025696497</c:v>
                      </c:pt>
                      <c:pt idx="147">
                        <c:v>24044.677186033783</c:v>
                      </c:pt>
                      <c:pt idx="148">
                        <c:v>29057.667421179034</c:v>
                      </c:pt>
                      <c:pt idx="149">
                        <c:v>33709.473495191494</c:v>
                      </c:pt>
                      <c:pt idx="150">
                        <c:v>38064.222200774631</c:v>
                      </c:pt>
                      <c:pt idx="151">
                        <c:v>42162.782284118308</c:v>
                      </c:pt>
                      <c:pt idx="152">
                        <c:v>46033.556754078025</c:v>
                      </c:pt>
                      <c:pt idx="153">
                        <c:v>49697.755248775306</c:v>
                      </c:pt>
                      <c:pt idx="154">
                        <c:v>53172.000985557032</c:v>
                      </c:pt>
                      <c:pt idx="155">
                        <c:v>56469.753198228114</c:v>
                      </c:pt>
                      <c:pt idx="156">
                        <c:v>59602.159193807289</c:v>
                      </c:pt>
                      <c:pt idx="157">
                        <c:v>62578.604564851164</c:v>
                      </c:pt>
                      <c:pt idx="158">
                        <c:v>65407.089661186277</c:v>
                      </c:pt>
                      <c:pt idx="159">
                        <c:v>68094.498837980966</c:v>
                      </c:pt>
                      <c:pt idx="160">
                        <c:v>70646.799694752961</c:v>
                      </c:pt>
                      <c:pt idx="161">
                        <c:v>73069.194486987675</c:v>
                      </c:pt>
                      <c:pt idx="162">
                        <c:v>75366.237648731709</c:v>
                      </c:pt>
                      <c:pt idx="163">
                        <c:v>77541.92857612051</c:v>
                      </c:pt>
                      <c:pt idx="164">
                        <c:v>79599.78589956474</c:v>
                      </c:pt>
                      <c:pt idx="165">
                        <c:v>81542.907612356779</c:v>
                      </c:pt>
                      <c:pt idx="166">
                        <c:v>83374.020196437617</c:v>
                      </c:pt>
                      <c:pt idx="167">
                        <c:v>85095.519051421128</c:v>
                      </c:pt>
                      <c:pt idx="168">
                        <c:v>86709.50195005865</c:v>
                      </c:pt>
                      <c:pt idx="169">
                        <c:v>88217.796826762366</c:v>
                      </c:pt>
                      <c:pt idx="170">
                        <c:v>89621.984902014927</c:v>
                      </c:pt>
                      <c:pt idx="171">
                        <c:v>90923.41991985499</c:v>
                      </c:pt>
                      <c:pt idx="172">
                        <c:v>92123.244105180886</c:v>
                      </c:pt>
                      <c:pt idx="173">
                        <c:v>93222.401316764342</c:v>
                      </c:pt>
                      <c:pt idx="174">
                        <c:v>94221.647769796662</c:v>
                      </c:pt>
                      <c:pt idx="175">
                        <c:v>95121.560620843768</c:v>
                      </c:pt>
                      <c:pt idx="176">
                        <c:v>95922.544642737979</c:v>
                      </c:pt>
                      <c:pt idx="177">
                        <c:v>96624.837163112374</c:v>
                      </c:pt>
                      <c:pt idx="178">
                        <c:v>97228.511394924339</c:v>
                      </c:pt>
                      <c:pt idx="179">
                        <c:v>97733.478248052212</c:v>
                      </c:pt>
                      <c:pt idx="180">
                        <c:v>98139.486675995926</c:v>
                      </c:pt>
                      <c:pt idx="181">
                        <c:v>98446.122579308998</c:v>
                      </c:pt>
                      <c:pt idx="182">
                        <c:v>98652.806256274998</c:v>
                      </c:pt>
                      <c:pt idx="183">
                        <c:v>98758.788360269828</c:v>
                      </c:pt>
                      <c:pt idx="184">
                        <c:v>98763.14429099689</c:v>
                      </c:pt>
                      <c:pt idx="185">
                        <c:v>98664.76691207313</c:v>
                      </c:pt>
                      <c:pt idx="186">
                        <c:v>98462.357448872935</c:v>
                      </c:pt>
                      <c:pt idx="187">
                        <c:v>98154.414376476838</c:v>
                      </c:pt>
                      <c:pt idx="188">
                        <c:v>97739.220056064223</c:v>
                      </c:pt>
                      <c:pt idx="189">
                        <c:v>97214.824816705412</c:v>
                      </c:pt>
                      <c:pt idx="190">
                        <c:v>96579.028105171543</c:v>
                      </c:pt>
                      <c:pt idx="191">
                        <c:v>95829.356235118219</c:v>
                      </c:pt>
                      <c:pt idx="192">
                        <c:v>94963.036153611771</c:v>
                      </c:pt>
                      <c:pt idx="193">
                        <c:v>93976.96450056287</c:v>
                      </c:pt>
                      <c:pt idx="194">
                        <c:v>92867.671055974366</c:v>
                      </c:pt>
                      <c:pt idx="195">
                        <c:v>91631.275438485871</c:v>
                      </c:pt>
                      <c:pt idx="196">
                        <c:v>90263.43561938178</c:v>
                      </c:pt>
                      <c:pt idx="197">
                        <c:v>88759.286425344006</c:v>
                      </c:pt>
                      <c:pt idx="198">
                        <c:v>87113.365687692538</c:v>
                      </c:pt>
                      <c:pt idx="199">
                        <c:v>85319.525008961966</c:v>
                      </c:pt>
                      <c:pt idx="200">
                        <c:v>83370.821192781368</c:v>
                      </c:pt>
                      <c:pt idx="201">
                        <c:v>81259.38312412861</c:v>
                      </c:pt>
                      <c:pt idx="202">
                        <c:v>78976.247154378463</c:v>
                      </c:pt>
                      <c:pt idx="203">
                        <c:v>76511.151634105554</c:v>
                      </c:pt>
                      <c:pt idx="204">
                        <c:v>73852.277843729971</c:v>
                      </c:pt>
                      <c:pt idx="205">
                        <c:v>70985.919750848479</c:v>
                      </c:pt>
                      <c:pt idx="206">
                        <c:v>67896.058119119509</c:v>
                      </c:pt>
                      <c:pt idx="207">
                        <c:v>64563.804576233197</c:v>
                      </c:pt>
                      <c:pt idx="208">
                        <c:v>60966.667093336124</c:v>
                      </c:pt>
                      <c:pt idx="209">
                        <c:v>57077.568668194006</c:v>
                      </c:pt>
                      <c:pt idx="210">
                        <c:v>52863.525802495962</c:v>
                      </c:pt>
                      <c:pt idx="211">
                        <c:v>48283.868657966887</c:v>
                      </c:pt>
                      <c:pt idx="212">
                        <c:v>43287.889795501862</c:v>
                      </c:pt>
                      <c:pt idx="213">
                        <c:v>37811.9551456189</c:v>
                      </c:pt>
                      <c:pt idx="214">
                        <c:v>31776.801289980536</c:v>
                      </c:pt>
                      <c:pt idx="215">
                        <c:v>25088.36673380512</c:v>
                      </c:pt>
                      <c:pt idx="216">
                        <c:v>17654.367990893719</c:v>
                      </c:pt>
                      <c:pt idx="217">
                        <c:v>9451.6332153750154</c:v>
                      </c:pt>
                      <c:pt idx="218">
                        <c:v>686.09160008608217</c:v>
                      </c:pt>
                      <c:pt idx="219">
                        <c:v>-8109.0470729599419</c:v>
                      </c:pt>
                      <c:pt idx="220">
                        <c:v>-16363.135413169124</c:v>
                      </c:pt>
                      <c:pt idx="221">
                        <c:v>-23827.540013023536</c:v>
                      </c:pt>
                      <c:pt idx="222">
                        <c:v>-30525.56352592053</c:v>
                      </c:pt>
                      <c:pt idx="223">
                        <c:v>-36556.305851762336</c:v>
                      </c:pt>
                      <c:pt idx="224">
                        <c:v>-42014.961891375235</c:v>
                      </c:pt>
                      <c:pt idx="225">
                        <c:v>-46981.502723202342</c:v>
                      </c:pt>
                      <c:pt idx="226">
                        <c:v>-51523.200626681981</c:v>
                      </c:pt>
                      <c:pt idx="227">
                        <c:v>-55696.916409668695</c:v>
                      </c:pt>
                      <c:pt idx="228">
                        <c:v>-59550.441122354852</c:v>
                      </c:pt>
                      <c:pt idx="229">
                        <c:v>-63123.666287721411</c:v>
                      </c:pt>
                      <c:pt idx="230">
                        <c:v>-66449.787063051408</c:v>
                      </c:pt>
                      <c:pt idx="231">
                        <c:v>-69556.459639504741</c:v>
                      </c:pt>
                      <c:pt idx="232">
                        <c:v>-72466.825647168313</c:v>
                      </c:pt>
                      <c:pt idx="233">
                        <c:v>-75200.369629454915</c:v>
                      </c:pt>
                      <c:pt idx="234">
                        <c:v>-77773.614263172451</c:v>
                      </c:pt>
                      <c:pt idx="235">
                        <c:v>-80200.675050091959</c:v>
                      </c:pt>
                      <c:pt idx="236">
                        <c:v>-82493.700131207515</c:v>
                      </c:pt>
                      <c:pt idx="237">
                        <c:v>-84663.21890561968</c:v>
                      </c:pt>
                      <c:pt idx="238">
                        <c:v>-86718.419249913757</c:v>
                      </c:pt>
                      <c:pt idx="239">
                        <c:v>-88667.369116665723</c:v>
                      </c:pt>
                      <c:pt idx="240">
                        <c:v>-90517.194796728509</c:v>
                      </c:pt>
                      <c:pt idx="241">
                        <c:v>-92274.225307611458</c:v>
                      </c:pt>
                      <c:pt idx="242">
                        <c:v>-93944.110171051274</c:v>
                      </c:pt>
                      <c:pt idx="243">
                        <c:v>-95531.916159267959</c:v>
                      </c:pt>
                      <c:pt idx="244">
                        <c:v>-97042.207310505109</c:v>
                      </c:pt>
                      <c:pt idx="245">
                        <c:v>-98479.111544957195</c:v>
                      </c:pt>
                      <c:pt idx="246">
                        <c:v>-99846.376476190271</c:v>
                      </c:pt>
                      <c:pt idx="247">
                        <c:v>-101147.41645245359</c:v>
                      </c:pt>
                      <c:pt idx="248">
                        <c:v>-102385.35243305058</c:v>
                      </c:pt>
                      <c:pt idx="249">
                        <c:v>-103563.04597452213</c:v>
                      </c:pt>
                      <c:pt idx="250">
                        <c:v>-104683.12834551759</c:v>
                      </c:pt>
                      <c:pt idx="251">
                        <c:v>-105748.025589843</c:v>
                      </c:pt>
                      <c:pt idx="252">
                        <c:v>-106759.98020083996</c:v>
                      </c:pt>
                      <c:pt idx="253">
                        <c:v>-107721.06994690369</c:v>
                      </c:pt>
                      <c:pt idx="254">
                        <c:v>-108633.22429004246</c:v>
                      </c:pt>
                      <c:pt idx="255">
                        <c:v>-109498.23876120191</c:v>
                      </c:pt>
                      <c:pt idx="256">
                        <c:v>-110317.78759329455</c:v>
                      </c:pt>
                      <c:pt idx="257">
                        <c:v>-111093.43486217219</c:v>
                      </c:pt>
                      <c:pt idx="258">
                        <c:v>-111826.64434461405</c:v>
                      </c:pt>
                      <c:pt idx="259">
                        <c:v>-112518.78826880894</c:v>
                      </c:pt>
                      <c:pt idx="260">
                        <c:v>-113171.15510525725</c:v>
                      </c:pt>
                      <c:pt idx="261">
                        <c:v>-113784.95652331326</c:v>
                      </c:pt>
                      <c:pt idx="262">
                        <c:v>-114361.33361979297</c:v>
                      </c:pt>
                      <c:pt idx="263">
                        <c:v>-114901.36251044381</c:v>
                      </c:pt>
                      <c:pt idx="264">
                        <c:v>-115406.05936202349</c:v>
                      </c:pt>
                      <c:pt idx="265">
                        <c:v>-115876.38493179542</c:v>
                      </c:pt>
                      <c:pt idx="266">
                        <c:v>-116313.2486720403</c:v>
                      </c:pt>
                      <c:pt idx="267">
                        <c:v>-116717.51244940581</c:v>
                      </c:pt>
                      <c:pt idx="268">
                        <c:v>-117089.99392232193</c:v>
                      </c:pt>
                      <c:pt idx="269">
                        <c:v>-117431.46961409943</c:v>
                      </c:pt>
                      <c:pt idx="270">
                        <c:v>-117742.67771454122</c:v>
                      </c:pt>
                      <c:pt idx="271">
                        <c:v>-118024.32063879563</c:v>
                      </c:pt>
                      <c:pt idx="272">
                        <c:v>-118277.06736865982</c:v>
                      </c:pt>
                      <c:pt idx="273">
                        <c:v>-118501.55559850727</c:v>
                      </c:pt>
                      <c:pt idx="274">
                        <c:v>-118698.39370539332</c:v>
                      </c:pt>
                      <c:pt idx="275">
                        <c:v>-118868.16256062179</c:v>
                      </c:pt>
                      <c:pt idx="276">
                        <c:v>-119011.41719808444</c:v>
                      </c:pt>
                      <c:pt idx="277">
                        <c:v>-119128.68835296761</c:v>
                      </c:pt>
                      <c:pt idx="278">
                        <c:v>-119220.4838829216</c:v>
                      </c:pt>
                      <c:pt idx="279">
                        <c:v>-119287.29008247676</c:v>
                      </c:pt>
                      <c:pt idx="280">
                        <c:v>-119329.57290033999</c:v>
                      </c:pt>
                      <c:pt idx="281">
                        <c:v>-119347.7790681942</c:v>
                      </c:pt>
                      <c:pt idx="282">
                        <c:v>-119342.33714873259</c:v>
                      </c:pt>
                      <c:pt idx="283">
                        <c:v>-119313.65850987336</c:v>
                      </c:pt>
                      <c:pt idx="284">
                        <c:v>-119262.13823140504</c:v>
                      </c:pt>
                      <c:pt idx="285">
                        <c:v>-119188.15594969636</c:v>
                      </c:pt>
                      <c:pt idx="286">
                        <c:v>-119092.07664555726</c:v>
                      </c:pt>
                      <c:pt idx="287">
                        <c:v>-118974.25137985066</c:v>
                      </c:pt>
                      <c:pt idx="288">
                        <c:v>-118835.01798102118</c:v>
                      </c:pt>
                      <c:pt idx="289">
                        <c:v>-118674.70168831943</c:v>
                      </c:pt>
                      <c:pt idx="290">
                        <c:v>-118493.61575415402</c:v>
                      </c:pt>
                      <c:pt idx="291">
                        <c:v>-118292.062008694</c:v>
                      </c:pt>
                      <c:pt idx="292">
                        <c:v>-118070.33138956538</c:v>
                      </c:pt>
                      <c:pt idx="293">
                        <c:v>-117828.70443923587</c:v>
                      </c:pt>
                      <c:pt idx="294">
                        <c:v>-117567.45177245721</c:v>
                      </c:pt>
                      <c:pt idx="295">
                        <c:v>-117286.83451593142</c:v>
                      </c:pt>
                      <c:pt idx="296">
                        <c:v>-116987.10472218471</c:v>
                      </c:pt>
                      <c:pt idx="297">
                        <c:v>-116668.50575946753</c:v>
                      </c:pt>
                      <c:pt idx="298">
                        <c:v>-116331.27267934974</c:v>
                      </c:pt>
                      <c:pt idx="299">
                        <c:v>-115975.63256354444</c:v>
                      </c:pt>
                      <c:pt idx="300">
                        <c:v>-115601.80485137143</c:v>
                      </c:pt>
                      <c:pt idx="301">
                        <c:v>-115210.00164915931</c:v>
                      </c:pt>
                      <c:pt idx="302">
                        <c:v>-114800.42802278436</c:v>
                      </c:pt>
                      <c:pt idx="303">
                        <c:v>-114373.28227445162</c:v>
                      </c:pt>
                      <c:pt idx="304">
                        <c:v>-113928.75620473987</c:v>
                      </c:pt>
                      <c:pt idx="305">
                        <c:v>-113467.03536085536</c:v>
                      </c:pt>
                      <c:pt idx="306">
                        <c:v>-112988.29927196908</c:v>
                      </c:pt>
                      <c:pt idx="307">
                        <c:v>-112492.72167244882</c:v>
                      </c:pt>
                      <c:pt idx="308">
                        <c:v>-111980.47071373809</c:v>
                      </c:pt>
                      <c:pt idx="309">
                        <c:v>-111451.70916558121</c:v>
                      </c:pt>
                      <c:pt idx="310">
                        <c:v>-110906.59460724433</c:v>
                      </c:pt>
                      <c:pt idx="311">
                        <c:v>-110345.27960933733</c:v>
                      </c:pt>
                      <c:pt idx="312">
                        <c:v>-109767.91190680041</c:v>
                      </c:pt>
                      <c:pt idx="313">
                        <c:v>-109174.63456358142</c:v>
                      </c:pt>
                      <c:pt idx="314">
                        <c:v>-108565.58612949512</c:v>
                      </c:pt>
                      <c:pt idx="315">
                        <c:v>-107940.90078972364</c:v>
                      </c:pt>
                      <c:pt idx="316">
                        <c:v>-107300.70850738861</c:v>
                      </c:pt>
                      <c:pt idx="317">
                        <c:v>-106645.1351595977</c:v>
                      </c:pt>
                      <c:pt idx="318">
                        <c:v>-105974.30266734469</c:v>
                      </c:pt>
                      <c:pt idx="319">
                        <c:v>-105288.3291196185</c:v>
                      </c:pt>
                      <c:pt idx="320">
                        <c:v>-104587.32889205668</c:v>
                      </c:pt>
                      <c:pt idx="321">
                        <c:v>-103871.41276045929</c:v>
                      </c:pt>
                      <c:pt idx="322">
                        <c:v>-103140.68800946185</c:v>
                      </c:pt>
                      <c:pt idx="323">
                        <c:v>-102395.25853665022</c:v>
                      </c:pt>
                      <c:pt idx="324">
                        <c:v>-101635.22495238557</c:v>
                      </c:pt>
                      <c:pt idx="325">
                        <c:v>-100860.68467559456</c:v>
                      </c:pt>
                      <c:pt idx="326">
                        <c:v>-100071.73202576788</c:v>
                      </c:pt>
                      <c:pt idx="327">
                        <c:v>-99268.458311399401</c:v>
                      </c:pt>
                      <c:pt idx="328">
                        <c:v>-98450.951915088895</c:v>
                      </c:pt>
                      <c:pt idx="329">
                        <c:v>-97619.298375522441</c:v>
                      </c:pt>
                      <c:pt idx="330">
                        <c:v>-96773.58046653714</c:v>
                      </c:pt>
                      <c:pt idx="331">
                        <c:v>-95913.87827347056</c:v>
                      </c:pt>
                      <c:pt idx="332">
                        <c:v>-95040.26926698965</c:v>
                      </c:pt>
                      <c:pt idx="333">
                        <c:v>-94152.828374589226</c:v>
                      </c:pt>
                      <c:pt idx="334">
                        <c:v>-93251.628049947016</c:v>
                      </c:pt>
                      <c:pt idx="335">
                        <c:v>-92336.738340319265</c:v>
                      </c:pt>
                      <c:pt idx="336">
                        <c:v>-91408.226952159675</c:v>
                      </c:pt>
                      <c:pt idx="337">
                        <c:v>-90466.159315143843</c:v>
                      </c:pt>
                      <c:pt idx="338">
                        <c:v>-89510.598644781727</c:v>
                      </c:pt>
                      <c:pt idx="339">
                        <c:v>-88541.606003802604</c:v>
                      </c:pt>
                      <c:pt idx="340">
                        <c:v>-87559.240362499419</c:v>
                      </c:pt>
                      <c:pt idx="341">
                        <c:v>-86563.55865822357</c:v>
                      </c:pt>
                      <c:pt idx="342">
                        <c:v>-85554.615854226417</c:v>
                      </c:pt>
                      <c:pt idx="343">
                        <c:v>-84532.464998050404</c:v>
                      </c:pt>
                      <c:pt idx="344">
                        <c:v>-83497.157279680861</c:v>
                      </c:pt>
                      <c:pt idx="345">
                        <c:v>-82448.742089679203</c:v>
                      </c:pt>
                      <c:pt idx="346">
                        <c:v>-81387.267077530007</c:v>
                      </c:pt>
                      <c:pt idx="347">
                        <c:v>-80312.778210447505</c:v>
                      </c:pt>
                      <c:pt idx="348">
                        <c:v>-79225.319832903115</c:v>
                      </c:pt>
                      <c:pt idx="349">
                        <c:v>-78124.934727153261</c:v>
                      </c:pt>
                      <c:pt idx="350">
                        <c:v>-77011.664175067563</c:v>
                      </c:pt>
                      <c:pt idx="351">
                        <c:v>-75885.548021580849</c:v>
                      </c:pt>
                      <c:pt idx="352">
                        <c:v>-74746.624740119572</c:v>
                      </c:pt>
                      <c:pt idx="353">
                        <c:v>-73594.931500383318</c:v>
                      </c:pt>
                      <c:pt idx="354">
                        <c:v>-72430.504238897352</c:v>
                      </c:pt>
                      <c:pt idx="355">
                        <c:v>-71253.377732791094</c:v>
                      </c:pt>
                      <c:pt idx="356">
                        <c:v>-70063.585677302239</c:v>
                      </c:pt>
                      <c:pt idx="357">
                        <c:v>-68861.160767557012</c:v>
                      </c:pt>
                      <c:pt idx="358">
                        <c:v>-67646.134785234506</c:v>
                      </c:pt>
                      <c:pt idx="359">
                        <c:v>-66418.53869078838</c:v>
                      </c:pt>
                      <c:pt idx="360">
                        <c:v>-65178.40272197334</c:v>
                      </c:pt>
                      <c:pt idx="361">
                        <c:v>-63925.756499508156</c:v>
                      </c:pt>
                      <c:pt idx="362">
                        <c:v>-62660.629140802957</c:v>
                      </c:pt>
                      <c:pt idx="363">
                        <c:v>-61383.049382787882</c:v>
                      </c:pt>
                      <c:pt idx="364">
                        <c:v>-60093.045715004642</c:v>
                      </c:pt>
                      <c:pt idx="365">
                        <c:v>-58790.646524265212</c:v>
                      </c:pt>
                      <c:pt idx="366">
                        <c:v>-57475.880252344476</c:v>
                      </c:pt>
                      <c:pt idx="367">
                        <c:v>-56148.775568360434</c:v>
                      </c:pt>
                      <c:pt idx="368">
                        <c:v>-54809.361557709541</c:v>
                      </c:pt>
                      <c:pt idx="369">
                        <c:v>-53457.667929671043</c:v>
                      </c:pt>
                      <c:pt idx="370">
                        <c:v>-52093.725246077542</c:v>
                      </c:pt>
                      <c:pt idx="371">
                        <c:v>-50717.565173776311</c:v>
                      </c:pt>
                      <c:pt idx="372">
                        <c:v>-49329.220763984267</c:v>
                      </c:pt>
                      <c:pt idx="373">
                        <c:v>-47928.726762077873</c:v>
                      </c:pt>
                      <c:pt idx="374">
                        <c:v>-46516.119951868881</c:v>
                      </c:pt>
                      <c:pt idx="375">
                        <c:v>-45091.439539009567</c:v>
                      </c:pt>
                      <c:pt idx="376">
                        <c:v>-43654.727578863538</c:v>
                      </c:pt>
                      <c:pt idx="377">
                        <c:v>-42206.029454988035</c:v>
                      </c:pt>
                      <c:pt idx="378">
                        <c:v>-40745.394415324066</c:v>
                      </c:pt>
                      <c:pt idx="379">
                        <c:v>-39272.876174308629</c:v>
                      </c:pt>
                      <c:pt idx="380">
                        <c:v>-37788.533590442712</c:v>
                      </c:pt>
                      <c:pt idx="381">
                        <c:v>-36292.431430410033</c:v>
                      </c:pt>
                      <c:pt idx="382">
                        <c:v>-34784.641232695081</c:v>
                      </c:pt>
                      <c:pt idx="383">
                        <c:v>-33265.242285857108</c:v>
                      </c:pt>
                      <c:pt idx="384">
                        <c:v>-31734.322739255669</c:v>
                      </c:pt>
                      <c:pt idx="385">
                        <c:v>-30191.980867188558</c:v>
                      </c:pt>
                      <c:pt idx="386">
                        <c:v>-28638.326511214273</c:v>
                      </c:pt>
                      <c:pt idx="387">
                        <c:v>-27073.482730037453</c:v>
                      </c:pt>
                      <c:pt idx="388">
                        <c:v>-25497.587691926441</c:v>
                      </c:pt>
                      <c:pt idx="389">
                        <c:v>-23910.796851446488</c:v>
                      </c:pt>
                      <c:pt idx="390">
                        <c:v>-22313.28546063559</c:v>
                      </c:pt>
                      <c:pt idx="391">
                        <c:v>-20705.251475014415</c:v>
                      </c:pt>
                      <c:pt idx="392">
                        <c:v>-19086.918927512579</c:v>
                      </c:pt>
                      <c:pt idx="393">
                        <c:v>-17458.541859167253</c:v>
                      </c:pt>
                      <c:pt idx="394">
                        <c:v>-15820.408915165608</c:v>
                      </c:pt>
                      <c:pt idx="395">
                        <c:v>-14172.848739590709</c:v>
                      </c:pt>
                      <c:pt idx="396">
                        <c:v>-12516.236333592782</c:v>
                      </c:pt>
                      <c:pt idx="397">
                        <c:v>-10851.000581654615</c:v>
                      </c:pt>
                      <c:pt idx="398">
                        <c:v>-9177.6332018660341</c:v>
                      </c:pt>
                      <c:pt idx="399">
                        <c:v>-7496.6994423712949</c:v>
                      </c:pt>
                      <c:pt idx="400">
                        <c:v>-5808.850932508918</c:v>
                      </c:pt>
                      <c:pt idx="401">
                        <c:v>-4114.841210742853</c:v>
                      </c:pt>
                      <c:pt idx="402">
                        <c:v>-2415.544602336719</c:v>
                      </c:pt>
                      <c:pt idx="403">
                        <c:v>-711.97932224104397</c:v>
                      </c:pt>
                      <c:pt idx="404">
                        <c:v>994.66404621824142</c:v>
                      </c:pt>
                      <c:pt idx="405">
                        <c:v>2702.987167553064</c:v>
                      </c:pt>
                      <c:pt idx="406">
                        <c:v>4411.3396068424227</c:v>
                      </c:pt>
                      <c:pt idx="407">
                        <c:v>6117.7627088880326</c:v>
                      </c:pt>
                      <c:pt idx="408">
                        <c:v>7819.9178050285655</c:v>
                      </c:pt>
                      <c:pt idx="409">
                        <c:v>9514.9932369425442</c:v>
                      </c:pt>
                      <c:pt idx="410">
                        <c:v>11199.58223859387</c:v>
                      </c:pt>
                      <c:pt idx="411">
                        <c:v>12869.519888385883</c:v>
                      </c:pt>
                      <c:pt idx="412">
                        <c:v>14519.66115085347</c:v>
                      </c:pt>
                      <c:pt idx="413">
                        <c:v>16143.571632127358</c:v>
                      </c:pt>
                      <c:pt idx="414">
                        <c:v>17733.084525751859</c:v>
                      </c:pt>
                      <c:pt idx="415">
                        <c:v>19277.644355974702</c:v>
                      </c:pt>
                      <c:pt idx="416">
                        <c:v>20763.297179139787</c:v>
                      </c:pt>
                      <c:pt idx="417">
                        <c:v>22171.075964103115</c:v>
                      </c:pt>
                      <c:pt idx="418">
                        <c:v>23474.357735258334</c:v>
                      </c:pt>
                      <c:pt idx="419">
                        <c:v>24634.696516698987</c:v>
                      </c:pt>
                      <c:pt idx="420">
                        <c:v>25596.737060934938</c:v>
                      </c:pt>
                      <c:pt idx="421">
                        <c:v>26288.010021522325</c:v>
                      </c:pt>
                      <c:pt idx="422">
                        <c:v>26633.769399702505</c:v>
                      </c:pt>
                      <c:pt idx="423">
                        <c:v>26572.960889454425</c:v>
                      </c:pt>
                      <c:pt idx="424">
                        <c:v>26041.180145204435</c:v>
                      </c:pt>
                      <c:pt idx="425">
                        <c:v>24932.195982223253</c:v>
                      </c:pt>
                      <c:pt idx="426">
                        <c:v>23080.045671142449</c:v>
                      </c:pt>
                      <c:pt idx="427">
                        <c:v>20299.087697093641</c:v>
                      </c:pt>
                      <c:pt idx="428">
                        <c:v>16523.927509408401</c:v>
                      </c:pt>
                      <c:pt idx="429">
                        <c:v>11941.953232052472</c:v>
                      </c:pt>
                      <c:pt idx="430">
                        <c:v>6897.8296253211365</c:v>
                      </c:pt>
                      <c:pt idx="431">
                        <c:v>1682.0509968774877</c:v>
                      </c:pt>
                      <c:pt idx="432">
                        <c:v>-3540.8927443333268</c:v>
                      </c:pt>
                      <c:pt idx="433">
                        <c:v>-8694.373009728366</c:v>
                      </c:pt>
                      <c:pt idx="434">
                        <c:v>-13746.841688705521</c:v>
                      </c:pt>
                      <c:pt idx="435">
                        <c:v>-18687.875733692385</c:v>
                      </c:pt>
                      <c:pt idx="436">
                        <c:v>-23516.698538640532</c:v>
                      </c:pt>
                      <c:pt idx="437">
                        <c:v>-28236.825606946273</c:v>
                      </c:pt>
                      <c:pt idx="438">
                        <c:v>-32853.545103315249</c:v>
                      </c:pt>
                      <c:pt idx="439">
                        <c:v>-37372.71864873037</c:v>
                      </c:pt>
                      <c:pt idx="440">
                        <c:v>-41800.211548884807</c:v>
                      </c:pt>
                      <c:pt idx="441">
                        <c:v>-46141.630409691825</c:v>
                      </c:pt>
                      <c:pt idx="442">
                        <c:v>-50402.213475865472</c:v>
                      </c:pt>
                      <c:pt idx="443">
                        <c:v>-54586.797248136383</c:v>
                      </c:pt>
                      <c:pt idx="444">
                        <c:v>-58699.820679923512</c:v>
                      </c:pt>
                      <c:pt idx="445">
                        <c:v>-62745.347028530348</c:v>
                      </c:pt>
                      <c:pt idx="446">
                        <c:v>-66727.093023791211</c:v>
                      </c:pt>
                      <c:pt idx="447">
                        <c:v>-70648.460019364647</c:v>
                      </c:pt>
                      <c:pt idx="448">
                        <c:v>-74512.56444244078</c:v>
                      </c:pt>
                      <c:pt idx="449">
                        <c:v>-78322.266273946705</c:v>
                      </c:pt>
                      <c:pt idx="450">
                        <c:v>-82080.19504758103</c:v>
                      </c:pt>
                      <c:pt idx="451">
                        <c:v>-85788.773254260814</c:v>
                      </c:pt>
                      <c:pt idx="452">
                        <c:v>-89450.237240980277</c:v>
                      </c:pt>
                      <c:pt idx="453">
                        <c:v>-93066.655788171673</c:v>
                      </c:pt>
                      <c:pt idx="454">
                        <c:v>-96639.946586354345</c:v>
                      </c:pt>
                      <c:pt idx="455">
                        <c:v>-100171.89083844164</c:v>
                      </c:pt>
                      <c:pt idx="456">
                        <c:v>-103664.14620380838</c:v>
                      </c:pt>
                      <c:pt idx="457">
                        <c:v>-107118.25828261563</c:v>
                      </c:pt>
                      <c:pt idx="458">
                        <c:v>-110535.67081863139</c:v>
                      </c:pt>
                      <c:pt idx="459">
                        <c:v>-113917.73477838581</c:v>
                      </c:pt>
                      <c:pt idx="460">
                        <c:v>-117265.7164452335</c:v>
                      </c:pt>
                      <c:pt idx="461">
                        <c:v>-120580.80464933979</c:v>
                      </c:pt>
                      <c:pt idx="462">
                        <c:v>-123864.11723895205</c:v>
                      </c:pt>
                      <c:pt idx="463">
                        <c:v>-127116.70688454462</c:v>
                      </c:pt>
                      <c:pt idx="464">
                        <c:v>-130339.5662954125</c:v>
                      </c:pt>
                      <c:pt idx="465">
                        <c:v>-133533.63291786914</c:v>
                      </c:pt>
                      <c:pt idx="466">
                        <c:v>-136699.79317519339</c:v>
                      </c:pt>
                      <c:pt idx="467">
                        <c:v>-139838.88630169566</c:v>
                      </c:pt>
                      <c:pt idx="468">
                        <c:v>-142951.70781656765</c:v>
                      </c:pt>
                      <c:pt idx="469">
                        <c:v>-146039.0126773981</c:v>
                      </c:pt>
                      <c:pt idx="470">
                        <c:v>-149101.51814824727</c:v>
                      </c:pt>
                      <c:pt idx="471">
                        <c:v>-152139.90641286527</c:v>
                      </c:pt>
                      <c:pt idx="472">
                        <c:v>-155154.82695991237</c:v>
                      </c:pt>
                      <c:pt idx="473">
                        <c:v>-158146.89876381459</c:v>
                      </c:pt>
                      <c:pt idx="474">
                        <c:v>-161116.71228208873</c:v>
                      </c:pt>
                      <c:pt idx="475">
                        <c:v>-164064.83128754064</c:v>
                      </c:pt>
                      <c:pt idx="476">
                        <c:v>-166991.79455162431</c:v>
                      </c:pt>
                      <c:pt idx="477">
                        <c:v>-169898.11739340454</c:v>
                      </c:pt>
                      <c:pt idx="478">
                        <c:v>-172784.29310695446</c:v>
                      </c:pt>
                      <c:pt idx="479">
                        <c:v>-175650.79427860797</c:v>
                      </c:pt>
                      <c:pt idx="480">
                        <c:v>-178498.0740042509</c:v>
                      </c:pt>
                      <c:pt idx="481">
                        <c:v>-181326.56701574769</c:v>
                      </c:pt>
                      <c:pt idx="482">
                        <c:v>-184136.69072464376</c:v>
                      </c:pt>
                      <c:pt idx="483">
                        <c:v>-186928.84619044102</c:v>
                      </c:pt>
                      <c:pt idx="484">
                        <c:v>-189703.41901999825</c:v>
                      </c:pt>
                      <c:pt idx="485">
                        <c:v>-192460.78020394917</c:v>
                      </c:pt>
                      <c:pt idx="486">
                        <c:v>-195201.28689544668</c:v>
                      </c:pt>
                      <c:pt idx="487">
                        <c:v>-197925.28313602263</c:v>
                      </c:pt>
                      <c:pt idx="488">
                        <c:v>-200633.10053289033</c:v>
                      </c:pt>
                      <c:pt idx="489">
                        <c:v>-203325.05889160669</c:v>
                      </c:pt>
                      <c:pt idx="490">
                        <c:v>-206001.46680764281</c:v>
                      </c:pt>
                      <c:pt idx="491">
                        <c:v>-208662.6222200841</c:v>
                      </c:pt>
                      <c:pt idx="492">
                        <c:v>-211308.81293038742</c:v>
                      </c:pt>
                      <c:pt idx="493">
                        <c:v>-213940.31708885878</c:v>
                      </c:pt>
                      <c:pt idx="494">
                        <c:v>-216557.4036512794</c:v>
                      </c:pt>
                      <c:pt idx="495">
                        <c:v>-219160.33280789442</c:v>
                      </c:pt>
                      <c:pt idx="496">
                        <c:v>-221749.35638678758</c:v>
                      </c:pt>
                      <c:pt idx="497">
                        <c:v>-224324.71823349243</c:v>
                      </c:pt>
                      <c:pt idx="498">
                        <c:v>-226886.65456853434</c:v>
                      </c:pt>
                      <c:pt idx="499">
                        <c:v>-229435.39432445707</c:v>
                      </c:pt>
                      <c:pt idx="500">
                        <c:v>-231971.15946375937</c:v>
                      </c:pt>
                      <c:pt idx="501">
                        <c:v>-234494.1652790521</c:v>
                      </c:pt>
                      <c:pt idx="502">
                        <c:v>-237004.62067664057</c:v>
                      </c:pt>
                      <c:pt idx="503">
                        <c:v>-239502.72844464198</c:v>
                      </c:pt>
                      <c:pt idx="504">
                        <c:v>-241988.68550666058</c:v>
                      </c:pt>
                      <c:pt idx="505">
                        <c:v>-244462.68316196412</c:v>
                      </c:pt>
                      <c:pt idx="506">
                        <c:v>-246924.90731303362</c:v>
                      </c:pt>
                      <c:pt idx="507">
                        <c:v>-249375.53868129151</c:v>
                      </c:pt>
                      <c:pt idx="508">
                        <c:v>-251814.75301175422</c:v>
                      </c:pt>
                      <c:pt idx="509">
                        <c:v>-254242.72126729949</c:v>
                      </c:pt>
                      <c:pt idx="510">
                        <c:v>-256659.60981318846</c:v>
                      </c:pt>
                      <c:pt idx="511">
                        <c:v>-259065.58059243669</c:v>
                      </c:pt>
                      <c:pt idx="512">
                        <c:v>-261460.79129258523</c:v>
                      </c:pt>
                      <c:pt idx="513">
                        <c:v>-263845.39550438465</c:v>
                      </c:pt>
                      <c:pt idx="514">
                        <c:v>-266219.54287286865</c:v>
                      </c:pt>
                      <c:pt idx="515">
                        <c:v>-268583.37924126087</c:v>
                      </c:pt>
                      <c:pt idx="516">
                        <c:v>-270937.04678812873</c:v>
                      </c:pt>
                      <c:pt idx="517">
                        <c:v>-273280.68415816937</c:v>
                      </c:pt>
                      <c:pt idx="518">
                        <c:v>-275614.42658698792</c:v>
                      </c:pt>
                      <c:pt idx="519">
                        <c:v>-277938.40602020326</c:v>
                      </c:pt>
                      <c:pt idx="520">
                        <c:v>-280252.75122719572</c:v>
                      </c:pt>
                      <c:pt idx="521">
                        <c:v>-282557.58790978976</c:v>
                      </c:pt>
                      <c:pt idx="522">
                        <c:v>-284853.03880614619</c:v>
                      </c:pt>
                      <c:pt idx="523">
                        <c:v>-287139.22379012173</c:v>
                      </c:pt>
                      <c:pt idx="524">
                        <c:v>-289416.25996633567</c:v>
                      </c:pt>
                      <c:pt idx="525">
                        <c:v>-291684.26176117029</c:v>
                      </c:pt>
                      <c:pt idx="526">
                        <c:v>-293943.34100991685</c:v>
                      </c:pt>
                      <c:pt idx="527">
                        <c:v>-296193.6070402661</c:v>
                      </c:pt>
                      <c:pt idx="528">
                        <c:v>-298435.16675232974</c:v>
                      </c:pt>
                      <c:pt idx="529">
                        <c:v>-300668.12469536904</c:v>
                      </c:pt>
                      <c:pt idx="530">
                        <c:v>-302892.58314139559</c:v>
                      </c:pt>
                      <c:pt idx="531">
                        <c:v>-305108.64215579967</c:v>
                      </c:pt>
                      <c:pt idx="532">
                        <c:v>-307316.39966515242</c:v>
                      </c:pt>
                      <c:pt idx="533">
                        <c:v>-309515.95152231987</c:v>
                      </c:pt>
                      <c:pt idx="534">
                        <c:v>-311707.39156901924</c:v>
                      </c:pt>
                      <c:pt idx="535">
                        <c:v>-313890.81169593905</c:v>
                      </c:pt>
                      <c:pt idx="536">
                        <c:v>-316066.30190053978</c:v>
                      </c:pt>
                      <c:pt idx="537">
                        <c:v>-318233.95034264377</c:v>
                      </c:pt>
                      <c:pt idx="538">
                        <c:v>-320393.84339791769</c:v>
                      </c:pt>
                      <c:pt idx="539">
                        <c:v>-322546.06570934481</c:v>
                      </c:pt>
                      <c:pt idx="540">
                        <c:v>-324690.70023677987</c:v>
                      </c:pt>
                      <c:pt idx="541">
                        <c:v>-326827.8283046732</c:v>
                      </c:pt>
                      <c:pt idx="542">
                        <c:v>-328957.52964804653</c:v>
                      </c:pt>
                      <c:pt idx="543">
                        <c:v>-331079.88245679979</c:v>
                      </c:pt>
                      <c:pt idx="544">
                        <c:v>-333194.96341842116</c:v>
                      </c:pt>
                      <c:pt idx="545">
                        <c:v>-335302.8477591722</c:v>
                      </c:pt>
                      <c:pt idx="546">
                        <c:v>-337403.60928381392</c:v>
                      </c:pt>
                      <c:pt idx="547">
                        <c:v>-339497.32041393634</c:v>
                      </c:pt>
                      <c:pt idx="548">
                        <c:v>-341584.05222495296</c:v>
                      </c:pt>
                      <c:pt idx="549">
                        <c:v>-343663.87448181561</c:v>
                      </c:pt>
                      <c:pt idx="550">
                        <c:v>-345736.85567350406</c:v>
                      </c:pt>
                      <c:pt idx="551">
                        <c:v>-347803.06304634252</c:v>
                      </c:pt>
                      <c:pt idx="552">
                        <c:v>-349862.56263619068</c:v>
                      </c:pt>
                      <c:pt idx="553">
                        <c:v>-351915.41929955664</c:v>
                      </c:pt>
                      <c:pt idx="554">
                        <c:v>-353961.69674367539</c:v>
                      </c:pt>
                      <c:pt idx="555">
                        <c:v>-356001.45755559497</c:v>
                      </c:pt>
                      <c:pt idx="556">
                        <c:v>-358034.76323031029</c:v>
                      </c:pt>
                      <c:pt idx="557">
                        <c:v>-360061.67419798305</c:v>
                      </c:pt>
                      <c:pt idx="558">
                        <c:v>-362082.24985028367</c:v>
                      </c:pt>
                      <c:pt idx="559">
                        <c:v>-364096.54856588983</c:v>
                      </c:pt>
                      <c:pt idx="560">
                        <c:v>-366104.62773517519</c:v>
                      </c:pt>
                      <c:pt idx="561">
                        <c:v>-368106.54378411907</c:v>
                      </c:pt>
                      <c:pt idx="562">
                        <c:v>-370102.35219746747</c:v>
                      </c:pt>
                      <c:pt idx="563">
                        <c:v>-372092.1075411744</c:v>
                      </c:pt>
                      <c:pt idx="564">
                        <c:v>-374075.86348415003</c:v>
                      </c:pt>
                      <c:pt idx="565">
                        <c:v>-376053.67281934299</c:v>
                      </c:pt>
                      <c:pt idx="566">
                        <c:v>-378025.58748418052</c:v>
                      </c:pt>
                      <c:pt idx="567">
                        <c:v>-379991.65858039161</c:v>
                      </c:pt>
                      <c:pt idx="568">
                        <c:v>-381951.93639323505</c:v>
                      </c:pt>
                      <c:pt idx="569">
                        <c:v>-383906.47041015467</c:v>
                      </c:pt>
                      <c:pt idx="570">
                        <c:v>-385855.30933888216</c:v>
                      </c:pt>
                      <c:pt idx="571">
                        <c:v>-387798.50112500862</c:v>
                      </c:pt>
                      <c:pt idx="572">
                        <c:v>-389736.09296904237</c:v>
                      </c:pt>
                      <c:pt idx="573">
                        <c:v>-391668.13134297275</c:v>
                      </c:pt>
                      <c:pt idx="574">
                        <c:v>-393594.6620063564</c:v>
                      </c:pt>
                      <c:pt idx="575">
                        <c:v>-395515.73002194404</c:v>
                      </c:pt>
                      <c:pt idx="576">
                        <c:v>-397431.37977086229</c:v>
                      </c:pt>
                      <c:pt idx="577">
                        <c:v>-399341.65496736742</c:v>
                      </c:pt>
                      <c:pt idx="578">
                        <c:v>-401246.59867318533</c:v>
                      </c:pt>
                      <c:pt idx="579">
                        <c:v>-403146.25331145147</c:v>
                      </c:pt>
                      <c:pt idx="580">
                        <c:v>-405040.66068026505</c:v>
                      </c:pt>
                      <c:pt idx="581">
                        <c:v>-406929.86196587048</c:v>
                      </c:pt>
                      <c:pt idx="582">
                        <c:v>-408813.89775547828</c:v>
                      </c:pt>
                      <c:pt idx="583">
                        <c:v>-410692.80804973783</c:v>
                      </c:pt>
                      <c:pt idx="584">
                        <c:v>-412566.63227487344</c:v>
                      </c:pt>
                      <c:pt idx="585">
                        <c:v>-414435.40929449478</c:v>
                      </c:pt>
                      <c:pt idx="586">
                        <c:v>-416299.17742109275</c:v>
                      </c:pt>
                      <c:pt idx="587">
                        <c:v>-418157.97442723025</c:v>
                      </c:pt>
                      <c:pt idx="588">
                        <c:v>-420011.83755643904</c:v>
                      </c:pt>
                      <c:pt idx="589">
                        <c:v>-421860.80353383062</c:v>
                      </c:pt>
                      <c:pt idx="590">
                        <c:v>-423704.90857643163</c:v>
                      </c:pt>
                      <c:pt idx="591">
                        <c:v>-425544.18840325199</c:v>
                      </c:pt>
                      <c:pt idx="592">
                        <c:v>-427378.67824509402</c:v>
                      </c:pt>
                      <c:pt idx="593">
                        <c:v>-429208.41285411094</c:v>
                      </c:pt>
                      <c:pt idx="594">
                        <c:v>-431033.42651312298</c:v>
                      </c:pt>
                      <c:pt idx="595">
                        <c:v>-432853.75304469804</c:v>
                      </c:pt>
                      <c:pt idx="596">
                        <c:v>-434669.42582000419</c:v>
                      </c:pt>
                      <c:pt idx="597">
                        <c:v>-436480.47776744177</c:v>
                      </c:pt>
                      <c:pt idx="598">
                        <c:v>-438286.94138106087</c:v>
                      </c:pt>
                      <c:pt idx="599">
                        <c:v>-440088.8487287715</c:v>
                      </c:pt>
                      <c:pt idx="600">
                        <c:v>-441886.23146035202</c:v>
                      </c:pt>
                      <c:pt idx="601">
                        <c:v>-443679.12081526266</c:v>
                      </c:pt>
                      <c:pt idx="602">
                        <c:v>-445467.54763026937</c:v>
                      </c:pt>
                      <c:pt idx="603">
                        <c:v>-447251.54234688374</c:v>
                      </c:pt>
                      <c:pt idx="604">
                        <c:v>-449031.13501862471</c:v>
                      </c:pt>
                      <c:pt idx="605">
                        <c:v>-450806.35531810689</c:v>
                      </c:pt>
                      <c:pt idx="606">
                        <c:v>-452577.23254396109</c:v>
                      </c:pt>
                      <c:pt idx="607">
                        <c:v>-454343.79562759149</c:v>
                      </c:pt>
                      <c:pt idx="608">
                        <c:v>-456106.07313977415</c:v>
                      </c:pt>
                      <c:pt idx="609">
                        <c:v>-457864.09329710179</c:v>
                      </c:pt>
                      <c:pt idx="610">
                        <c:v>-459617.88396827906</c:v>
                      </c:pt>
                      <c:pt idx="611">
                        <c:v>-461367.47268027253</c:v>
                      </c:pt>
                      <c:pt idx="612">
                        <c:v>-463112.88662431936</c:v>
                      </c:pt>
                      <c:pt idx="613">
                        <c:v>-464854.15266179887</c:v>
                      </c:pt>
                      <c:pt idx="614">
                        <c:v>-466591.29732997104</c:v>
                      </c:pt>
                      <c:pt idx="615">
                        <c:v>-468324.34684758482</c:v>
                      </c:pt>
                      <c:pt idx="616">
                        <c:v>-470053.32712036092</c:v>
                      </c:pt>
                      <c:pt idx="617">
                        <c:v>-471778.26374635182</c:v>
                      </c:pt>
                      <c:pt idx="618">
                        <c:v>-473499.1820211825</c:v>
                      </c:pt>
                      <c:pt idx="619">
                        <c:v>-475216.10694317543</c:v>
                      </c:pt>
                      <c:pt idx="620">
                        <c:v>-476929.06321836263</c:v>
                      </c:pt>
                      <c:pt idx="621">
                        <c:v>-478638.075265388</c:v>
                      </c:pt>
                      <c:pt idx="622">
                        <c:v>-480343.16722030268</c:v>
                      </c:pt>
                      <c:pt idx="623">
                        <c:v>-482044.36294125696</c:v>
                      </c:pt>
                      <c:pt idx="624">
                        <c:v>-483741.68601309031</c:v>
                      </c:pt>
                      <c:pt idx="625">
                        <c:v>-485435.1597518234</c:v>
                      </c:pt>
                      <c:pt idx="626">
                        <c:v>-487124.80720905418</c:v>
                      </c:pt>
                      <c:pt idx="627">
                        <c:v>-488810.65117626026</c:v>
                      </c:pt>
                      <c:pt idx="628">
                        <c:v>-490492.7141890105</c:v>
                      </c:pt>
                      <c:pt idx="629">
                        <c:v>-492171.01853108825</c:v>
                      </c:pt>
                      <c:pt idx="630">
                        <c:v>-493845.58623852773</c:v>
                      </c:pt>
                      <c:pt idx="631">
                        <c:v>-495516.43910356675</c:v>
                      </c:pt>
                      <c:pt idx="632">
                        <c:v>-497183.59867851745</c:v>
                      </c:pt>
                      <c:pt idx="633">
                        <c:v>-498847.0862795568</c:v>
                      </c:pt>
                      <c:pt idx="634">
                        <c:v>-500506.92299043981</c:v>
                      </c:pt>
                      <c:pt idx="635">
                        <c:v>-502163.12966613629</c:v>
                      </c:pt>
                      <c:pt idx="636">
                        <c:v>-503815.72693639412</c:v>
                      </c:pt>
                      <c:pt idx="637">
                        <c:v>-505464.73520923028</c:v>
                      </c:pt>
                      <c:pt idx="638">
                        <c:v>-507110.17467435129</c:v>
                      </c:pt>
                      <c:pt idx="639">
                        <c:v>-508752.06530650525</c:v>
                      </c:pt>
                      <c:pt idx="640">
                        <c:v>-510390.42686876695</c:v>
                      </c:pt>
                      <c:pt idx="641">
                        <c:v>-512025.2789157579</c:v>
                      </c:pt>
                      <c:pt idx="642">
                        <c:v>-513656.6407968023</c:v>
                      </c:pt>
                      <c:pt idx="643">
                        <c:v>-515284.53165902104</c:v>
                      </c:pt>
                      <c:pt idx="644">
                        <c:v>-516908.97045036533</c:v>
                      </c:pt>
                      <c:pt idx="645">
                        <c:v>-518529.97592259082</c:v>
                      </c:pt>
                      <c:pt idx="646">
                        <c:v>-520147.56663417415</c:v>
                      </c:pt>
                      <c:pt idx="647">
                        <c:v>-521761.76095317298</c:v>
                      </c:pt>
                      <c:pt idx="648">
                        <c:v>-523372.5770600313</c:v>
                      </c:pt>
                      <c:pt idx="649">
                        <c:v>-524980.03295033041</c:v>
                      </c:pt>
                      <c:pt idx="650">
                        <c:v>-526584.14643748826</c:v>
                      </c:pt>
                      <c:pt idx="651">
                        <c:v>-528184.93515540671</c:v>
                      </c:pt>
                      <c:pt idx="652">
                        <c:v>-529782.41656106932</c:v>
                      </c:pt>
                      <c:pt idx="653">
                        <c:v>-531376.6079370901</c:v>
                      </c:pt>
                      <c:pt idx="654">
                        <c:v>-532967.52639421425</c:v>
                      </c:pt>
                      <c:pt idx="655">
                        <c:v>-534555.18887377274</c:v>
                      </c:pt>
                      <c:pt idx="656">
                        <c:v>-536139.61215009086</c:v>
                      </c:pt>
                      <c:pt idx="657">
                        <c:v>-537720.81283285224</c:v>
                      </c:pt>
                      <c:pt idx="658">
                        <c:v>-539298.80736941984</c:v>
                      </c:pt>
                      <c:pt idx="659">
                        <c:v>-540873.61204711383</c:v>
                      </c:pt>
                      <c:pt idx="660">
                        <c:v>-542445.24299544794</c:v>
                      </c:pt>
                      <c:pt idx="661">
                        <c:v>-544013.71618832566</c:v>
                      </c:pt>
                      <c:pt idx="662">
                        <c:v>-545579.04744619585</c:v>
                      </c:pt>
                      <c:pt idx="663">
                        <c:v>-547141.2524381706</c:v>
                      </c:pt>
                      <c:pt idx="664">
                        <c:v>-548700.3466841036</c:v>
                      </c:pt>
                      <c:pt idx="665">
                        <c:v>-550256.34555663308</c:v>
                      </c:pt>
                      <c:pt idx="666">
                        <c:v>-551809.26428318664</c:v>
                      </c:pt>
                      <c:pt idx="667">
                        <c:v>-553359.11794795212</c:v>
                      </c:pt>
                      <c:pt idx="668">
                        <c:v>-554905.92149381235</c:v>
                      </c:pt>
                      <c:pt idx="669">
                        <c:v>-556449.68972424709</c:v>
                      </c:pt>
                      <c:pt idx="670">
                        <c:v>-557990.43730520038</c:v>
                      </c:pt>
                      <c:pt idx="671">
                        <c:v>-559528.17876691662</c:v>
                      </c:pt>
                      <c:pt idx="672">
                        <c:v>-561062.92850574362</c:v>
                      </c:pt>
                      <c:pt idx="673">
                        <c:v>-562594.70078590547</c:v>
                      </c:pt>
                      <c:pt idx="674">
                        <c:v>-564123.50974124402</c:v>
                      </c:pt>
                      <c:pt idx="675">
                        <c:v>-565649.36937693099</c:v>
                      </c:pt>
                      <c:pt idx="676">
                        <c:v>-567172.29357115086</c:v>
                      </c:pt>
                      <c:pt idx="677">
                        <c:v>-568692.29607675434</c:v>
                      </c:pt>
                      <c:pt idx="678">
                        <c:v>-570209.39052288525</c:v>
                      </c:pt>
                      <c:pt idx="679">
                        <c:v>-571723.59041657811</c:v>
                      </c:pt>
                      <c:pt idx="680">
                        <c:v>-573234.90914433065</c:v>
                      </c:pt>
                      <c:pt idx="681">
                        <c:v>-574743.35997364856</c:v>
                      </c:pt>
                      <c:pt idx="682">
                        <c:v>-576248.95605456561</c:v>
                      </c:pt>
                      <c:pt idx="683">
                        <c:v>-577751.71042113728</c:v>
                      </c:pt>
                      <c:pt idx="684">
                        <c:v>-579251.63599291071</c:v>
                      </c:pt>
                      <c:pt idx="685">
                        <c:v>-580748.74557636993</c:v>
                      </c:pt>
                      <c:pt idx="686">
                        <c:v>-582243.05186635721</c:v>
                      </c:pt>
                      <c:pt idx="687">
                        <c:v>-583734.56744747167</c:v>
                      </c:pt>
                      <c:pt idx="688">
                        <c:v>-585223.30479544448</c:v>
                      </c:pt>
                      <c:pt idx="689">
                        <c:v>-586709.27627849206</c:v>
                      </c:pt>
                      <c:pt idx="690">
                        <c:v>-588192.49415864726</c:v>
                      </c:pt>
                      <c:pt idx="691">
                        <c:v>-589672.97059306921</c:v>
                      </c:pt>
                      <c:pt idx="692">
                        <c:v>-591150.71763533214</c:v>
                      </c:pt>
                      <c:pt idx="693">
                        <c:v>-592625.74723669305</c:v>
                      </c:pt>
                      <c:pt idx="694">
                        <c:v>-594098.0712473403</c:v>
                      </c:pt>
                      <c:pt idx="695">
                        <c:v>-595567.70141762088</c:v>
                      </c:pt>
                      <c:pt idx="696">
                        <c:v>-597034.64939924958</c:v>
                      </c:pt>
                      <c:pt idx="697">
                        <c:v>-598498.92674649844</c:v>
                      </c:pt>
                      <c:pt idx="698">
                        <c:v>-599960.54491736752</c:v>
                      </c:pt>
                      <c:pt idx="699">
                        <c:v>-601419.51527473773</c:v>
                      </c:pt>
                      <c:pt idx="700">
                        <c:v>-602875.84908750502</c:v>
                      </c:pt>
                      <c:pt idx="701">
                        <c:v>-604329.55753169768</c:v>
                      </c:pt>
                      <c:pt idx="702">
                        <c:v>-605780.65169157588</c:v>
                      </c:pt>
                      <c:pt idx="703">
                        <c:v>-607229.14256071439</c:v>
                      </c:pt>
                      <c:pt idx="704">
                        <c:v>-608675.04104306863</c:v>
                      </c:pt>
                      <c:pt idx="705">
                        <c:v>-610118.35795402469</c:v>
                      </c:pt>
                      <c:pt idx="706">
                        <c:v>-611559.10402143234</c:v>
                      </c:pt>
                      <c:pt idx="707">
                        <c:v>-612997.28988662397</c:v>
                      </c:pt>
                      <c:pt idx="708">
                        <c:v>-614432.9261054165</c:v>
                      </c:pt>
                      <c:pt idx="709">
                        <c:v>-615866.02314909908</c:v>
                      </c:pt>
                      <c:pt idx="710">
                        <c:v>-617296.59140540566</c:v>
                      </c:pt>
                      <c:pt idx="711">
                        <c:v>-618724.64117947291</c:v>
                      </c:pt>
                      <c:pt idx="712">
                        <c:v>-620150.18269478402</c:v>
                      </c:pt>
                      <c:pt idx="713">
                        <c:v>-621573.22609409841</c:v>
                      </c:pt>
                      <c:pt idx="714">
                        <c:v>-622993.78144036757</c:v>
                      </c:pt>
                      <c:pt idx="715">
                        <c:v>-624411.85871763714</c:v>
                      </c:pt>
                      <c:pt idx="716">
                        <c:v>-625827.46783193632</c:v>
                      </c:pt>
                      <c:pt idx="717">
                        <c:v>-627240.61861215357</c:v>
                      </c:pt>
                      <c:pt idx="718">
                        <c:v>-628651.32081089984</c:v>
                      </c:pt>
                      <c:pt idx="719">
                        <c:v>-630059.58410535916</c:v>
                      </c:pt>
                      <c:pt idx="720">
                        <c:v>-631465.41809812677</c:v>
                      </c:pt>
                      <c:pt idx="721">
                        <c:v>-632868.83231803554</c:v>
                      </c:pt>
                      <c:pt idx="722">
                        <c:v>-634269.83622096945</c:v>
                      </c:pt>
                      <c:pt idx="723">
                        <c:v>-635668.43919066666</c:v>
                      </c:pt>
                      <c:pt idx="724">
                        <c:v>-637064.65053951018</c:v>
                      </c:pt>
                      <c:pt idx="725">
                        <c:v>-638458.47950930754</c:v>
                      </c:pt>
                      <c:pt idx="726">
                        <c:v>-639849.93527205917</c:v>
                      </c:pt>
                      <c:pt idx="727">
                        <c:v>-641239.02693071624</c:v>
                      </c:pt>
                      <c:pt idx="728">
                        <c:v>-642625.76351992763</c:v>
                      </c:pt>
                      <c:pt idx="729">
                        <c:v>-644010.15400677593</c:v>
                      </c:pt>
                      <c:pt idx="730">
                        <c:v>-645392.20729150367</c:v>
                      </c:pt>
                      <c:pt idx="731">
                        <c:v>-646771.93220822921</c:v>
                      </c:pt>
                      <c:pt idx="732">
                        <c:v>-648149.33752565272</c:v>
                      </c:pt>
                      <c:pt idx="733">
                        <c:v>-649524.43194775179</c:v>
                      </c:pt>
                      <c:pt idx="734">
                        <c:v>-650897.22411446844</c:v>
                      </c:pt>
                      <c:pt idx="735">
                        <c:v>-652267.72260238521</c:v>
                      </c:pt>
                      <c:pt idx="736">
                        <c:v>-653635.9359253936</c:v>
                      </c:pt>
                      <c:pt idx="737">
                        <c:v>-655001.87253535178</c:v>
                      </c:pt>
                      <c:pt idx="738">
                        <c:v>-656365.54082273412</c:v>
                      </c:pt>
                      <c:pt idx="739">
                        <c:v>-657726.94911727216</c:v>
                      </c:pt>
                      <c:pt idx="740">
                        <c:v>-659086.10568858555</c:v>
                      </c:pt>
                      <c:pt idx="741">
                        <c:v>-660443.01874680619</c:v>
                      </c:pt>
                      <c:pt idx="742">
                        <c:v>-661797.69644319254</c:v>
                      </c:pt>
                      <c:pt idx="743">
                        <c:v>-663150.14687073603</c:v>
                      </c:pt>
                      <c:pt idx="744">
                        <c:v>-664500.37806475966</c:v>
                      </c:pt>
                      <c:pt idx="745">
                        <c:v>-665848.39800350857</c:v>
                      </c:pt>
                      <c:pt idx="746">
                        <c:v>-667194.21460873215</c:v>
                      </c:pt>
                      <c:pt idx="747">
                        <c:v>-668537.83574625873</c:v>
                      </c:pt>
                      <c:pt idx="748">
                        <c:v>-669879.26922656281</c:v>
                      </c:pt>
                      <c:pt idx="749">
                        <c:v>-671218.52280532499</c:v>
                      </c:pt>
                      <c:pt idx="750">
                        <c:v>-672555.60418398364</c:v>
                      </c:pt>
                      <c:pt idx="751">
                        <c:v>-673890.52101028012</c:v>
                      </c:pt>
                      <c:pt idx="752">
                        <c:v>-675223.28087879671</c:v>
                      </c:pt>
                      <c:pt idx="753">
                        <c:v>-676553.8913314871</c:v>
                      </c:pt>
                      <c:pt idx="754">
                        <c:v>-677882.35985820054</c:v>
                      </c:pt>
                      <c:pt idx="755">
                        <c:v>-679208.693897199</c:v>
                      </c:pt>
                      <c:pt idx="756">
                        <c:v>-680532.90083566715</c:v>
                      </c:pt>
                      <c:pt idx="757">
                        <c:v>-681854.98801021662</c:v>
                      </c:pt>
                      <c:pt idx="758">
                        <c:v>-683174.96270738286</c:v>
                      </c:pt>
                      <c:pt idx="759">
                        <c:v>-684492.83216411655</c:v>
                      </c:pt>
                      <c:pt idx="760">
                        <c:v>-685808.60356826801</c:v>
                      </c:pt>
                      <c:pt idx="761">
                        <c:v>-687122.28405906551</c:v>
                      </c:pt>
                      <c:pt idx="762">
                        <c:v>-688433.88072758797</c:v>
                      </c:pt>
                      <c:pt idx="763">
                        <c:v>-689743.40061723138</c:v>
                      </c:pt>
                      <c:pt idx="764">
                        <c:v>-691050.85072416917</c:v>
                      </c:pt>
                      <c:pt idx="765">
                        <c:v>-692356.23799780675</c:v>
                      </c:pt>
                      <c:pt idx="766">
                        <c:v>-693659.56934123079</c:v>
                      </c:pt>
                      <c:pt idx="767">
                        <c:v>-694960.85161165276</c:v>
                      </c:pt>
                      <c:pt idx="768">
                        <c:v>-696260.09162084607</c:v>
                      </c:pt>
                      <c:pt idx="769">
                        <c:v>-697557.29613557924</c:v>
                      </c:pt>
                      <c:pt idx="770">
                        <c:v>-698852.47187804256</c:v>
                      </c:pt>
                      <c:pt idx="771">
                        <c:v>-700145.62552626966</c:v>
                      </c:pt>
                      <c:pt idx="772">
                        <c:v>-701436.76371455437</c:v>
                      </c:pt>
                      <c:pt idx="773">
                        <c:v>-702725.89303386188</c:v>
                      </c:pt>
                      <c:pt idx="774">
                        <c:v>-704013.02003223519</c:v>
                      </c:pt>
                      <c:pt idx="775">
                        <c:v>-705298.15121519659</c:v>
                      </c:pt>
                      <c:pt idx="776">
                        <c:v>-706581.29304614372</c:v>
                      </c:pt>
                      <c:pt idx="777">
                        <c:v>-707862.45194674167</c:v>
                      </c:pt>
                      <c:pt idx="778">
                        <c:v>-709141.63429730979</c:v>
                      </c:pt>
                      <c:pt idx="779">
                        <c:v>-710418.8464372037</c:v>
                      </c:pt>
                      <c:pt idx="780">
                        <c:v>-711694.094665193</c:v>
                      </c:pt>
                      <c:pt idx="781">
                        <c:v>-712967.38523983455</c:v>
                      </c:pt>
                      <c:pt idx="782">
                        <c:v>-714238.72437984077</c:v>
                      </c:pt>
                      <c:pt idx="783">
                        <c:v>-715508.11826444382</c:v>
                      </c:pt>
                      <c:pt idx="784">
                        <c:v>-716775.57303375553</c:v>
                      </c:pt>
                      <c:pt idx="785">
                        <c:v>-718041.09478912305</c:v>
                      </c:pt>
                      <c:pt idx="786">
                        <c:v>-719304.68959347997</c:v>
                      </c:pt>
                      <c:pt idx="787">
                        <c:v>-720566.36347169371</c:v>
                      </c:pt>
                      <c:pt idx="788">
                        <c:v>-721826.12241090857</c:v>
                      </c:pt>
                      <c:pt idx="789">
                        <c:v>-723083.97236088431</c:v>
                      </c:pt>
                      <c:pt idx="790">
                        <c:v>-724339.91923433205</c:v>
                      </c:pt>
                      <c:pt idx="791">
                        <c:v>-725593.96890724474</c:v>
                      </c:pt>
                      <c:pt idx="792">
                        <c:v>-726846.1272192247</c:v>
                      </c:pt>
                      <c:pt idx="793">
                        <c:v>-728096.39997380704</c:v>
                      </c:pt>
                      <c:pt idx="794">
                        <c:v>-729344.79293877946</c:v>
                      </c:pt>
                      <c:pt idx="795">
                        <c:v>-730591.31184649805</c:v>
                      </c:pt>
                      <c:pt idx="796">
                        <c:v>-731835.96239420015</c:v>
                      </c:pt>
                      <c:pt idx="797">
                        <c:v>-733078.75024431245</c:v>
                      </c:pt>
                      <c:pt idx="798">
                        <c:v>-734319.68102475675</c:v>
                      </c:pt>
                      <c:pt idx="799">
                        <c:v>-735558.76032925141</c:v>
                      </c:pt>
                      <c:pt idx="800">
                        <c:v>-736795.99371760979</c:v>
                      </c:pt>
                      <c:pt idx="801">
                        <c:v>-738031.38671603508</c:v>
                      </c:pt>
                      <c:pt idx="802">
                        <c:v>-739264.94481741183</c:v>
                      </c:pt>
                      <c:pt idx="803">
                        <c:v>-740496.67348159431</c:v>
                      </c:pt>
                      <c:pt idx="804">
                        <c:v>-741726.57813569135</c:v>
                      </c:pt>
                      <c:pt idx="805">
                        <c:v>-742954.664174348</c:v>
                      </c:pt>
                      <c:pt idx="806">
                        <c:v>-744180.93696002453</c:v>
                      </c:pt>
                      <c:pt idx="807">
                        <c:v>-745405.40182327153</c:v>
                      </c:pt>
                      <c:pt idx="808">
                        <c:v>-746628.06406300259</c:v>
                      </c:pt>
                      <c:pt idx="809">
                        <c:v>-747848.92894676351</c:v>
                      </c:pt>
                      <c:pt idx="810">
                        <c:v>-749068.00171099859</c:v>
                      </c:pt>
                      <c:pt idx="811">
                        <c:v>-750285.28756131441</c:v>
                      </c:pt>
                      <c:pt idx="812">
                        <c:v>-751500.79167273978</c:v>
                      </c:pt>
                      <c:pt idx="813">
                        <c:v>-752714.51918998396</c:v>
                      </c:pt>
                      <c:pt idx="814">
                        <c:v>-753926.47522769088</c:v>
                      </c:pt>
                      <c:pt idx="815">
                        <c:v>-755136.66487069172</c:v>
                      </c:pt>
                      <c:pt idx="816">
                        <c:v>-756345.09317425371</c:v>
                      </c:pt>
                      <c:pt idx="817">
                        <c:v>-757551.76516432664</c:v>
                      </c:pt>
                      <c:pt idx="818">
                        <c:v>-758756.68583778723</c:v>
                      </c:pt>
                      <c:pt idx="819">
                        <c:v>-759959.86016267957</c:v>
                      </c:pt>
                      <c:pt idx="820">
                        <c:v>-761161.29307845421</c:v>
                      </c:pt>
                      <c:pt idx="821">
                        <c:v>-762360.98949620395</c:v>
                      </c:pt>
                      <c:pt idx="822">
                        <c:v>-763558.95429889718</c:v>
                      </c:pt>
                      <c:pt idx="823">
                        <c:v>-764755.19234160916</c:v>
                      </c:pt>
                      <c:pt idx="824">
                        <c:v>-765949.70845175011</c:v>
                      </c:pt>
                      <c:pt idx="825">
                        <c:v>-767142.50742929138</c:v>
                      </c:pt>
                      <c:pt idx="826">
                        <c:v>-768333.59404698911</c:v>
                      </c:pt>
                      <c:pt idx="827">
                        <c:v>-769522.97305060539</c:v>
                      </c:pt>
                      <c:pt idx="828">
                        <c:v>-770710.64915912692</c:v>
                      </c:pt>
                      <c:pt idx="829">
                        <c:v>-771896.62706498208</c:v>
                      </c:pt>
                      <c:pt idx="830">
                        <c:v>-773080.91143425461</c:v>
                      </c:pt>
                      <c:pt idx="831">
                        <c:v>-774263.50690689578</c:v>
                      </c:pt>
                      <c:pt idx="832">
                        <c:v>-775444.41809693468</c:v>
                      </c:pt>
                      <c:pt idx="833">
                        <c:v>-776623.64959268481</c:v>
                      </c:pt>
                      <c:pt idx="834">
                        <c:v>-777801.20595695032</c:v>
                      </c:pt>
                      <c:pt idx="835">
                        <c:v>-778977.09172722907</c:v>
                      </c:pt>
                      <c:pt idx="836">
                        <c:v>-780151.31141591351</c:v>
                      </c:pt>
                      <c:pt idx="837">
                        <c:v>-781323.86951048987</c:v>
                      </c:pt>
                      <c:pt idx="838">
                        <c:v>-782494.77047373517</c:v>
                      </c:pt>
                      <c:pt idx="839">
                        <c:v>-783664.01874391234</c:v>
                      </c:pt>
                      <c:pt idx="840">
                        <c:v>-784831.61873496266</c:v>
                      </c:pt>
                      <c:pt idx="841">
                        <c:v>-785997.57483669743</c:v>
                      </c:pt>
                      <c:pt idx="842">
                        <c:v>-787161.89141498634</c:v>
                      </c:pt>
                      <c:pt idx="843">
                        <c:v>-788324.57281194488</c:v>
                      </c:pt>
                      <c:pt idx="844">
                        <c:v>-789485.62334611919</c:v>
                      </c:pt>
                      <c:pt idx="845">
                        <c:v>-790645.04731266969</c:v>
                      </c:pt>
                      <c:pt idx="846">
                        <c:v>-791802.84898355219</c:v>
                      </c:pt>
                      <c:pt idx="847">
                        <c:v>-792959.03260769765</c:v>
                      </c:pt>
                      <c:pt idx="848">
                        <c:v>-794113.60241118982</c:v>
                      </c:pt>
                      <c:pt idx="849">
                        <c:v>-795266.56259744114</c:v>
                      </c:pt>
                      <c:pt idx="850">
                        <c:v>-796417.91734736704</c:v>
                      </c:pt>
                      <c:pt idx="851">
                        <c:v>-797567.67081955832</c:v>
                      </c:pt>
                      <c:pt idx="852">
                        <c:v>-798715.82715045183</c:v>
                      </c:pt>
                      <c:pt idx="853">
                        <c:v>-799862.39045449952</c:v>
                      </c:pt>
                      <c:pt idx="854">
                        <c:v>-801007.36482433567</c:v>
                      </c:pt>
                      <c:pt idx="855">
                        <c:v>-802150.75433094252</c:v>
                      </c:pt>
                      <c:pt idx="856">
                        <c:v>-803292.56302381435</c:v>
                      </c:pt>
                      <c:pt idx="857">
                        <c:v>-804432.79493112001</c:v>
                      </c:pt>
                      <c:pt idx="858">
                        <c:v>-805571.45405986323</c:v>
                      </c:pt>
                      <c:pt idx="859">
                        <c:v>-806708.54439604224</c:v>
                      </c:pt>
                      <c:pt idx="860">
                        <c:v>-807844.06990480737</c:v>
                      </c:pt>
                      <c:pt idx="861">
                        <c:v>-808978.03453061671</c:v>
                      </c:pt>
                      <c:pt idx="862">
                        <c:v>-810110.44219739106</c:v>
                      </c:pt>
                      <c:pt idx="863">
                        <c:v>-811241.29680866702</c:v>
                      </c:pt>
                      <c:pt idx="864">
                        <c:v>-812370.60224774806</c:v>
                      </c:pt>
                      <c:pt idx="865">
                        <c:v>-813498.362377855</c:v>
                      </c:pt>
                      <c:pt idx="866">
                        <c:v>-814624.58104227472</c:v>
                      </c:pt>
                      <c:pt idx="867">
                        <c:v>-815749.26206450688</c:v>
                      </c:pt>
                      <c:pt idx="868">
                        <c:v>-816872.40924841003</c:v>
                      </c:pt>
                      <c:pt idx="869">
                        <c:v>-817994.02637834591</c:v>
                      </c:pt>
                      <c:pt idx="870">
                        <c:v>-819114.11721932213</c:v>
                      </c:pt>
                      <c:pt idx="871">
                        <c:v>-820232.68551713426</c:v>
                      </c:pt>
                      <c:pt idx="872">
                        <c:v>-821349.7349985058</c:v>
                      </c:pt>
                      <c:pt idx="873">
                        <c:v>-822465.26937122678</c:v>
                      </c:pt>
                      <c:pt idx="874">
                        <c:v>-823579.29232429212</c:v>
                      </c:pt>
                      <c:pt idx="875">
                        <c:v>-824691.807528037</c:v>
                      </c:pt>
                      <c:pt idx="876">
                        <c:v>-825802.81863427232</c:v>
                      </c:pt>
                      <c:pt idx="877">
                        <c:v>-826912.32927641855</c:v>
                      </c:pt>
                      <c:pt idx="878">
                        <c:v>-828020.34306963766</c:v>
                      </c:pt>
                      <c:pt idx="879">
                        <c:v>-829126.86361096485</c:v>
                      </c:pt>
                      <c:pt idx="880">
                        <c:v>-830231.89447943796</c:v>
                      </c:pt>
                      <c:pt idx="881">
                        <c:v>-831335.43923622672</c:v>
                      </c:pt>
                      <c:pt idx="882">
                        <c:v>-832437.50142475998</c:v>
                      </c:pt>
                      <c:pt idx="883">
                        <c:v>-833538.08457085199</c:v>
                      </c:pt>
                      <c:pt idx="884">
                        <c:v>-834637.19218282774</c:v>
                      </c:pt>
                      <c:pt idx="885">
                        <c:v>-835734.8277516471</c:v>
                      </c:pt>
                      <c:pt idx="886">
                        <c:v>-836830.9947510272</c:v>
                      </c:pt>
                      <c:pt idx="887">
                        <c:v>-837925.69663756469</c:v>
                      </c:pt>
                      <c:pt idx="888">
                        <c:v>-839018.93685085571</c:v>
                      </c:pt>
                      <c:pt idx="889">
                        <c:v>-840110.71881361597</c:v>
                      </c:pt>
                      <c:pt idx="890">
                        <c:v>-841201.04593179864</c:v>
                      </c:pt>
                      <c:pt idx="891">
                        <c:v>-842289.92159471195</c:v>
                      </c:pt>
                      <c:pt idx="892">
                        <c:v>-843377.34917513537</c:v>
                      </c:pt>
                      <c:pt idx="893">
                        <c:v>-844463.33202943474</c:v>
                      </c:pt>
                      <c:pt idx="894">
                        <c:v>-845547.8734976761</c:v>
                      </c:pt>
                      <c:pt idx="895">
                        <c:v>-846630.97690373915</c:v>
                      </c:pt>
                      <c:pt idx="896">
                        <c:v>-847712.64555542904</c:v>
                      </c:pt>
                      <c:pt idx="897">
                        <c:v>-848792.88274458773</c:v>
                      </c:pt>
                      <c:pt idx="898">
                        <c:v>-849871.69174720347</c:v>
                      </c:pt>
                      <c:pt idx="899">
                        <c:v>-850949.07582352008</c:v>
                      </c:pt>
                      <c:pt idx="900">
                        <c:v>-852025.03821814526</c:v>
                      </c:pt>
                      <c:pt idx="901">
                        <c:v>-853099.58216015727</c:v>
                      </c:pt>
                      <c:pt idx="902">
                        <c:v>-854172.71086321119</c:v>
                      </c:pt>
                      <c:pt idx="903">
                        <c:v>-855244.42752564419</c:v>
                      </c:pt>
                      <c:pt idx="904">
                        <c:v>-856314.73533057969</c:v>
                      </c:pt>
                      <c:pt idx="905">
                        <c:v>-857383.63744603039</c:v>
                      </c:pt>
                      <c:pt idx="906">
                        <c:v>-858451.13702500111</c:v>
                      </c:pt>
                      <c:pt idx="907">
                        <c:v>-859517.23720559012</c:v>
                      </c:pt>
                      <c:pt idx="908">
                        <c:v>-860581.94111108943</c:v>
                      </c:pt>
                      <c:pt idx="909">
                        <c:v>-861645.25185008475</c:v>
                      </c:pt>
                      <c:pt idx="910">
                        <c:v>-862707.17251655413</c:v>
                      </c:pt>
                      <c:pt idx="911">
                        <c:v>-863767.70618996606</c:v>
                      </c:pt>
                      <c:pt idx="912">
                        <c:v>-864826.8559353766</c:v>
                      </c:pt>
                      <c:pt idx="913">
                        <c:v>-865884.62480352516</c:v>
                      </c:pt>
                      <c:pt idx="914">
                        <c:v>-866941.01583093056</c:v>
                      </c:pt>
                      <c:pt idx="915">
                        <c:v>-867996.03203998494</c:v>
                      </c:pt>
                      <c:pt idx="916">
                        <c:v>-869049.67643904802</c:v>
                      </c:pt>
                      <c:pt idx="917">
                        <c:v>-870101.95202253945</c:v>
                      </c:pt>
                      <c:pt idx="918">
                        <c:v>-871152.86177103152</c:v>
                      </c:pt>
                      <c:pt idx="919">
                        <c:v>-872202.40865134005</c:v>
                      </c:pt>
                      <c:pt idx="920">
                        <c:v>-873250.59561661514</c:v>
                      </c:pt>
                      <c:pt idx="921">
                        <c:v>-874297.42560643051</c:v>
                      </c:pt>
                      <c:pt idx="922">
                        <c:v>-875342.90154687315</c:v>
                      </c:pt>
                      <c:pt idx="923">
                        <c:v>-876387.02635063103</c:v>
                      </c:pt>
                      <c:pt idx="924">
                        <c:v>-877429.80291708058</c:v>
                      </c:pt>
                      <c:pt idx="925">
                        <c:v>-878471.23413237347</c:v>
                      </c:pt>
                      <c:pt idx="926">
                        <c:v>-879511.32286952273</c:v>
                      </c:pt>
                      <c:pt idx="927">
                        <c:v>-880550.07198848773</c:v>
                      </c:pt>
                      <c:pt idx="928">
                        <c:v>-881587.48433625884</c:v>
                      </c:pt>
                      <c:pt idx="929">
                        <c:v>-882623.562746941</c:v>
                      </c:pt>
                      <c:pt idx="930">
                        <c:v>-883658.31004183728</c:v>
                      </c:pt>
                      <c:pt idx="931">
                        <c:v>-884691.72902953066</c:v>
                      </c:pt>
                      <c:pt idx="932">
                        <c:v>-885723.82250596618</c:v>
                      </c:pt>
                      <c:pt idx="933">
                        <c:v>-886754.59325453173</c:v>
                      </c:pt>
                      <c:pt idx="934">
                        <c:v>-887784.0440461383</c:v>
                      </c:pt>
                      <c:pt idx="935">
                        <c:v>-888812.17763929977</c:v>
                      </c:pt>
                      <c:pt idx="936">
                        <c:v>-889838.99678021192</c:v>
                      </c:pt>
                      <c:pt idx="937">
                        <c:v>-890864.50420283037</c:v>
                      </c:pt>
                      <c:pt idx="938">
                        <c:v>-891888.70262894896</c:v>
                      </c:pt>
                      <c:pt idx="939">
                        <c:v>-892911.59476827609</c:v>
                      </c:pt>
                      <c:pt idx="940">
                        <c:v>-893933.18331851123</c:v>
                      </c:pt>
                      <c:pt idx="941">
                        <c:v>-894953.47096542106</c:v>
                      </c:pt>
                      <c:pt idx="942">
                        <c:v>-895972.46038291405</c:v>
                      </c:pt>
                      <c:pt idx="943">
                        <c:v>-896990.15423311561</c:v>
                      </c:pt>
                      <c:pt idx="944">
                        <c:v>-898006.55516644113</c:v>
                      </c:pt>
                      <c:pt idx="945">
                        <c:v>-899021.66582166986</c:v>
                      </c:pt>
                      <c:pt idx="946">
                        <c:v>-900035.48882601771</c:v>
                      </c:pt>
                      <c:pt idx="947">
                        <c:v>-901048.02679520892</c:v>
                      </c:pt>
                      <c:pt idx="948">
                        <c:v>-902059.2823335476</c:v>
                      </c:pt>
                      <c:pt idx="949">
                        <c:v>-903069.25803398888</c:v>
                      </c:pt>
                      <c:pt idx="950">
                        <c:v>-904077.956478209</c:v>
                      </c:pt>
                      <c:pt idx="951">
                        <c:v>-905085.38023667526</c:v>
                      </c:pt>
                      <c:pt idx="952">
                        <c:v>-906091.53186871519</c:v>
                      </c:pt>
                      <c:pt idx="953">
                        <c:v>-907096.41392258508</c:v>
                      </c:pt>
                      <c:pt idx="954">
                        <c:v>-908100.02893553802</c:v>
                      </c:pt>
                      <c:pt idx="955">
                        <c:v>-909102.37943389162</c:v>
                      </c:pt>
                      <c:pt idx="956">
                        <c:v>-910103.46793309494</c:v>
                      </c:pt>
                      <c:pt idx="957">
                        <c:v>-911103.29693779501</c:v>
                      </c:pt>
                      <c:pt idx="958">
                        <c:v>-912101.8689419023</c:v>
                      </c:pt>
                      <c:pt idx="959">
                        <c:v>-913099.1864286568</c:v>
                      </c:pt>
                      <c:pt idx="960">
                        <c:v>-914095.25187069247</c:v>
                      </c:pt>
                      <c:pt idx="961">
                        <c:v>-915090.06773010152</c:v>
                      </c:pt>
                      <c:pt idx="962">
                        <c:v>-916083.63645849854</c:v>
                      </c:pt>
                      <c:pt idx="963">
                        <c:v>-917075.96049708361</c:v>
                      </c:pt>
                      <c:pt idx="964">
                        <c:v>-918067.04227670527</c:v>
                      </c:pt>
                      <c:pt idx="965">
                        <c:v>-919056.88421792293</c:v>
                      </c:pt>
                      <c:pt idx="966">
                        <c:v>-920045.48873106821</c:v>
                      </c:pt>
                      <c:pt idx="967">
                        <c:v>-921032.85821630689</c:v>
                      </c:pt>
                      <c:pt idx="968">
                        <c:v>-922018.99506369943</c:v>
                      </c:pt>
                      <c:pt idx="969">
                        <c:v>-923003.90165326174</c:v>
                      </c:pt>
                      <c:pt idx="970">
                        <c:v>-923987.58035502443</c:v>
                      </c:pt>
                      <c:pt idx="971">
                        <c:v>-924970.03352909291</c:v>
                      </c:pt>
                      <c:pt idx="972">
                        <c:v>-925951.26352570602</c:v>
                      </c:pt>
                      <c:pt idx="973">
                        <c:v>-926931.27268529485</c:v>
                      </c:pt>
                      <c:pt idx="974">
                        <c:v>-927910.06333854038</c:v>
                      </c:pt>
                      <c:pt idx="975">
                        <c:v>-928887.63780643151</c:v>
                      </c:pt>
                      <c:pt idx="976">
                        <c:v>-929863.99840032193</c:v>
                      </c:pt>
                      <c:pt idx="977">
                        <c:v>-930839.14742198703</c:v>
                      </c:pt>
                      <c:pt idx="978">
                        <c:v>-931813.08716368012</c:v>
                      </c:pt>
                      <c:pt idx="979">
                        <c:v>-932785.81990818831</c:v>
                      </c:pt>
                      <c:pt idx="980">
                        <c:v>-933757.34792888793</c:v>
                      </c:pt>
                      <c:pt idx="981">
                        <c:v>-934727.67348979937</c:v>
                      </c:pt>
                      <c:pt idx="982">
                        <c:v>-935696.79884564213</c:v>
                      </c:pt>
                      <c:pt idx="983">
                        <c:v>-936664.72624188836</c:v>
                      </c:pt>
                      <c:pt idx="984">
                        <c:v>-937631.45791481715</c:v>
                      </c:pt>
                      <c:pt idx="985">
                        <c:v>-938596.99609156756</c:v>
                      </c:pt>
                      <c:pt idx="986">
                        <c:v>-939561.34299019142</c:v>
                      </c:pt>
                      <c:pt idx="987">
                        <c:v>-940524.50081970624</c:v>
                      </c:pt>
                      <c:pt idx="988">
                        <c:v>-941486.47178014717</c:v>
                      </c:pt>
                      <c:pt idx="989">
                        <c:v>-942447.25806261867</c:v>
                      </c:pt>
                      <c:pt idx="990">
                        <c:v>-943406.86184934585</c:v>
                      </c:pt>
                      <c:pt idx="991">
                        <c:v>-944365.28531372547</c:v>
                      </c:pt>
                      <c:pt idx="992">
                        <c:v>-945322.53062037646</c:v>
                      </c:pt>
                      <c:pt idx="993">
                        <c:v>-946278.59992519044</c:v>
                      </c:pt>
                      <c:pt idx="994">
                        <c:v>-947233.49537538097</c:v>
                      </c:pt>
                      <c:pt idx="995">
                        <c:v>-948187.21910953335</c:v>
                      </c:pt>
                      <c:pt idx="996">
                        <c:v>-949139.77325765369</c:v>
                      </c:pt>
                      <c:pt idx="997">
                        <c:v>-950091.15994121751</c:v>
                      </c:pt>
                      <c:pt idx="998">
                        <c:v>-951041.38127321796</c:v>
                      </c:pt>
                      <c:pt idx="999">
                        <c:v>-951990.43935821415</c:v>
                      </c:pt>
                      <c:pt idx="1000">
                        <c:v>-952938.3362923786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8128-42CE-830A-D1EDECEEC9C9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4"/>
          <c:tx>
            <c:v>vaisseux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Feuil2!$H$3:$H$6</c:f>
              <c:numCache>
                <c:formatCode>General</c:formatCode>
                <c:ptCount val="4"/>
                <c:pt idx="0">
                  <c:v>30.711201682968294</c:v>
                </c:pt>
                <c:pt idx="1">
                  <c:v>-5195.0518690477966</c:v>
                </c:pt>
                <c:pt idx="2">
                  <c:v>-4650.385143602105</c:v>
                </c:pt>
                <c:pt idx="3">
                  <c:v>30.711201682968294</c:v>
                </c:pt>
              </c:numCache>
            </c:numRef>
          </c:xVal>
          <c:yVal>
            <c:numRef>
              <c:f>Feuil2!$I$3:$I$6</c:f>
              <c:numCache>
                <c:formatCode>General</c:formatCode>
                <c:ptCount val="4"/>
                <c:pt idx="0">
                  <c:v>-23134.84387380907</c:v>
                </c:pt>
                <c:pt idx="1">
                  <c:v>-21834.30539741302</c:v>
                </c:pt>
                <c:pt idx="2">
                  <c:v>-25797.049163819356</c:v>
                </c:pt>
                <c:pt idx="3">
                  <c:v>-23134.84387380907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27-4230-9094-8B5264DD2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5503840"/>
        <c:axId val="1455504672"/>
      </c:scatterChart>
      <c:valAx>
        <c:axId val="1455503840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  <a:alpha val="38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5504672"/>
        <c:crosses val="autoZero"/>
        <c:crossBetween val="midCat"/>
      </c:valAx>
      <c:valAx>
        <c:axId val="1455504672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55503840"/>
        <c:crosses val="autoZero"/>
        <c:crossBetween val="midCat"/>
        <c:majorUnit val="10000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77385</xdr:colOff>
      <xdr:row>3</xdr:row>
      <xdr:rowOff>27382</xdr:rowOff>
    </xdr:from>
    <xdr:to>
      <xdr:col>9</xdr:col>
      <xdr:colOff>2524125</xdr:colOff>
      <xdr:row>31</xdr:row>
      <xdr:rowOff>35719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3</xdr:row>
      <xdr:rowOff>171450</xdr:rowOff>
    </xdr:from>
    <xdr:to>
      <xdr:col>19</xdr:col>
      <xdr:colOff>361950</xdr:colOff>
      <xdr:row>35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742951</xdr:colOff>
          <xdr:row>1</xdr:row>
          <xdr:rowOff>0</xdr:rowOff>
        </xdr:from>
        <xdr:to>
          <xdr:col>12</xdr:col>
          <xdr:colOff>19051</xdr:colOff>
          <xdr:row>2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261BC-02A0-4B4A-83E6-50004B7C0EFA}">
  <sheetPr codeName="Feuil1"/>
  <dimension ref="B1:AJ1004"/>
  <sheetViews>
    <sheetView topLeftCell="B1" zoomScale="80" zoomScaleNormal="80" workbookViewId="0">
      <selection activeCell="AP23" sqref="AP23"/>
    </sheetView>
  </sheetViews>
  <sheetFormatPr baseColWidth="10" defaultRowHeight="15" x14ac:dyDescent="0.25"/>
  <cols>
    <col min="2" max="2" width="31" customWidth="1"/>
    <col min="3" max="3" width="8.5703125" customWidth="1"/>
    <col min="8" max="8" width="7.28515625" customWidth="1"/>
    <col min="9" max="9" width="50.42578125" customWidth="1"/>
    <col min="10" max="10" width="39.140625" customWidth="1"/>
    <col min="11" max="11" width="14.85546875" hidden="1" customWidth="1"/>
    <col min="12" max="15" width="11.42578125" hidden="1" customWidth="1"/>
    <col min="16" max="16" width="13" hidden="1" customWidth="1"/>
    <col min="17" max="18" width="11.42578125" hidden="1" customWidth="1"/>
    <col min="19" max="19" width="12.7109375" hidden="1" customWidth="1"/>
    <col min="20" max="22" width="11.42578125" hidden="1" customWidth="1"/>
    <col min="23" max="23" width="13" hidden="1" customWidth="1"/>
    <col min="24" max="24" width="12.7109375" hidden="1" customWidth="1"/>
    <col min="25" max="25" width="13.7109375" hidden="1" customWidth="1"/>
    <col min="26" max="26" width="13" hidden="1" customWidth="1"/>
    <col min="27" max="27" width="12.7109375" hidden="1" customWidth="1"/>
    <col min="28" max="28" width="13.7109375" hidden="1" customWidth="1"/>
    <col min="29" max="29" width="12.85546875" hidden="1" customWidth="1"/>
    <col min="30" max="36" width="11.42578125" hidden="1" customWidth="1"/>
    <col min="37" max="37" width="0" hidden="1" customWidth="1"/>
  </cols>
  <sheetData>
    <row r="1" spans="2:36" ht="13.5" customHeight="1" x14ac:dyDescent="0.25"/>
    <row r="2" spans="2:36" ht="23.25" customHeight="1" thickBot="1" x14ac:dyDescent="0.3">
      <c r="B2" s="34" t="s">
        <v>32</v>
      </c>
      <c r="C2" s="34"/>
      <c r="D2" s="34"/>
      <c r="E2" s="34"/>
      <c r="F2" s="34"/>
      <c r="G2" s="34"/>
      <c r="I2" s="34" t="s">
        <v>87</v>
      </c>
      <c r="J2" s="34"/>
      <c r="M2" t="s">
        <v>36</v>
      </c>
      <c r="N2" t="s">
        <v>6</v>
      </c>
      <c r="P2" t="s">
        <v>37</v>
      </c>
      <c r="R2" t="s">
        <v>37</v>
      </c>
      <c r="AC2" t="s">
        <v>54</v>
      </c>
      <c r="AD2">
        <f>(AD20-AD4)/16</f>
        <v>0.39269908169872414</v>
      </c>
      <c r="AE2" s="7" t="s">
        <v>5</v>
      </c>
      <c r="AG2" t="s">
        <v>18</v>
      </c>
      <c r="AI2" t="s">
        <v>19</v>
      </c>
    </row>
    <row r="3" spans="2:36" ht="30" x14ac:dyDescent="0.25">
      <c r="M3" s="7" t="s">
        <v>0</v>
      </c>
      <c r="N3" s="7" t="s">
        <v>35</v>
      </c>
      <c r="O3" s="7" t="s">
        <v>38</v>
      </c>
      <c r="P3" s="7" t="s">
        <v>39</v>
      </c>
      <c r="Q3" s="7" t="s">
        <v>40</v>
      </c>
      <c r="R3" s="7" t="s">
        <v>41</v>
      </c>
      <c r="S3" s="7" t="s">
        <v>42</v>
      </c>
      <c r="T3" s="7" t="s">
        <v>51</v>
      </c>
      <c r="U3" s="7" t="s">
        <v>52</v>
      </c>
      <c r="V3" s="7" t="s">
        <v>53</v>
      </c>
      <c r="W3" s="7" t="s">
        <v>43</v>
      </c>
      <c r="X3" s="7" t="s">
        <v>46</v>
      </c>
      <c r="Y3" s="7" t="s">
        <v>47</v>
      </c>
      <c r="Z3" s="7" t="s">
        <v>48</v>
      </c>
      <c r="AA3" s="7" t="s">
        <v>49</v>
      </c>
      <c r="AB3" s="7" t="s">
        <v>50</v>
      </c>
      <c r="AE3" s="7" t="s">
        <v>55</v>
      </c>
      <c r="AF3" s="7" t="s">
        <v>56</v>
      </c>
      <c r="AG3" s="7" t="s">
        <v>55</v>
      </c>
      <c r="AH3" s="7" t="s">
        <v>56</v>
      </c>
      <c r="AI3" s="7" t="s">
        <v>55</v>
      </c>
      <c r="AJ3" s="7" t="s">
        <v>56</v>
      </c>
    </row>
    <row r="4" spans="2:36" ht="16.5" thickBot="1" x14ac:dyDescent="0.3">
      <c r="B4" s="24" t="s">
        <v>84</v>
      </c>
      <c r="C4" s="24"/>
      <c r="D4" s="24"/>
      <c r="E4" s="24"/>
      <c r="F4" s="24"/>
      <c r="G4" s="24"/>
      <c r="L4">
        <v>0</v>
      </c>
      <c r="M4">
        <f>L4*$D$5</f>
        <v>0</v>
      </c>
      <c r="N4">
        <f>D11</f>
        <v>0</v>
      </c>
      <c r="O4">
        <f>E11</f>
        <v>0</v>
      </c>
      <c r="P4">
        <f>D12</f>
        <v>0</v>
      </c>
      <c r="Q4">
        <f>E12</f>
        <v>0</v>
      </c>
      <c r="R4">
        <f>SUM(W4:Y4)</f>
        <v>2856.3396113151211</v>
      </c>
      <c r="S4">
        <f>SUM(Z4:AB4)</f>
        <v>-176.00174090746486</v>
      </c>
      <c r="T4">
        <f>SQRT(($D$18-N4)^2 + ($E$18 - O4) ^2)</f>
        <v>20615.528128088303</v>
      </c>
      <c r="U4">
        <f>SQRT(($D$26-N4)^2 + ($E$26- O4) ^2)</f>
        <v>22360.679774997898</v>
      </c>
      <c r="V4">
        <f>SQRT(($D$34-N4)^2 + ($E$34 - O4) ^2)</f>
        <v>15811.388300841896</v>
      </c>
      <c r="W4">
        <f>$D$22*(($D$18-N4)/(T4^2+($D$23^2))^(3/2))</f>
        <v>3535.392873403151</v>
      </c>
      <c r="X4">
        <f>$D$30*(($D$26-N4)/(U4^2+($D$31^2))^(3/2))</f>
        <v>-279.23137914452502</v>
      </c>
      <c r="Y4">
        <f>$D$38*(($D$34-N4)/(V4^2+($D$39^2))^(3/2))</f>
        <v>-399.8218829435051</v>
      </c>
      <c r="Z4">
        <f>$D$22*(($E$18-O4)/(T4^2+($D$23^2))^(3/2))</f>
        <v>883.84821835078776</v>
      </c>
      <c r="AA4">
        <f>$D$30*(($E$26-O4)/(U4^2+($D$31^2))^(3/2))</f>
        <v>139.61568957226251</v>
      </c>
      <c r="AB4">
        <f>$D$38*(($E$34-O4)/(V4^2+($D$39^2))^(3/2))</f>
        <v>-1199.4656488305152</v>
      </c>
      <c r="AC4">
        <v>0</v>
      </c>
      <c r="AD4">
        <v>0</v>
      </c>
      <c r="AE4">
        <f>COS(AD4)*$D$19+$D$18</f>
        <v>30000</v>
      </c>
      <c r="AF4">
        <f>SIN(AD4)*$D$19+$E$18</f>
        <v>5000</v>
      </c>
      <c r="AG4">
        <f>COS(AD4)*$D$27+$D$26</f>
        <v>-16500</v>
      </c>
      <c r="AH4">
        <f>SIN(AD4)*$D$27+$E$26</f>
        <v>10000</v>
      </c>
      <c r="AI4">
        <f>COS(AD4)*$D$35+$D$34</f>
        <v>0</v>
      </c>
      <c r="AJ4">
        <f>SIN(AD4)*$D$35+$E$34</f>
        <v>-15000</v>
      </c>
    </row>
    <row r="5" spans="2:36" ht="15.75" thickBot="1" x14ac:dyDescent="0.3">
      <c r="B5" s="25" t="s">
        <v>76</v>
      </c>
      <c r="C5" s="1" t="s">
        <v>0</v>
      </c>
      <c r="D5" s="8">
        <v>0.5</v>
      </c>
      <c r="E5" s="8"/>
      <c r="F5" s="8" t="s">
        <v>70</v>
      </c>
      <c r="G5" s="8"/>
      <c r="L5">
        <v>1</v>
      </c>
      <c r="M5">
        <f t="shared" ref="M5:M68" si="0">L5*$D$5</f>
        <v>0.5</v>
      </c>
      <c r="N5">
        <f>(N4)+(P4)*(M5-M4)+((1/2*(R4))*((M5-M4)^2))</f>
        <v>357.04245141439014</v>
      </c>
      <c r="O5">
        <f>(O4)+(Q4)*(M5-M4)+((1/2*(S4))*((M5-M4)^2))</f>
        <v>-22.000217613433108</v>
      </c>
      <c r="P5">
        <f>P4+(R4*(M5-M4))</f>
        <v>1428.1698056575606</v>
      </c>
      <c r="Q5">
        <f>Q4+(S4*(M5-M4))</f>
        <v>-88.000870453732432</v>
      </c>
      <c r="R5">
        <f t="shared" ref="R5:R68" si="1">SUM(W5:Y5)</f>
        <v>2866.2228467382411</v>
      </c>
      <c r="S5">
        <f>SUM(Z5:AB5)</f>
        <v>-137.13450228909596</v>
      </c>
      <c r="T5">
        <f t="shared" ref="T5:T68" si="2">SQRT(($D$18-N5)^2 + ($E$18 - O5) ^2)</f>
        <v>20274.769232749502</v>
      </c>
      <c r="U5">
        <f t="shared" ref="U5:U68" si="3">SQRT(($D$26-N5)^2 + ($E$26- O5) ^2)</f>
        <v>22690.298934358078</v>
      </c>
      <c r="V5">
        <f t="shared" ref="V5:V68" si="4">SQRT(($D$34-N5)^2 + ($E$34 - O5) ^2)</f>
        <v>15907.180180894034</v>
      </c>
      <c r="W5">
        <f t="shared" ref="W5:W68" si="5">$D$22*(($D$18-N5)/(T5^2+($D$23^2))^(3/2))</f>
        <v>3562.1399526073592</v>
      </c>
      <c r="X5">
        <f t="shared" ref="X5:X68" si="6">$D$30*(($D$26-N5)/(U5^2+($D$31^2))^(3/2))</f>
        <v>-273.06273366559009</v>
      </c>
      <c r="Y5">
        <f t="shared" ref="Y5:Y68" si="7">$D$38*(($D$34-N5)/(V5^2+($D$39^2))^(3/2))</f>
        <v>-422.85437220352799</v>
      </c>
      <c r="Z5">
        <f t="shared" ref="Z5:Z68" si="8">$D$22*(($E$18-O5)/(T5^2+($D$23^2))^(3/2))</f>
        <v>910.71151444054124</v>
      </c>
      <c r="AA5">
        <f t="shared" ref="AA5:AA68" si="9">$D$30*(($E$26-O5)/(U5^2+($D$31^2))^(3/2))</f>
        <v>134.4318450359435</v>
      </c>
      <c r="AB5">
        <f t="shared" ref="AB5:AB68" si="10">$D$38*(($E$34-O5)/(V5^2+($D$39^2))^(3/2))</f>
        <v>-1182.2778617655806</v>
      </c>
      <c r="AC5">
        <v>1</v>
      </c>
      <c r="AD5">
        <f>AD4+$AD$2</f>
        <v>0.39269908169872414</v>
      </c>
      <c r="AE5">
        <f>COS(AD5)*$D$19+$D$18</f>
        <v>29238.795325112867</v>
      </c>
      <c r="AF5">
        <f t="shared" ref="AF5:AF20" si="11">SIN(AD5)*$D$19+$E$18</f>
        <v>8826.8343236508972</v>
      </c>
      <c r="AG5">
        <f t="shared" ref="AG5:AG20" si="12">COS(AD5)*$D$27+$D$26</f>
        <v>-16766.421636210496</v>
      </c>
      <c r="AH5">
        <f t="shared" ref="AH5:AH20" si="13">SIN(AD5)*$D$27+$E$26</f>
        <v>11339.392013277815</v>
      </c>
      <c r="AI5">
        <f>COS(AD5)*$D$35+$D$34</f>
        <v>-380.60233744356628</v>
      </c>
      <c r="AJ5">
        <f t="shared" ref="AJ5:AJ20" si="14">SIN(AD5)*$D$35+$E$34</f>
        <v>-13086.58283817455</v>
      </c>
    </row>
    <row r="6" spans="2:36" ht="15.75" thickBot="1" x14ac:dyDescent="0.3">
      <c r="B6" s="25" t="s">
        <v>77</v>
      </c>
      <c r="C6" s="1" t="s">
        <v>1</v>
      </c>
      <c r="D6" s="8">
        <v>2</v>
      </c>
      <c r="E6" s="8"/>
      <c r="F6" s="8" t="s">
        <v>71</v>
      </c>
      <c r="G6" s="8"/>
      <c r="L6">
        <v>2</v>
      </c>
      <c r="M6">
        <f t="shared" si="0"/>
        <v>1</v>
      </c>
      <c r="N6">
        <f>(N5)+(P5)*(M6-M5)+((1/2*(R5))*((M6-M5)^2))</f>
        <v>1429.4052100854506</v>
      </c>
      <c r="O6">
        <f t="shared" ref="O6:O69" si="15">(O5)+(Q5)*(M6-M5)+((1/2*(S5))*((M6-M5)^2))</f>
        <v>-83.142465626436319</v>
      </c>
      <c r="P6">
        <f t="shared" ref="P6:P69" si="16">P5+(R5*(M6-M5))</f>
        <v>2861.2812290266811</v>
      </c>
      <c r="Q6">
        <f>Q5+(S5*(M6-M5))</f>
        <v>-156.56812159828041</v>
      </c>
      <c r="R6">
        <f>SUM(W6:Y6)</f>
        <v>2895.0780240296453</v>
      </c>
      <c r="S6">
        <f t="shared" ref="S5:S68" si="17">SUM(Z6:AB6)</f>
        <v>-9.98351231052402</v>
      </c>
      <c r="T6">
        <f t="shared" si="2"/>
        <v>19253.709465374617</v>
      </c>
      <c r="U6">
        <f t="shared" si="3"/>
        <v>23683.098818358983</v>
      </c>
      <c r="V6">
        <f t="shared" si="4"/>
        <v>16243.456838255559</v>
      </c>
      <c r="W6">
        <f t="shared" si="5"/>
        <v>3635.6484381747964</v>
      </c>
      <c r="X6">
        <f>$D$30*(($D$26-N6)/(U6^2+($D$31^2))^(3/2))</f>
        <v>-255.52092883543665</v>
      </c>
      <c r="Y6">
        <f>$D$38*(($D$34-N6)/(V6^2+($D$39^2))^(3/2))</f>
        <v>-485.04948530971421</v>
      </c>
      <c r="Z6">
        <f>$D$22*(($E$18-O6)/(T6^2+($D$23^2))^(3/2))</f>
        <v>995.14954557143574</v>
      </c>
      <c r="AA6">
        <f t="shared" si="9"/>
        <v>120.22983853907108</v>
      </c>
      <c r="AB6">
        <f t="shared" si="10"/>
        <v>-1125.3628964210309</v>
      </c>
      <c r="AC6">
        <v>2</v>
      </c>
      <c r="AD6">
        <f t="shared" ref="AD6:AD18" si="18">AD5+$AD$2</f>
        <v>0.78539816339744828</v>
      </c>
      <c r="AE6">
        <f t="shared" ref="AE6:AE20" si="19">COS(AD6)*$D$19+$D$18</f>
        <v>27071.067811865476</v>
      </c>
      <c r="AF6">
        <f t="shared" si="11"/>
        <v>12071.067811865476</v>
      </c>
      <c r="AG6">
        <f t="shared" si="12"/>
        <v>-17525.126265847084</v>
      </c>
      <c r="AH6">
        <f t="shared" si="13"/>
        <v>12474.873734152916</v>
      </c>
      <c r="AI6">
        <f t="shared" ref="AI6:AI20" si="20">COS(AD6)*$D$35+$D$34</f>
        <v>-1464.466094067262</v>
      </c>
      <c r="AJ6">
        <f t="shared" si="14"/>
        <v>-11464.466094067262</v>
      </c>
    </row>
    <row r="7" spans="2:36" ht="15.75" thickBot="1" x14ac:dyDescent="0.3">
      <c r="B7" s="25" t="s">
        <v>33</v>
      </c>
      <c r="C7" s="4" t="s">
        <v>34</v>
      </c>
      <c r="D7" s="8">
        <v>0</v>
      </c>
      <c r="E7" s="8"/>
      <c r="F7" s="8" t="s">
        <v>72</v>
      </c>
      <c r="G7" s="8"/>
      <c r="L7">
        <v>3</v>
      </c>
      <c r="M7">
        <f t="shared" si="0"/>
        <v>1.5</v>
      </c>
      <c r="N7">
        <f>(N6)+(P6)*(M7-M6)+((1/2*(R6))*((M7-M6)^2))</f>
        <v>3221.9305776024967</v>
      </c>
      <c r="O7">
        <f t="shared" si="15"/>
        <v>-162.67446546439203</v>
      </c>
      <c r="P7">
        <f t="shared" si="16"/>
        <v>4308.8202410415033</v>
      </c>
      <c r="Q7">
        <f t="shared" ref="Q6:Q69" si="21">Q6+(S6*(M7-M6))</f>
        <v>-161.55987775354242</v>
      </c>
      <c r="R7">
        <f t="shared" si="1"/>
        <v>2936.2115919752505</v>
      </c>
      <c r="S7">
        <f t="shared" si="17"/>
        <v>230.41145779888075</v>
      </c>
      <c r="T7">
        <f t="shared" si="2"/>
        <v>17554.396064209905</v>
      </c>
      <c r="U7">
        <f t="shared" si="3"/>
        <v>25348.33351607146</v>
      </c>
      <c r="V7">
        <f t="shared" si="4"/>
        <v>16963.088499465459</v>
      </c>
      <c r="W7">
        <f t="shared" si="5"/>
        <v>3729.3782374644748</v>
      </c>
      <c r="X7">
        <f t="shared" si="6"/>
        <v>-229.33322535890514</v>
      </c>
      <c r="Y7">
        <f t="shared" si="7"/>
        <v>-563.83342013031938</v>
      </c>
      <c r="Z7">
        <f t="shared" si="8"/>
        <v>1147.5435769096491</v>
      </c>
      <c r="AA7">
        <f t="shared" si="9"/>
        <v>100.36370170210708</v>
      </c>
      <c r="AB7">
        <f t="shared" si="10"/>
        <v>-1017.4958208128755</v>
      </c>
      <c r="AC7">
        <v>3</v>
      </c>
      <c r="AD7">
        <f t="shared" si="18"/>
        <v>1.1780972450961724</v>
      </c>
      <c r="AE7">
        <f t="shared" si="19"/>
        <v>23826.834323650899</v>
      </c>
      <c r="AF7">
        <f t="shared" si="11"/>
        <v>14238.795325112867</v>
      </c>
      <c r="AG7">
        <f t="shared" si="12"/>
        <v>-18660.607986722185</v>
      </c>
      <c r="AH7">
        <f t="shared" si="13"/>
        <v>13233.578363789504</v>
      </c>
      <c r="AI7">
        <f t="shared" si="20"/>
        <v>-3086.5828381745505</v>
      </c>
      <c r="AJ7">
        <f t="shared" si="14"/>
        <v>-10380.602337443566</v>
      </c>
    </row>
    <row r="8" spans="2:36" x14ac:dyDescent="0.25">
      <c r="L8">
        <v>4</v>
      </c>
      <c r="M8">
        <f t="shared" si="0"/>
        <v>2</v>
      </c>
      <c r="N8">
        <f t="shared" ref="N6:N69" si="22">(N7)+(P7)*(M8-M7)+((1/2*(R7))*((M8-M7)^2))</f>
        <v>5743.3671471201542</v>
      </c>
      <c r="O8">
        <f t="shared" si="15"/>
        <v>-214.65297211630315</v>
      </c>
      <c r="P8">
        <f t="shared" si="16"/>
        <v>5776.9260370291286</v>
      </c>
      <c r="Q8">
        <f t="shared" si="21"/>
        <v>-46.35414885410205</v>
      </c>
      <c r="R8">
        <f t="shared" si="1"/>
        <v>2952.1248632314023</v>
      </c>
      <c r="S8">
        <f t="shared" si="17"/>
        <v>602.41927518899843</v>
      </c>
      <c r="T8">
        <f t="shared" si="2"/>
        <v>15180.388200616422</v>
      </c>
      <c r="U8">
        <f t="shared" si="3"/>
        <v>27695.849642359586</v>
      </c>
      <c r="V8">
        <f t="shared" si="4"/>
        <v>18276.389807420117</v>
      </c>
      <c r="W8">
        <f t="shared" si="5"/>
        <v>3772.555250372201</v>
      </c>
      <c r="X8">
        <f t="shared" si="6"/>
        <v>-198.3238235017032</v>
      </c>
      <c r="Y8">
        <f t="shared" si="7"/>
        <v>-622.10656363909538</v>
      </c>
      <c r="Z8">
        <f t="shared" si="8"/>
        <v>1379.888691238373</v>
      </c>
      <c r="AA8">
        <f t="shared" si="9"/>
        <v>78.692465581362924</v>
      </c>
      <c r="AB8">
        <f t="shared" si="10"/>
        <v>-856.16188163073753</v>
      </c>
      <c r="AC8">
        <v>4</v>
      </c>
      <c r="AD8">
        <f t="shared" si="18"/>
        <v>1.5707963267948966</v>
      </c>
      <c r="AE8">
        <f t="shared" si="19"/>
        <v>20000</v>
      </c>
      <c r="AF8">
        <f t="shared" si="11"/>
        <v>15000</v>
      </c>
      <c r="AG8">
        <f t="shared" si="12"/>
        <v>-20000</v>
      </c>
      <c r="AH8">
        <f t="shared" si="13"/>
        <v>13500</v>
      </c>
      <c r="AI8">
        <f t="shared" si="20"/>
        <v>-5000</v>
      </c>
      <c r="AJ8">
        <f t="shared" si="14"/>
        <v>-10000</v>
      </c>
    </row>
    <row r="9" spans="2:36" ht="16.5" thickBot="1" x14ac:dyDescent="0.3">
      <c r="B9" s="24" t="s">
        <v>85</v>
      </c>
      <c r="C9" s="24"/>
      <c r="D9" s="24"/>
      <c r="E9" s="24"/>
      <c r="F9" s="24"/>
      <c r="G9" s="24"/>
      <c r="L9">
        <v>5</v>
      </c>
      <c r="M9">
        <f t="shared" si="0"/>
        <v>2.5</v>
      </c>
      <c r="N9">
        <f t="shared" si="22"/>
        <v>9000.8457735386437</v>
      </c>
      <c r="O9">
        <f t="shared" si="15"/>
        <v>-162.52763714472937</v>
      </c>
      <c r="P9">
        <f t="shared" si="16"/>
        <v>7252.9884686448295</v>
      </c>
      <c r="Q9">
        <f t="shared" si="21"/>
        <v>254.85548874039716</v>
      </c>
      <c r="R9">
        <f t="shared" si="1"/>
        <v>2803.6407475032138</v>
      </c>
      <c r="S9">
        <f t="shared" si="17"/>
        <v>1083.2256950767185</v>
      </c>
      <c r="T9">
        <f t="shared" si="2"/>
        <v>12150.435601317586</v>
      </c>
      <c r="U9">
        <f t="shared" si="3"/>
        <v>30729.888114933066</v>
      </c>
      <c r="V9">
        <f t="shared" si="4"/>
        <v>20400.349714965891</v>
      </c>
      <c r="W9">
        <f t="shared" si="5"/>
        <v>3595.1199382327359</v>
      </c>
      <c r="X9">
        <f t="shared" si="6"/>
        <v>-166.3664256307305</v>
      </c>
      <c r="Y9">
        <f t="shared" si="7"/>
        <v>-625.11276509879133</v>
      </c>
      <c r="Z9">
        <f t="shared" si="8"/>
        <v>1687.3939266462705</v>
      </c>
      <c r="AA9">
        <f t="shared" si="9"/>
        <v>58.298416934720471</v>
      </c>
      <c r="AB9">
        <f t="shared" si="10"/>
        <v>-662.4666485042726</v>
      </c>
      <c r="AC9">
        <v>5</v>
      </c>
      <c r="AD9">
        <f t="shared" si="18"/>
        <v>1.9634954084936207</v>
      </c>
      <c r="AE9">
        <f t="shared" si="19"/>
        <v>16173.165676349103</v>
      </c>
      <c r="AF9">
        <f t="shared" si="11"/>
        <v>14238.795325112867</v>
      </c>
      <c r="AG9">
        <f t="shared" si="12"/>
        <v>-21339.392013277815</v>
      </c>
      <c r="AH9">
        <f t="shared" si="13"/>
        <v>13233.578363789504</v>
      </c>
      <c r="AI9">
        <f t="shared" si="20"/>
        <v>-6913.4171618254486</v>
      </c>
      <c r="AJ9">
        <f t="shared" si="14"/>
        <v>-10380.602337443566</v>
      </c>
    </row>
    <row r="10" spans="2:36" ht="15.75" thickBot="1" x14ac:dyDescent="0.3">
      <c r="B10" s="25" t="s">
        <v>78</v>
      </c>
      <c r="C10" s="1" t="s">
        <v>2</v>
      </c>
      <c r="D10" s="8">
        <v>1</v>
      </c>
      <c r="E10" s="8"/>
      <c r="F10" s="8" t="s">
        <v>73</v>
      </c>
      <c r="G10" s="8"/>
      <c r="L10">
        <v>6</v>
      </c>
      <c r="M10">
        <f t="shared" si="0"/>
        <v>3</v>
      </c>
      <c r="N10">
        <f t="shared" si="22"/>
        <v>12977.79510129896</v>
      </c>
      <c r="O10">
        <f t="shared" si="15"/>
        <v>100.30331911005902</v>
      </c>
      <c r="P10">
        <f t="shared" si="16"/>
        <v>8654.8088423964364</v>
      </c>
      <c r="Q10">
        <f t="shared" si="21"/>
        <v>796.4683362787564</v>
      </c>
      <c r="R10">
        <f t="shared" si="1"/>
        <v>2153.5204730343876</v>
      </c>
      <c r="S10">
        <f t="shared" si="17"/>
        <v>1558.3169406613874</v>
      </c>
      <c r="T10">
        <f t="shared" si="2"/>
        <v>8562.6157921551512</v>
      </c>
      <c r="U10">
        <f t="shared" si="3"/>
        <v>34431.656424239613</v>
      </c>
      <c r="V10">
        <f t="shared" si="4"/>
        <v>23478.080778322044</v>
      </c>
      <c r="W10">
        <f t="shared" si="5"/>
        <v>2856.4856060479588</v>
      </c>
      <c r="X10">
        <f t="shared" si="6"/>
        <v>-136.53913756262054</v>
      </c>
      <c r="Y10">
        <f t="shared" si="7"/>
        <v>-566.42599545095095</v>
      </c>
      <c r="Z10">
        <f t="shared" si="8"/>
        <v>1993.0937995773979</v>
      </c>
      <c r="AA10">
        <f t="shared" si="9"/>
        <v>40.988066145362396</v>
      </c>
      <c r="AB10">
        <f t="shared" si="10"/>
        <v>-475.76492506137276</v>
      </c>
      <c r="AC10">
        <v>6</v>
      </c>
      <c r="AD10">
        <f t="shared" si="18"/>
        <v>2.3561944901923448</v>
      </c>
      <c r="AE10">
        <f t="shared" si="19"/>
        <v>12928.932188134524</v>
      </c>
      <c r="AF10">
        <f t="shared" si="11"/>
        <v>12071.067811865476</v>
      </c>
      <c r="AG10">
        <f t="shared" si="12"/>
        <v>-22474.873734152916</v>
      </c>
      <c r="AH10">
        <f t="shared" si="13"/>
        <v>12474.873734152916</v>
      </c>
      <c r="AI10">
        <f t="shared" si="20"/>
        <v>-8535.533905932738</v>
      </c>
      <c r="AJ10">
        <f t="shared" si="14"/>
        <v>-11464.466094067262</v>
      </c>
    </row>
    <row r="11" spans="2:36" ht="15.75" thickBot="1" x14ac:dyDescent="0.3">
      <c r="B11" s="25" t="s">
        <v>79</v>
      </c>
      <c r="C11" s="1" t="s">
        <v>3</v>
      </c>
      <c r="D11" s="5">
        <v>0</v>
      </c>
      <c r="E11" s="6">
        <v>0</v>
      </c>
      <c r="F11" s="8" t="s">
        <v>74</v>
      </c>
      <c r="G11" s="8"/>
      <c r="L11">
        <v>7</v>
      </c>
      <c r="M11">
        <f t="shared" si="0"/>
        <v>3.5</v>
      </c>
      <c r="N11">
        <f t="shared" si="22"/>
        <v>17574.389581626474</v>
      </c>
      <c r="O11">
        <f t="shared" si="15"/>
        <v>693.32710483211065</v>
      </c>
      <c r="P11">
        <f t="shared" si="16"/>
        <v>9731.5690789136297</v>
      </c>
      <c r="Q11">
        <f t="shared" si="21"/>
        <v>1575.6268066094501</v>
      </c>
      <c r="R11">
        <f t="shared" si="1"/>
        <v>579.06964673075026</v>
      </c>
      <c r="S11">
        <f t="shared" si="17"/>
        <v>1762.3909429444807</v>
      </c>
      <c r="T11">
        <f t="shared" si="2"/>
        <v>4942.7742541710286</v>
      </c>
      <c r="U11">
        <f t="shared" si="3"/>
        <v>38709.803833260281</v>
      </c>
      <c r="V11">
        <f t="shared" si="4"/>
        <v>27493.337021945954</v>
      </c>
      <c r="W11">
        <f t="shared" si="5"/>
        <v>1161.9808930313716</v>
      </c>
      <c r="X11">
        <f t="shared" si="6"/>
        <v>-110.85625321898868</v>
      </c>
      <c r="Y11">
        <f t="shared" si="7"/>
        <v>-472.05499308163252</v>
      </c>
      <c r="Z11">
        <f t="shared" si="8"/>
        <v>2063.0978407805328</v>
      </c>
      <c r="AA11">
        <f t="shared" si="9"/>
        <v>27.457608721806707</v>
      </c>
      <c r="AB11">
        <f t="shared" si="10"/>
        <v>-328.16450655785872</v>
      </c>
      <c r="AC11">
        <v>7</v>
      </c>
      <c r="AD11">
        <f t="shared" si="18"/>
        <v>2.748893571891069</v>
      </c>
      <c r="AE11">
        <f t="shared" si="19"/>
        <v>10761.204674887133</v>
      </c>
      <c r="AF11">
        <f t="shared" si="11"/>
        <v>8826.834323650899</v>
      </c>
      <c r="AG11">
        <f t="shared" si="12"/>
        <v>-23233.578363789504</v>
      </c>
      <c r="AH11">
        <f t="shared" si="13"/>
        <v>11339.392013277815</v>
      </c>
      <c r="AI11">
        <f t="shared" si="20"/>
        <v>-9619.3976625564337</v>
      </c>
      <c r="AJ11">
        <f t="shared" si="14"/>
        <v>-13086.58283817455</v>
      </c>
    </row>
    <row r="12" spans="2:36" ht="15.75" thickBot="1" x14ac:dyDescent="0.3">
      <c r="B12" s="25" t="s">
        <v>80</v>
      </c>
      <c r="C12" s="1" t="s">
        <v>4</v>
      </c>
      <c r="D12" s="5">
        <v>0</v>
      </c>
      <c r="E12" s="6">
        <v>0</v>
      </c>
      <c r="F12" s="8" t="s">
        <v>71</v>
      </c>
      <c r="G12" s="8"/>
      <c r="L12">
        <v>8</v>
      </c>
      <c r="M12">
        <f t="shared" si="0"/>
        <v>4</v>
      </c>
      <c r="N12">
        <f t="shared" si="22"/>
        <v>22512.557826924633</v>
      </c>
      <c r="O12">
        <f t="shared" si="15"/>
        <v>1701.4393760048958</v>
      </c>
      <c r="P12">
        <f t="shared" si="16"/>
        <v>10021.103902279005</v>
      </c>
      <c r="Q12">
        <f t="shared" si="21"/>
        <v>2456.8222780816905</v>
      </c>
      <c r="R12">
        <f t="shared" si="1"/>
        <v>-1701.7733603395366</v>
      </c>
      <c r="S12">
        <f t="shared" si="17"/>
        <v>1410.6752180059111</v>
      </c>
      <c r="T12">
        <f t="shared" si="2"/>
        <v>4146.498405137907</v>
      </c>
      <c r="U12">
        <f t="shared" si="3"/>
        <v>43314.936008468634</v>
      </c>
      <c r="V12">
        <f t="shared" si="4"/>
        <v>32185.072866318616</v>
      </c>
      <c r="W12">
        <f t="shared" si="5"/>
        <v>-1235.0895714699948</v>
      </c>
      <c r="X12">
        <f t="shared" si="6"/>
        <v>-90.386115111597519</v>
      </c>
      <c r="Y12">
        <f t="shared" si="7"/>
        <v>-376.29767375794432</v>
      </c>
      <c r="Z12">
        <f t="shared" si="8"/>
        <v>1621.4623137826457</v>
      </c>
      <c r="AA12">
        <f t="shared" si="9"/>
        <v>17.643602129861605</v>
      </c>
      <c r="AB12">
        <f t="shared" si="10"/>
        <v>-228.43069790659604</v>
      </c>
      <c r="AC12">
        <v>8</v>
      </c>
      <c r="AD12">
        <f t="shared" si="18"/>
        <v>3.1415926535897931</v>
      </c>
      <c r="AE12">
        <f t="shared" si="19"/>
        <v>10000</v>
      </c>
      <c r="AF12">
        <f t="shared" si="11"/>
        <v>5000.0000000000009</v>
      </c>
      <c r="AG12">
        <f t="shared" si="12"/>
        <v>-23500</v>
      </c>
      <c r="AH12">
        <f t="shared" si="13"/>
        <v>10000</v>
      </c>
      <c r="AI12">
        <f t="shared" si="20"/>
        <v>-10000</v>
      </c>
      <c r="AJ12">
        <f t="shared" si="14"/>
        <v>-15000</v>
      </c>
    </row>
    <row r="13" spans="2:36" ht="15.75" thickBot="1" x14ac:dyDescent="0.3">
      <c r="B13" s="25" t="s">
        <v>67</v>
      </c>
      <c r="C13" s="1" t="s">
        <v>68</v>
      </c>
      <c r="D13" s="2">
        <v>0</v>
      </c>
      <c r="E13" s="3">
        <v>0</v>
      </c>
      <c r="F13" s="8" t="s">
        <v>71</v>
      </c>
      <c r="G13" s="8"/>
      <c r="L13">
        <v>9</v>
      </c>
      <c r="M13">
        <f t="shared" si="0"/>
        <v>4.5</v>
      </c>
      <c r="N13">
        <f t="shared" si="22"/>
        <v>27310.388108021692</v>
      </c>
      <c r="O13">
        <f t="shared" si="15"/>
        <v>3106.1849172964803</v>
      </c>
      <c r="P13">
        <f t="shared" si="16"/>
        <v>9170.2172221092369</v>
      </c>
      <c r="Q13">
        <f t="shared" si="21"/>
        <v>3162.159887084646</v>
      </c>
      <c r="R13">
        <f t="shared" si="1"/>
        <v>-3509.0443493238649</v>
      </c>
      <c r="S13">
        <f t="shared" si="17"/>
        <v>654.98965496630808</v>
      </c>
      <c r="T13">
        <f t="shared" si="2"/>
        <v>7551.709068640047</v>
      </c>
      <c r="U13">
        <f t="shared" si="3"/>
        <v>47810.014738819642</v>
      </c>
      <c r="V13">
        <f t="shared" si="4"/>
        <v>37037.752522936971</v>
      </c>
      <c r="W13">
        <f t="shared" si="5"/>
        <v>-3134.1111155385738</v>
      </c>
      <c r="X13">
        <f t="shared" si="6"/>
        <v>-75.313949203514312</v>
      </c>
      <c r="Y13">
        <f t="shared" si="7"/>
        <v>-299.61928458177675</v>
      </c>
      <c r="Z13">
        <f t="shared" si="8"/>
        <v>811.91679754495624</v>
      </c>
      <c r="AA13">
        <f t="shared" si="9"/>
        <v>10.974343262027073</v>
      </c>
      <c r="AB13">
        <f t="shared" si="10"/>
        <v>-167.90148584067529</v>
      </c>
      <c r="AC13">
        <v>9</v>
      </c>
      <c r="AD13">
        <f t="shared" si="18"/>
        <v>3.5342917352885173</v>
      </c>
      <c r="AE13">
        <f t="shared" si="19"/>
        <v>10761.204674887131</v>
      </c>
      <c r="AF13">
        <f t="shared" si="11"/>
        <v>1173.1656763491033</v>
      </c>
      <c r="AG13">
        <f t="shared" si="12"/>
        <v>-23233.578363789504</v>
      </c>
      <c r="AH13">
        <f t="shared" si="13"/>
        <v>8660.6079867221852</v>
      </c>
      <c r="AI13">
        <f t="shared" si="20"/>
        <v>-9619.3976625564355</v>
      </c>
      <c r="AJ13">
        <f t="shared" si="14"/>
        <v>-16913.417161825448</v>
      </c>
    </row>
    <row r="14" spans="2:36" ht="15.75" thickBot="1" x14ac:dyDescent="0.3">
      <c r="B14" s="25" t="s">
        <v>13</v>
      </c>
      <c r="C14" s="1" t="s">
        <v>14</v>
      </c>
      <c r="D14" s="8">
        <v>1000</v>
      </c>
      <c r="E14" s="8"/>
      <c r="F14" s="8" t="s">
        <v>74</v>
      </c>
      <c r="G14" s="8"/>
      <c r="L14">
        <v>10</v>
      </c>
      <c r="M14">
        <f t="shared" si="0"/>
        <v>5</v>
      </c>
      <c r="N14">
        <f t="shared" si="22"/>
        <v>31456.866175410829</v>
      </c>
      <c r="O14">
        <f t="shared" si="15"/>
        <v>4769.1385677095923</v>
      </c>
      <c r="P14">
        <f t="shared" si="16"/>
        <v>7415.6950474473042</v>
      </c>
      <c r="Q14">
        <f t="shared" si="21"/>
        <v>3489.6547145678001</v>
      </c>
      <c r="R14">
        <f t="shared" si="1"/>
        <v>-4229.4416191893288</v>
      </c>
      <c r="S14">
        <f t="shared" si="17"/>
        <v>-47.755217195711495</v>
      </c>
      <c r="T14">
        <f t="shared" si="2"/>
        <v>11459.191924485423</v>
      </c>
      <c r="U14">
        <f t="shared" si="3"/>
        <v>51722.055140123375</v>
      </c>
      <c r="V14">
        <f t="shared" si="4"/>
        <v>41471.94149109874</v>
      </c>
      <c r="W14">
        <f t="shared" si="5"/>
        <v>-3918.5797392920563</v>
      </c>
      <c r="X14">
        <f t="shared" si="6"/>
        <v>-64.995685788908105</v>
      </c>
      <c r="Y14">
        <f t="shared" si="7"/>
        <v>-245.86619410836445</v>
      </c>
      <c r="Z14">
        <f t="shared" si="8"/>
        <v>78.961289876871334</v>
      </c>
      <c r="AA14">
        <f t="shared" si="9"/>
        <v>6.6071537450317868</v>
      </c>
      <c r="AB14">
        <f t="shared" si="10"/>
        <v>-133.32366081761461</v>
      </c>
      <c r="AC14">
        <v>10</v>
      </c>
      <c r="AD14">
        <f t="shared" si="18"/>
        <v>3.9269908169872414</v>
      </c>
      <c r="AE14">
        <f t="shared" si="19"/>
        <v>12928.932188134524</v>
      </c>
      <c r="AF14">
        <f t="shared" si="11"/>
        <v>-2071.0678118654751</v>
      </c>
      <c r="AG14">
        <f t="shared" si="12"/>
        <v>-22474.873734152916</v>
      </c>
      <c r="AH14">
        <f t="shared" si="13"/>
        <v>7525.1262658470841</v>
      </c>
      <c r="AI14">
        <f t="shared" si="20"/>
        <v>-8535.533905932738</v>
      </c>
      <c r="AJ14">
        <f t="shared" si="14"/>
        <v>-18535.533905932738</v>
      </c>
    </row>
    <row r="15" spans="2:36" ht="15.75" thickBot="1" x14ac:dyDescent="0.3">
      <c r="L15">
        <v>11</v>
      </c>
      <c r="M15">
        <f t="shared" si="0"/>
        <v>5.5</v>
      </c>
      <c r="N15">
        <f t="shared" si="22"/>
        <v>34636.033496735814</v>
      </c>
      <c r="O15">
        <f t="shared" si="15"/>
        <v>6507.9965228440278</v>
      </c>
      <c r="P15">
        <f t="shared" si="16"/>
        <v>5300.9742378526398</v>
      </c>
      <c r="Q15">
        <f t="shared" si="21"/>
        <v>3465.7771059699444</v>
      </c>
      <c r="R15">
        <f t="shared" si="1"/>
        <v>-4274.1521456695646</v>
      </c>
      <c r="S15">
        <f t="shared" si="17"/>
        <v>-523.20805474559279</v>
      </c>
      <c r="T15">
        <f t="shared" si="2"/>
        <v>14713.515216646309</v>
      </c>
      <c r="U15">
        <f t="shared" si="3"/>
        <v>54747.513592316747</v>
      </c>
      <c r="V15">
        <f t="shared" si="4"/>
        <v>45095.554833941605</v>
      </c>
      <c r="W15">
        <f t="shared" si="5"/>
        <v>-4005.2124690022874</v>
      </c>
      <c r="X15">
        <f t="shared" si="6"/>
        <v>-58.359959982802607</v>
      </c>
      <c r="Y15">
        <f t="shared" si="7"/>
        <v>-210.57971668447439</v>
      </c>
      <c r="Z15">
        <f t="shared" si="8"/>
        <v>-412.66962649778185</v>
      </c>
      <c r="AA15">
        <f t="shared" si="9"/>
        <v>3.730014244149066</v>
      </c>
      <c r="AB15">
        <f t="shared" si="10"/>
        <v>-114.26844249195997</v>
      </c>
      <c r="AC15">
        <v>11</v>
      </c>
      <c r="AD15">
        <f t="shared" si="18"/>
        <v>4.3196898986859651</v>
      </c>
      <c r="AE15">
        <f t="shared" si="19"/>
        <v>16173.165676349097</v>
      </c>
      <c r="AF15">
        <f t="shared" si="11"/>
        <v>-4238.7953251128656</v>
      </c>
      <c r="AG15">
        <f t="shared" si="12"/>
        <v>-21339.392013277815</v>
      </c>
      <c r="AH15">
        <f t="shared" si="13"/>
        <v>6766.4216362104971</v>
      </c>
      <c r="AI15">
        <f t="shared" si="20"/>
        <v>-6913.4171618254513</v>
      </c>
      <c r="AJ15">
        <f t="shared" si="14"/>
        <v>-19619.397662556432</v>
      </c>
    </row>
    <row r="16" spans="2:36" ht="16.5" thickBot="1" x14ac:dyDescent="0.3">
      <c r="B16" s="21" t="s">
        <v>86</v>
      </c>
      <c r="C16" s="22"/>
      <c r="D16" s="22"/>
      <c r="E16" s="22"/>
      <c r="F16" s="22"/>
      <c r="G16" s="23"/>
      <c r="L16">
        <v>12</v>
      </c>
      <c r="M16">
        <f t="shared" si="0"/>
        <v>6</v>
      </c>
      <c r="N16">
        <f t="shared" si="22"/>
        <v>36752.25159745344</v>
      </c>
      <c r="O16">
        <f t="shared" si="15"/>
        <v>8175.4840689858001</v>
      </c>
      <c r="P16">
        <f t="shared" si="16"/>
        <v>3163.8981650178575</v>
      </c>
      <c r="Q16">
        <f t="shared" si="21"/>
        <v>3204.1730785971481</v>
      </c>
      <c r="R16">
        <f t="shared" si="1"/>
        <v>-4108.1841957158867</v>
      </c>
      <c r="S16">
        <f t="shared" si="17"/>
        <v>-835.46787847366863</v>
      </c>
      <c r="T16">
        <f t="shared" si="2"/>
        <v>17050.561065746897</v>
      </c>
      <c r="U16">
        <f t="shared" si="3"/>
        <v>56781.572008559087</v>
      </c>
      <c r="V16">
        <f t="shared" si="4"/>
        <v>47753.047811515316</v>
      </c>
      <c r="W16">
        <f t="shared" si="5"/>
        <v>-3865.5136344536068</v>
      </c>
      <c r="X16">
        <f t="shared" si="6"/>
        <v>-54.42865335148209</v>
      </c>
      <c r="Y16">
        <f t="shared" si="7"/>
        <v>-188.24190791079789</v>
      </c>
      <c r="Z16">
        <f t="shared" si="8"/>
        <v>-732.7299792059456</v>
      </c>
      <c r="AA16">
        <f t="shared" si="9"/>
        <v>1.7498150707360569</v>
      </c>
      <c r="AB16">
        <f t="shared" si="10"/>
        <v>-104.48771433845913</v>
      </c>
      <c r="AC16">
        <v>12</v>
      </c>
      <c r="AD16">
        <f t="shared" si="18"/>
        <v>4.7123889803846897</v>
      </c>
      <c r="AE16">
        <f t="shared" si="19"/>
        <v>19999.999999999996</v>
      </c>
      <c r="AF16">
        <f t="shared" si="11"/>
        <v>-5000</v>
      </c>
      <c r="AG16">
        <f t="shared" si="12"/>
        <v>-20000</v>
      </c>
      <c r="AH16">
        <f t="shared" si="13"/>
        <v>6500</v>
      </c>
      <c r="AI16">
        <f t="shared" si="20"/>
        <v>-5000.0000000000009</v>
      </c>
      <c r="AJ16">
        <f t="shared" si="14"/>
        <v>-20000</v>
      </c>
    </row>
    <row r="17" spans="2:36" ht="16.5" thickBot="1" x14ac:dyDescent="0.3">
      <c r="B17" s="12" t="s">
        <v>5</v>
      </c>
      <c r="C17" s="13"/>
      <c r="D17" s="13"/>
      <c r="E17" s="13"/>
      <c r="F17" s="13"/>
      <c r="G17" s="14"/>
      <c r="L17">
        <v>13</v>
      </c>
      <c r="M17">
        <f t="shared" si="0"/>
        <v>6.5</v>
      </c>
      <c r="N17">
        <f t="shared" si="22"/>
        <v>37820.677655497886</v>
      </c>
      <c r="O17">
        <f t="shared" si="15"/>
        <v>9673.1371234751641</v>
      </c>
      <c r="P17">
        <f t="shared" si="16"/>
        <v>1109.8060671599142</v>
      </c>
      <c r="Q17">
        <f t="shared" si="21"/>
        <v>2786.4391393603137</v>
      </c>
      <c r="R17">
        <f t="shared" si="1"/>
        <v>-3940.0791464485524</v>
      </c>
      <c r="S17">
        <f t="shared" si="17"/>
        <v>-1074.0454598185893</v>
      </c>
      <c r="T17">
        <f t="shared" si="2"/>
        <v>18423.212604645352</v>
      </c>
      <c r="U17">
        <f t="shared" si="3"/>
        <v>57821.601533346024</v>
      </c>
      <c r="V17">
        <f t="shared" si="4"/>
        <v>49420.381730515437</v>
      </c>
      <c r="W17">
        <f t="shared" si="5"/>
        <v>-3712.6212678199918</v>
      </c>
      <c r="X17">
        <f t="shared" si="6"/>
        <v>-52.55660699849355</v>
      </c>
      <c r="Y17">
        <f t="shared" si="7"/>
        <v>-174.90127163006704</v>
      </c>
      <c r="Z17">
        <f t="shared" si="8"/>
        <v>-973.56501292757991</v>
      </c>
      <c r="AA17">
        <f t="shared" si="9"/>
        <v>0.29710484969176898</v>
      </c>
      <c r="AB17">
        <f t="shared" si="10"/>
        <v>-100.77755174070106</v>
      </c>
      <c r="AC17">
        <v>13</v>
      </c>
      <c r="AD17">
        <f t="shared" si="18"/>
        <v>5.1050880620834143</v>
      </c>
      <c r="AE17">
        <f t="shared" si="19"/>
        <v>23826.834323650899</v>
      </c>
      <c r="AF17">
        <f t="shared" si="11"/>
        <v>-4238.7953251128656</v>
      </c>
      <c r="AG17">
        <f t="shared" si="12"/>
        <v>-18660.607986722185</v>
      </c>
      <c r="AH17">
        <f t="shared" si="13"/>
        <v>6766.4216362104962</v>
      </c>
      <c r="AI17">
        <f t="shared" si="20"/>
        <v>-3086.58283817455</v>
      </c>
      <c r="AJ17">
        <f t="shared" si="14"/>
        <v>-19619.397662556432</v>
      </c>
    </row>
    <row r="18" spans="2:36" ht="15.75" thickBot="1" x14ac:dyDescent="0.3">
      <c r="B18" s="25" t="s">
        <v>81</v>
      </c>
      <c r="C18" s="1" t="s">
        <v>7</v>
      </c>
      <c r="D18" s="2">
        <v>20000</v>
      </c>
      <c r="E18" s="3">
        <v>5000</v>
      </c>
      <c r="F18" s="9" t="s">
        <v>74</v>
      </c>
      <c r="G18" s="9"/>
      <c r="L18">
        <v>14</v>
      </c>
      <c r="M18">
        <f t="shared" si="0"/>
        <v>7</v>
      </c>
      <c r="N18">
        <f t="shared" si="22"/>
        <v>37883.070795771768</v>
      </c>
      <c r="O18">
        <f t="shared" si="15"/>
        <v>10932.101010677998</v>
      </c>
      <c r="P18">
        <f t="shared" si="16"/>
        <v>-860.23350606436202</v>
      </c>
      <c r="Q18">
        <f t="shared" si="21"/>
        <v>2249.4164094510188</v>
      </c>
      <c r="R18">
        <f t="shared" si="1"/>
        <v>-3831.5822556307949</v>
      </c>
      <c r="S18">
        <f t="shared" si="17"/>
        <v>-1300.3837361722603</v>
      </c>
      <c r="T18">
        <f t="shared" si="2"/>
        <v>18841.285611323663</v>
      </c>
      <c r="U18">
        <f t="shared" si="3"/>
        <v>57890.575200480031</v>
      </c>
      <c r="V18">
        <f t="shared" si="4"/>
        <v>50114.185852941686</v>
      </c>
      <c r="W18">
        <f t="shared" si="5"/>
        <v>-3610.8996337252693</v>
      </c>
      <c r="X18">
        <f t="shared" si="6"/>
        <v>-52.428190677689194</v>
      </c>
      <c r="Y18">
        <f t="shared" si="7"/>
        <v>-168.25443122783656</v>
      </c>
      <c r="Z18">
        <f t="shared" si="8"/>
        <v>-1197.7932431908189</v>
      </c>
      <c r="AA18">
        <f t="shared" si="9"/>
        <v>-0.84426014112337999</v>
      </c>
      <c r="AB18">
        <f t="shared" si="10"/>
        <v>-101.74623284031793</v>
      </c>
      <c r="AC18">
        <v>14</v>
      </c>
      <c r="AD18">
        <f t="shared" si="18"/>
        <v>5.4977871437821388</v>
      </c>
      <c r="AE18">
        <f t="shared" si="19"/>
        <v>27071.06781186548</v>
      </c>
      <c r="AF18">
        <f t="shared" si="11"/>
        <v>-2071.0678118654705</v>
      </c>
      <c r="AG18">
        <f t="shared" si="12"/>
        <v>-17525.126265847081</v>
      </c>
      <c r="AH18">
        <f t="shared" si="13"/>
        <v>7525.126265847086</v>
      </c>
      <c r="AI18">
        <f t="shared" si="20"/>
        <v>-1464.4660940672597</v>
      </c>
      <c r="AJ18">
        <f t="shared" si="14"/>
        <v>-18535.533905932734</v>
      </c>
    </row>
    <row r="19" spans="2:36" ht="15.75" thickBot="1" x14ac:dyDescent="0.3">
      <c r="B19" s="25" t="s">
        <v>82</v>
      </c>
      <c r="C19" s="1" t="s">
        <v>8</v>
      </c>
      <c r="D19" s="9">
        <v>10000</v>
      </c>
      <c r="E19" s="9"/>
      <c r="F19" s="9" t="s">
        <v>74</v>
      </c>
      <c r="G19" s="9"/>
      <c r="L19">
        <v>15</v>
      </c>
      <c r="M19">
        <f t="shared" si="0"/>
        <v>7.5</v>
      </c>
      <c r="N19">
        <f t="shared" si="22"/>
        <v>36974.006260785733</v>
      </c>
      <c r="O19">
        <f t="shared" si="15"/>
        <v>11894.261248381976</v>
      </c>
      <c r="P19">
        <f t="shared" si="16"/>
        <v>-2776.0246338797597</v>
      </c>
      <c r="Q19">
        <f t="shared" si="21"/>
        <v>1599.2245413648886</v>
      </c>
      <c r="R19">
        <f t="shared" si="1"/>
        <v>-3784.6470742526217</v>
      </c>
      <c r="S19">
        <f t="shared" si="17"/>
        <v>-1556.2753391576575</v>
      </c>
      <c r="T19">
        <f t="shared" si="2"/>
        <v>18320.691217913551</v>
      </c>
      <c r="U19">
        <f t="shared" si="3"/>
        <v>57005.487587434713</v>
      </c>
      <c r="V19">
        <f t="shared" si="4"/>
        <v>49850.962775825101</v>
      </c>
      <c r="W19">
        <f t="shared" si="5"/>
        <v>-3563.4290934411574</v>
      </c>
      <c r="X19">
        <f t="shared" si="6"/>
        <v>-54.009475610646277</v>
      </c>
      <c r="Y19">
        <f t="shared" si="7"/>
        <v>-167.20850520081777</v>
      </c>
      <c r="Z19">
        <f t="shared" si="8"/>
        <v>-1447.3431158691619</v>
      </c>
      <c r="AA19">
        <f t="shared" si="9"/>
        <v>-1.795697080285815</v>
      </c>
      <c r="AB19">
        <f t="shared" si="10"/>
        <v>-107.13652620820973</v>
      </c>
      <c r="AC19">
        <v>15</v>
      </c>
      <c r="AD19">
        <f>AD18+$AD$2</f>
        <v>5.8904862254808634</v>
      </c>
      <c r="AE19">
        <f t="shared" si="19"/>
        <v>29238.795325112871</v>
      </c>
      <c r="AF19">
        <f t="shared" si="11"/>
        <v>1173.1656763491128</v>
      </c>
      <c r="AG19">
        <f t="shared" si="12"/>
        <v>-16766.421636210496</v>
      </c>
      <c r="AH19">
        <f t="shared" si="13"/>
        <v>8660.6079867221888</v>
      </c>
      <c r="AI19">
        <f t="shared" si="20"/>
        <v>-380.60233744356447</v>
      </c>
      <c r="AJ19">
        <f t="shared" si="14"/>
        <v>-16913.417161825444</v>
      </c>
    </row>
    <row r="20" spans="2:36" ht="15.75" thickBot="1" x14ac:dyDescent="0.3">
      <c r="B20" s="25" t="s">
        <v>44</v>
      </c>
      <c r="C20" s="1" t="s">
        <v>45</v>
      </c>
      <c r="D20" s="8">
        <v>1</v>
      </c>
      <c r="E20" s="8"/>
      <c r="F20" s="8" t="s">
        <v>75</v>
      </c>
      <c r="G20" s="8"/>
      <c r="L20">
        <v>16</v>
      </c>
      <c r="M20">
        <f t="shared" si="0"/>
        <v>8</v>
      </c>
      <c r="N20">
        <f t="shared" si="22"/>
        <v>35112.913059564278</v>
      </c>
      <c r="O20">
        <f t="shared" si="15"/>
        <v>12499.339101669713</v>
      </c>
      <c r="P20">
        <f t="shared" si="16"/>
        <v>-4668.3481710060705</v>
      </c>
      <c r="Q20">
        <f t="shared" si="21"/>
        <v>821.08687178605987</v>
      </c>
      <c r="R20">
        <f t="shared" si="1"/>
        <v>-3762.9483688669429</v>
      </c>
      <c r="S20">
        <f t="shared" si="17"/>
        <v>-1873.7915424554494</v>
      </c>
      <c r="T20">
        <f t="shared" si="2"/>
        <v>16871.284127409534</v>
      </c>
      <c r="U20">
        <f t="shared" si="3"/>
        <v>55169.555751847649</v>
      </c>
      <c r="V20">
        <f t="shared" si="4"/>
        <v>48633.933062757562</v>
      </c>
      <c r="W20">
        <f t="shared" si="5"/>
        <v>-3533.8098140505535</v>
      </c>
      <c r="X20">
        <f t="shared" si="6"/>
        <v>-57.549778348920334</v>
      </c>
      <c r="Y20">
        <f t="shared" si="7"/>
        <v>-171.58877646746893</v>
      </c>
      <c r="Z20">
        <f t="shared" si="8"/>
        <v>-1753.5492999876726</v>
      </c>
      <c r="AA20">
        <f t="shared" si="9"/>
        <v>-2.609849549495376</v>
      </c>
      <c r="AB20">
        <f t="shared" si="10"/>
        <v>-117.63239291828154</v>
      </c>
      <c r="AC20">
        <v>16</v>
      </c>
      <c r="AD20">
        <f>2*PI()</f>
        <v>6.2831853071795862</v>
      </c>
      <c r="AE20">
        <f t="shared" si="19"/>
        <v>30000</v>
      </c>
      <c r="AF20">
        <f t="shared" si="11"/>
        <v>4999.9999999999973</v>
      </c>
      <c r="AG20">
        <f t="shared" si="12"/>
        <v>-16500</v>
      </c>
      <c r="AH20">
        <f t="shared" si="13"/>
        <v>10000</v>
      </c>
      <c r="AI20">
        <f t="shared" si="20"/>
        <v>0</v>
      </c>
      <c r="AJ20">
        <f t="shared" si="14"/>
        <v>-15000.000000000002</v>
      </c>
    </row>
    <row r="21" spans="2:36" ht="15.75" thickBot="1" x14ac:dyDescent="0.3">
      <c r="B21" s="26" t="s">
        <v>83</v>
      </c>
      <c r="C21" s="27" t="s">
        <v>9</v>
      </c>
      <c r="D21" s="28">
        <f>(4/3)*PI()*D19^3</f>
        <v>4188790204786.3906</v>
      </c>
      <c r="E21" s="28"/>
      <c r="F21" s="28" t="s">
        <v>74</v>
      </c>
      <c r="G21" s="28"/>
      <c r="L21">
        <v>17</v>
      </c>
      <c r="M21">
        <f t="shared" si="0"/>
        <v>8.5</v>
      </c>
      <c r="N21">
        <f t="shared" si="22"/>
        <v>32308.370427952872</v>
      </c>
      <c r="O21">
        <f t="shared" si="15"/>
        <v>12675.658594755812</v>
      </c>
      <c r="P21">
        <f t="shared" si="16"/>
        <v>-6549.8223554395418</v>
      </c>
      <c r="Q21">
        <f t="shared" si="21"/>
        <v>-115.80889944166483</v>
      </c>
      <c r="R21">
        <f t="shared" si="1"/>
        <v>-3664.3981586330437</v>
      </c>
      <c r="S21">
        <f t="shared" si="17"/>
        <v>-2270.2399455800864</v>
      </c>
      <c r="T21">
        <f t="shared" si="2"/>
        <v>14505.575392067476</v>
      </c>
      <c r="U21">
        <f t="shared" si="3"/>
        <v>52376.757877360309</v>
      </c>
      <c r="V21">
        <f t="shared" si="4"/>
        <v>46452.734931786632</v>
      </c>
      <c r="W21">
        <f t="shared" si="5"/>
        <v>-3418.6518470783162</v>
      </c>
      <c r="X21">
        <f t="shared" si="6"/>
        <v>-63.667095924045178</v>
      </c>
      <c r="Y21">
        <f t="shared" si="7"/>
        <v>-182.07921563068271</v>
      </c>
      <c r="Z21">
        <f t="shared" si="8"/>
        <v>-2131.9153974202263</v>
      </c>
      <c r="AA21">
        <f t="shared" si="9"/>
        <v>-3.2566759587157925</v>
      </c>
      <c r="AB21">
        <f t="shared" si="10"/>
        <v>-135.06787220114458</v>
      </c>
    </row>
    <row r="22" spans="2:36" ht="15.75" thickBot="1" x14ac:dyDescent="0.3">
      <c r="B22" s="29" t="s">
        <v>10</v>
      </c>
      <c r="C22" s="30" t="s">
        <v>11</v>
      </c>
      <c r="D22" s="31">
        <f>D20*D21</f>
        <v>4188790204786.3906</v>
      </c>
      <c r="E22" s="31"/>
      <c r="F22" s="31" t="s">
        <v>73</v>
      </c>
      <c r="G22" s="31"/>
      <c r="L22">
        <v>18</v>
      </c>
      <c r="M22">
        <f t="shared" si="0"/>
        <v>9</v>
      </c>
      <c r="N22">
        <f t="shared" si="22"/>
        <v>28575.409480403971</v>
      </c>
      <c r="O22">
        <f t="shared" si="15"/>
        <v>12333.974151837469</v>
      </c>
      <c r="P22">
        <f t="shared" si="16"/>
        <v>-8382.0214347560632</v>
      </c>
      <c r="Q22">
        <f t="shared" si="21"/>
        <v>-1250.9288722317081</v>
      </c>
      <c r="R22">
        <f t="shared" si="1"/>
        <v>-3240.3060235721086</v>
      </c>
      <c r="S22">
        <f t="shared" si="17"/>
        <v>-2703.6056514855036</v>
      </c>
      <c r="T22">
        <f t="shared" si="2"/>
        <v>11283.830228092871</v>
      </c>
      <c r="U22">
        <f t="shared" si="3"/>
        <v>48631.449099634752</v>
      </c>
      <c r="V22">
        <f t="shared" si="4"/>
        <v>43294.968122290142</v>
      </c>
      <c r="W22">
        <f t="shared" si="5"/>
        <v>-2966.3756737783378</v>
      </c>
      <c r="X22">
        <f t="shared" si="6"/>
        <v>-73.552679628096882</v>
      </c>
      <c r="Y22">
        <f t="shared" si="7"/>
        <v>-200.37767016567366</v>
      </c>
      <c r="Z22">
        <f t="shared" si="8"/>
        <v>-2536.9427041173703</v>
      </c>
      <c r="AA22">
        <f t="shared" si="9"/>
        <v>-3.5340937912137349</v>
      </c>
      <c r="AB22">
        <f t="shared" si="10"/>
        <v>-163.1288535769196</v>
      </c>
    </row>
    <row r="23" spans="2:36" ht="15.75" thickBot="1" x14ac:dyDescent="0.3">
      <c r="B23" s="29" t="s">
        <v>12</v>
      </c>
      <c r="C23" s="30" t="s">
        <v>16</v>
      </c>
      <c r="D23" s="32">
        <f>D19*D6</f>
        <v>20000</v>
      </c>
      <c r="E23" s="33"/>
      <c r="F23" s="32" t="s">
        <v>74</v>
      </c>
      <c r="G23" s="33"/>
      <c r="L23">
        <v>19</v>
      </c>
      <c r="M23">
        <f t="shared" si="0"/>
        <v>9.5</v>
      </c>
      <c r="N23">
        <f t="shared" si="22"/>
        <v>23979.360510079427</v>
      </c>
      <c r="O23">
        <f t="shared" si="15"/>
        <v>11370.559009285927</v>
      </c>
      <c r="P23">
        <f t="shared" si="16"/>
        <v>-10002.174446542118</v>
      </c>
      <c r="Q23">
        <f t="shared" si="21"/>
        <v>-2602.7316979744601</v>
      </c>
      <c r="R23">
        <f t="shared" si="1"/>
        <v>-2028.2244537914501</v>
      </c>
      <c r="S23">
        <f t="shared" si="17"/>
        <v>-2948.2515590298153</v>
      </c>
      <c r="T23">
        <f t="shared" si="2"/>
        <v>7511.2803276121767</v>
      </c>
      <c r="U23">
        <f t="shared" si="3"/>
        <v>44000.711163269487</v>
      </c>
      <c r="V23">
        <f t="shared" si="4"/>
        <v>39181.752360446844</v>
      </c>
      <c r="W23">
        <f t="shared" si="5"/>
        <v>-1709.4478186159629</v>
      </c>
      <c r="X23">
        <f t="shared" si="6"/>
        <v>-89.305940313581274</v>
      </c>
      <c r="Y23">
        <f t="shared" si="7"/>
        <v>-229.47069486190591</v>
      </c>
      <c r="Z23">
        <f t="shared" si="8"/>
        <v>-2736.65534303921</v>
      </c>
      <c r="AA23">
        <f t="shared" si="9"/>
        <v>-2.7831023384589244</v>
      </c>
      <c r="AB23">
        <f t="shared" si="10"/>
        <v>-208.81311365214628</v>
      </c>
    </row>
    <row r="24" spans="2:36" ht="15.75" thickBot="1" x14ac:dyDescent="0.3">
      <c r="B24" s="25" t="s">
        <v>15</v>
      </c>
      <c r="C24" s="1" t="s">
        <v>17</v>
      </c>
      <c r="D24" s="10" t="s">
        <v>69</v>
      </c>
      <c r="E24" s="11"/>
      <c r="F24" s="10" t="s">
        <v>72</v>
      </c>
      <c r="G24" s="11"/>
      <c r="L24">
        <v>20</v>
      </c>
      <c r="M24">
        <f t="shared" si="0"/>
        <v>10</v>
      </c>
      <c r="N24">
        <f t="shared" si="22"/>
        <v>18724.745230084438</v>
      </c>
      <c r="O24">
        <f t="shared" si="15"/>
        <v>9700.6617154199703</v>
      </c>
      <c r="P24">
        <f t="shared" si="16"/>
        <v>-11016.286673437842</v>
      </c>
      <c r="Q24">
        <f t="shared" si="21"/>
        <v>-4076.8574774893677</v>
      </c>
      <c r="R24">
        <f t="shared" si="1"/>
        <v>224.8227883056843</v>
      </c>
      <c r="S24">
        <f t="shared" si="17"/>
        <v>-2541.3604693804114</v>
      </c>
      <c r="T24">
        <f t="shared" si="2"/>
        <v>4870.574431317872</v>
      </c>
      <c r="U24">
        <f t="shared" si="3"/>
        <v>38725.902139828358</v>
      </c>
      <c r="V24">
        <f t="shared" si="4"/>
        <v>34248.886484264389</v>
      </c>
      <c r="W24">
        <f t="shared" si="5"/>
        <v>612.43962821165314</v>
      </c>
      <c r="X24">
        <f t="shared" si="6"/>
        <v>-114.11224730643852</v>
      </c>
      <c r="Y24">
        <f t="shared" si="7"/>
        <v>-273.50459259953033</v>
      </c>
      <c r="Z24">
        <f t="shared" si="8"/>
        <v>-2257.4873517478986</v>
      </c>
      <c r="AA24">
        <f t="shared" si="9"/>
        <v>0.88207589631202188</v>
      </c>
      <c r="AB24">
        <f t="shared" si="10"/>
        <v>-284.75519352882475</v>
      </c>
    </row>
    <row r="25" spans="2:36" ht="16.5" thickBot="1" x14ac:dyDescent="0.3">
      <c r="B25" s="15" t="s">
        <v>18</v>
      </c>
      <c r="C25" s="16"/>
      <c r="D25" s="16"/>
      <c r="E25" s="16"/>
      <c r="F25" s="16"/>
      <c r="G25" s="17"/>
      <c r="L25">
        <v>21</v>
      </c>
      <c r="M25">
        <f t="shared" si="0"/>
        <v>10.5</v>
      </c>
      <c r="N25">
        <f t="shared" si="22"/>
        <v>13244.704741903728</v>
      </c>
      <c r="O25">
        <f t="shared" si="15"/>
        <v>7344.5629180027354</v>
      </c>
      <c r="P25">
        <f t="shared" si="16"/>
        <v>-10903.875279284999</v>
      </c>
      <c r="Q25">
        <f t="shared" si="21"/>
        <v>-5347.5377121795736</v>
      </c>
      <c r="R25">
        <f t="shared" si="1"/>
        <v>2466.5632635692773</v>
      </c>
      <c r="S25">
        <f t="shared" si="17"/>
        <v>-1423.9795867715209</v>
      </c>
      <c r="T25">
        <f t="shared" si="2"/>
        <v>7150.5936327364789</v>
      </c>
      <c r="U25">
        <f t="shared" si="3"/>
        <v>33350.588292754328</v>
      </c>
      <c r="V25">
        <f t="shared" si="4"/>
        <v>28846.98845834392</v>
      </c>
      <c r="W25">
        <f t="shared" si="5"/>
        <v>2953.1054407561192</v>
      </c>
      <c r="X25">
        <f t="shared" si="6"/>
        <v>-150.87595998458568</v>
      </c>
      <c r="Y25">
        <f t="shared" si="7"/>
        <v>-335.66621720225629</v>
      </c>
      <c r="Z25">
        <f t="shared" si="8"/>
        <v>-1024.9354387657245</v>
      </c>
      <c r="AA25">
        <f t="shared" si="9"/>
        <v>12.051291236766806</v>
      </c>
      <c r="AB25">
        <f t="shared" si="10"/>
        <v>-411.0954392425632</v>
      </c>
    </row>
    <row r="26" spans="2:36" ht="15.75" thickBot="1" x14ac:dyDescent="0.3">
      <c r="B26" s="25" t="s">
        <v>81</v>
      </c>
      <c r="C26" s="1" t="s">
        <v>20</v>
      </c>
      <c r="D26" s="2">
        <v>-20000</v>
      </c>
      <c r="E26" s="3">
        <v>10000</v>
      </c>
      <c r="F26" s="10" t="s">
        <v>74</v>
      </c>
      <c r="G26" s="11"/>
      <c r="L26">
        <v>22</v>
      </c>
      <c r="M26">
        <f t="shared" si="0"/>
        <v>11</v>
      </c>
      <c r="N26">
        <f t="shared" si="22"/>
        <v>8101.0875102073878</v>
      </c>
      <c r="O26">
        <f t="shared" si="15"/>
        <v>4492.7966135665083</v>
      </c>
      <c r="P26">
        <f t="shared" si="16"/>
        <v>-9670.59364750036</v>
      </c>
      <c r="Q26">
        <f t="shared" si="21"/>
        <v>-6059.5275055653337</v>
      </c>
      <c r="R26">
        <f t="shared" si="1"/>
        <v>3342.3167659249198</v>
      </c>
      <c r="S26">
        <f t="shared" si="17"/>
        <v>-406.55540739232327</v>
      </c>
      <c r="T26">
        <f t="shared" si="2"/>
        <v>11909.717616927457</v>
      </c>
      <c r="U26">
        <f t="shared" si="3"/>
        <v>28635.649257453166</v>
      </c>
      <c r="V26">
        <f t="shared" si="4"/>
        <v>23486.328230866187</v>
      </c>
      <c r="W26">
        <f t="shared" si="5"/>
        <v>3951.7333701424532</v>
      </c>
      <c r="X26">
        <f t="shared" si="6"/>
        <v>-197.00892395029501</v>
      </c>
      <c r="Y26">
        <f t="shared" si="7"/>
        <v>-412.4076802672385</v>
      </c>
      <c r="Z26">
        <f t="shared" si="8"/>
        <v>168.44670043063914</v>
      </c>
      <c r="AA26">
        <f t="shared" si="9"/>
        <v>38.609474197131377</v>
      </c>
      <c r="AB26">
        <f t="shared" si="10"/>
        <v>-613.61158202009381</v>
      </c>
    </row>
    <row r="27" spans="2:36" ht="15.75" thickBot="1" x14ac:dyDescent="0.3">
      <c r="B27" s="25" t="s">
        <v>82</v>
      </c>
      <c r="C27" s="1" t="s">
        <v>21</v>
      </c>
      <c r="D27" s="10">
        <v>3500</v>
      </c>
      <c r="E27" s="11"/>
      <c r="F27" s="10" t="s">
        <v>74</v>
      </c>
      <c r="G27" s="11"/>
      <c r="L27">
        <v>23</v>
      </c>
      <c r="M27">
        <f t="shared" si="0"/>
        <v>11.5</v>
      </c>
      <c r="N27">
        <f t="shared" si="22"/>
        <v>3683.5802821978227</v>
      </c>
      <c r="O27">
        <f t="shared" si="15"/>
        <v>1412.2134348598011</v>
      </c>
      <c r="P27">
        <f t="shared" si="16"/>
        <v>-7999.4352645379004</v>
      </c>
      <c r="Q27">
        <f t="shared" si="21"/>
        <v>-6262.8052092614953</v>
      </c>
      <c r="R27">
        <f t="shared" si="1"/>
        <v>3139.3474859715566</v>
      </c>
      <c r="S27">
        <f t="shared" si="17"/>
        <v>19.337609819807199</v>
      </c>
      <c r="T27">
        <f t="shared" si="2"/>
        <v>16706.219346234029</v>
      </c>
      <c r="U27">
        <f t="shared" si="3"/>
        <v>25192.499936919954</v>
      </c>
      <c r="V27">
        <f t="shared" si="4"/>
        <v>18567.85707476141</v>
      </c>
      <c r="W27">
        <f t="shared" si="5"/>
        <v>3862.0245143619181</v>
      </c>
      <c r="X27">
        <f t="shared" si="6"/>
        <v>-237.94571373400998</v>
      </c>
      <c r="Y27">
        <f t="shared" si="7"/>
        <v>-484.73131465635151</v>
      </c>
      <c r="Z27">
        <f t="shared" si="8"/>
        <v>849.21324080379884</v>
      </c>
      <c r="AA27">
        <f t="shared" si="9"/>
        <v>86.28032498843109</v>
      </c>
      <c r="AB27">
        <f t="shared" si="10"/>
        <v>-916.1559559724227</v>
      </c>
    </row>
    <row r="28" spans="2:36" ht="15.75" thickBot="1" x14ac:dyDescent="0.3">
      <c r="B28" s="25" t="s">
        <v>44</v>
      </c>
      <c r="C28" s="1" t="s">
        <v>45</v>
      </c>
      <c r="D28" s="8">
        <v>1</v>
      </c>
      <c r="E28" s="8"/>
      <c r="F28" s="8" t="s">
        <v>75</v>
      </c>
      <c r="G28" s="8"/>
      <c r="L28">
        <v>24</v>
      </c>
      <c r="M28">
        <f t="shared" si="0"/>
        <v>12</v>
      </c>
      <c r="N28">
        <f t="shared" si="22"/>
        <v>76.281085675317115</v>
      </c>
      <c r="O28">
        <f t="shared" si="15"/>
        <v>-1716.7719685434706</v>
      </c>
      <c r="P28">
        <f t="shared" si="16"/>
        <v>-6429.7615215521218</v>
      </c>
      <c r="Q28">
        <f t="shared" si="21"/>
        <v>-6253.1364043515914</v>
      </c>
      <c r="R28">
        <f t="shared" si="1"/>
        <v>2657.4366358340162</v>
      </c>
      <c r="S28">
        <f t="shared" si="17"/>
        <v>-25.350307435845707</v>
      </c>
      <c r="T28">
        <f t="shared" si="2"/>
        <v>21025.451268746419</v>
      </c>
      <c r="U28">
        <f t="shared" si="3"/>
        <v>23245.210422663215</v>
      </c>
      <c r="V28">
        <f t="shared" si="4"/>
        <v>14220.153887931645</v>
      </c>
      <c r="W28">
        <f t="shared" si="5"/>
        <v>3415.3642731005916</v>
      </c>
      <c r="X28">
        <f t="shared" si="6"/>
        <v>-252.01555334647057</v>
      </c>
      <c r="Y28">
        <f t="shared" si="7"/>
        <v>-505.91208392010492</v>
      </c>
      <c r="Z28">
        <f t="shared" si="8"/>
        <v>1151.4026628549464</v>
      </c>
      <c r="AA28">
        <f t="shared" si="9"/>
        <v>147.07946947374455</v>
      </c>
      <c r="AB28">
        <f t="shared" si="10"/>
        <v>-1323.8324397645367</v>
      </c>
    </row>
    <row r="29" spans="2:36" ht="15.75" thickBot="1" x14ac:dyDescent="0.3">
      <c r="B29" s="29" t="s">
        <v>83</v>
      </c>
      <c r="C29" s="30" t="s">
        <v>22</v>
      </c>
      <c r="D29" s="32">
        <f>(4/3)*PI()*D27^3</f>
        <v>179594380030.21649</v>
      </c>
      <c r="E29" s="33"/>
      <c r="F29" s="32" t="s">
        <v>74</v>
      </c>
      <c r="G29" s="33"/>
      <c r="L29">
        <v>25</v>
      </c>
      <c r="M29">
        <f t="shared" si="0"/>
        <v>12.5</v>
      </c>
      <c r="N29">
        <f t="shared" si="22"/>
        <v>-2806.4200956214918</v>
      </c>
      <c r="O29">
        <f t="shared" si="15"/>
        <v>-4846.5089591487467</v>
      </c>
      <c r="P29">
        <f t="shared" si="16"/>
        <v>-5101.043203635114</v>
      </c>
      <c r="Q29">
        <f t="shared" si="21"/>
        <v>-6265.8115580695139</v>
      </c>
      <c r="R29">
        <f t="shared" si="1"/>
        <v>2332.1209163284857</v>
      </c>
      <c r="S29">
        <f t="shared" si="17"/>
        <v>-303.36819864699373</v>
      </c>
      <c r="T29">
        <f t="shared" si="2"/>
        <v>24841.226545011104</v>
      </c>
      <c r="U29">
        <f t="shared" si="3"/>
        <v>22716.470196805058</v>
      </c>
      <c r="V29">
        <f t="shared" si="4"/>
        <v>10387.741482802692</v>
      </c>
      <c r="W29">
        <f t="shared" si="5"/>
        <v>2945.1598483324628</v>
      </c>
      <c r="X29">
        <f t="shared" si="6"/>
        <v>-229.90189373145458</v>
      </c>
      <c r="Y29">
        <f t="shared" si="7"/>
        <v>-383.13703827252289</v>
      </c>
      <c r="Z29">
        <f t="shared" si="8"/>
        <v>1271.551725836106</v>
      </c>
      <c r="AA29">
        <f t="shared" si="9"/>
        <v>198.51831578949358</v>
      </c>
      <c r="AB29">
        <f t="shared" si="10"/>
        <v>-1773.4382402725932</v>
      </c>
    </row>
    <row r="30" spans="2:36" ht="15.75" thickBot="1" x14ac:dyDescent="0.3">
      <c r="B30" s="29" t="s">
        <v>10</v>
      </c>
      <c r="C30" s="30" t="s">
        <v>23</v>
      </c>
      <c r="D30" s="32">
        <f>D29*D28</f>
        <v>179594380030.21649</v>
      </c>
      <c r="E30" s="33"/>
      <c r="F30" s="32" t="s">
        <v>73</v>
      </c>
      <c r="G30" s="33"/>
      <c r="L30">
        <v>26</v>
      </c>
      <c r="M30">
        <f t="shared" si="0"/>
        <v>13</v>
      </c>
      <c r="N30">
        <f t="shared" si="22"/>
        <v>-5065.4265828979878</v>
      </c>
      <c r="O30">
        <f t="shared" si="15"/>
        <v>-8017.3357630143782</v>
      </c>
      <c r="P30">
        <f t="shared" si="16"/>
        <v>-3934.9827454708711</v>
      </c>
      <c r="Q30">
        <f t="shared" si="21"/>
        <v>-6417.4956573930103</v>
      </c>
      <c r="R30">
        <f t="shared" si="1"/>
        <v>2367.8036035293621</v>
      </c>
      <c r="S30">
        <f t="shared" si="17"/>
        <v>-477.56703749191229</v>
      </c>
      <c r="T30">
        <f t="shared" si="2"/>
        <v>28244.054952320537</v>
      </c>
      <c r="U30">
        <f t="shared" si="3"/>
        <v>23402.262094678092</v>
      </c>
      <c r="V30">
        <f t="shared" si="4"/>
        <v>6982.9707492032148</v>
      </c>
      <c r="W30">
        <f t="shared" si="5"/>
        <v>2532.9530821987846</v>
      </c>
      <c r="X30">
        <f t="shared" si="6"/>
        <v>-184.03006040965084</v>
      </c>
      <c r="Y30">
        <f t="shared" si="7"/>
        <v>18.880581740228678</v>
      </c>
      <c r="Z30">
        <f t="shared" si="8"/>
        <v>1315.4494153089965</v>
      </c>
      <c r="AA30">
        <f t="shared" si="9"/>
        <v>222.01714747952283</v>
      </c>
      <c r="AB30">
        <f t="shared" si="10"/>
        <v>-2015.0336002804318</v>
      </c>
    </row>
    <row r="31" spans="2:36" ht="15.75" thickBot="1" x14ac:dyDescent="0.3">
      <c r="B31" s="29" t="s">
        <v>12</v>
      </c>
      <c r="C31" s="30" t="s">
        <v>24</v>
      </c>
      <c r="D31" s="32">
        <f>D6*D27</f>
        <v>7000</v>
      </c>
      <c r="E31" s="33"/>
      <c r="F31" s="32" t="s">
        <v>74</v>
      </c>
      <c r="G31" s="33"/>
      <c r="L31">
        <v>27</v>
      </c>
      <c r="M31">
        <f t="shared" si="0"/>
        <v>13.5</v>
      </c>
      <c r="N31">
        <f t="shared" si="22"/>
        <v>-6736.9425051922535</v>
      </c>
      <c r="O31">
        <f t="shared" si="15"/>
        <v>-11285.779471397373</v>
      </c>
      <c r="P31">
        <f t="shared" si="16"/>
        <v>-2751.0809437061898</v>
      </c>
      <c r="Q31">
        <f t="shared" si="21"/>
        <v>-6656.2791761389662</v>
      </c>
      <c r="R31">
        <f t="shared" si="1"/>
        <v>2769.8687193292981</v>
      </c>
      <c r="S31">
        <f t="shared" si="17"/>
        <v>6.7092164214825516</v>
      </c>
      <c r="T31">
        <f t="shared" si="2"/>
        <v>31306.400424145606</v>
      </c>
      <c r="U31">
        <f t="shared" si="3"/>
        <v>25079.734883278525</v>
      </c>
      <c r="V31">
        <f t="shared" si="4"/>
        <v>4100.2930872605584</v>
      </c>
      <c r="W31">
        <f t="shared" si="5"/>
        <v>2184.4338811676494</v>
      </c>
      <c r="X31">
        <f t="shared" si="6"/>
        <v>-134.92688118903422</v>
      </c>
      <c r="Y31">
        <f t="shared" si="7"/>
        <v>720.36171935068273</v>
      </c>
      <c r="Z31">
        <f t="shared" si="8"/>
        <v>1330.563823879128</v>
      </c>
      <c r="AA31">
        <f t="shared" si="9"/>
        <v>216.54311902648115</v>
      </c>
      <c r="AB31">
        <f t="shared" si="10"/>
        <v>-1540.3977264841267</v>
      </c>
    </row>
    <row r="32" spans="2:36" ht="15.75" thickBot="1" x14ac:dyDescent="0.3">
      <c r="B32" s="25" t="s">
        <v>15</v>
      </c>
      <c r="C32" s="1" t="s">
        <v>25</v>
      </c>
      <c r="D32" s="10" t="s">
        <v>69</v>
      </c>
      <c r="E32" s="11"/>
      <c r="F32" s="10" t="s">
        <v>72</v>
      </c>
      <c r="G32" s="11"/>
      <c r="L32">
        <v>28</v>
      </c>
      <c r="M32">
        <f t="shared" si="0"/>
        <v>14</v>
      </c>
      <c r="N32">
        <f t="shared" si="22"/>
        <v>-7766.2493871291863</v>
      </c>
      <c r="O32">
        <f t="shared" si="15"/>
        <v>-14613.080407414171</v>
      </c>
      <c r="P32">
        <f t="shared" si="16"/>
        <v>-1366.1465840415408</v>
      </c>
      <c r="Q32">
        <f t="shared" si="21"/>
        <v>-6652.9245679282249</v>
      </c>
      <c r="R32">
        <f t="shared" si="1"/>
        <v>3093.3419365798509</v>
      </c>
      <c r="S32">
        <f t="shared" si="17"/>
        <v>1351.701590191625</v>
      </c>
      <c r="T32">
        <f t="shared" si="2"/>
        <v>33994.669112905714</v>
      </c>
      <c r="U32">
        <f t="shared" si="3"/>
        <v>27485.785075193911</v>
      </c>
      <c r="V32">
        <f t="shared" si="4"/>
        <v>2793.1778394723424</v>
      </c>
      <c r="W32">
        <f t="shared" si="5"/>
        <v>1895.5847759865062</v>
      </c>
      <c r="X32">
        <f t="shared" si="6"/>
        <v>-96.29170940513032</v>
      </c>
      <c r="Y32">
        <f t="shared" si="7"/>
        <v>1294.0488699984749</v>
      </c>
      <c r="Z32">
        <f t="shared" si="8"/>
        <v>1338.972942010929</v>
      </c>
      <c r="AA32">
        <f t="shared" si="9"/>
        <v>193.72927086337518</v>
      </c>
      <c r="AB32">
        <f t="shared" si="10"/>
        <v>-181.00062268267934</v>
      </c>
    </row>
    <row r="33" spans="2:28" ht="16.5" thickBot="1" x14ac:dyDescent="0.3">
      <c r="B33" s="18" t="s">
        <v>19</v>
      </c>
      <c r="C33" s="19"/>
      <c r="D33" s="19"/>
      <c r="E33" s="19"/>
      <c r="F33" s="19"/>
      <c r="G33" s="20"/>
      <c r="L33">
        <v>29</v>
      </c>
      <c r="M33">
        <f t="shared" si="0"/>
        <v>14.5</v>
      </c>
      <c r="N33">
        <f t="shared" si="22"/>
        <v>-8062.6549370774756</v>
      </c>
      <c r="O33">
        <f t="shared" si="15"/>
        <v>-17770.579992604329</v>
      </c>
      <c r="P33">
        <f t="shared" si="16"/>
        <v>180.52438424838465</v>
      </c>
      <c r="Q33">
        <f t="shared" si="21"/>
        <v>-5977.073772832412</v>
      </c>
      <c r="R33">
        <f t="shared" si="1"/>
        <v>2862.6241223139205</v>
      </c>
      <c r="S33">
        <f t="shared" si="17"/>
        <v>2666.0248755213811</v>
      </c>
      <c r="T33">
        <f t="shared" si="2"/>
        <v>36138.786854528909</v>
      </c>
      <c r="U33">
        <f t="shared" si="3"/>
        <v>30227.558953327949</v>
      </c>
      <c r="V33">
        <f t="shared" si="4"/>
        <v>4129.8872574229481</v>
      </c>
      <c r="W33">
        <f t="shared" si="5"/>
        <v>1668.1852440160933</v>
      </c>
      <c r="X33">
        <f t="shared" si="6"/>
        <v>-71.772889752112349</v>
      </c>
      <c r="Y33">
        <f t="shared" si="7"/>
        <v>1266.2117680499396</v>
      </c>
      <c r="Z33">
        <f t="shared" si="8"/>
        <v>1353.5977129221169</v>
      </c>
      <c r="AA33">
        <f t="shared" si="9"/>
        <v>166.96968761942068</v>
      </c>
      <c r="AB33">
        <f t="shared" si="10"/>
        <v>1145.4574749798435</v>
      </c>
    </row>
    <row r="34" spans="2:28" ht="15.75" thickBot="1" x14ac:dyDescent="0.3">
      <c r="B34" s="25" t="s">
        <v>81</v>
      </c>
      <c r="C34" s="1" t="s">
        <v>26</v>
      </c>
      <c r="D34" s="2">
        <v>-5000</v>
      </c>
      <c r="E34" s="3">
        <v>-15000</v>
      </c>
      <c r="F34" s="10" t="s">
        <v>74</v>
      </c>
      <c r="G34" s="11"/>
      <c r="L34">
        <v>30</v>
      </c>
      <c r="M34">
        <f t="shared" si="0"/>
        <v>15</v>
      </c>
      <c r="N34">
        <f t="shared" si="22"/>
        <v>-7614.5647296640427</v>
      </c>
      <c r="O34">
        <f t="shared" si="15"/>
        <v>-20425.863769580363</v>
      </c>
      <c r="P34">
        <f t="shared" si="16"/>
        <v>1611.8364454053449</v>
      </c>
      <c r="Q34">
        <f t="shared" si="21"/>
        <v>-4644.0613350717213</v>
      </c>
      <c r="R34">
        <f t="shared" si="1"/>
        <v>2305.1652105324483</v>
      </c>
      <c r="S34">
        <f t="shared" si="17"/>
        <v>3314.2141339542818</v>
      </c>
      <c r="T34">
        <f t="shared" si="2"/>
        <v>37537.164698976194</v>
      </c>
      <c r="U34">
        <f t="shared" si="3"/>
        <v>32850.147533317788</v>
      </c>
      <c r="V34">
        <f t="shared" si="4"/>
        <v>6022.9516328497966</v>
      </c>
      <c r="W34">
        <f t="shared" si="5"/>
        <v>1503.3323837894766</v>
      </c>
      <c r="X34">
        <f t="shared" si="6"/>
        <v>-58.703504313844235</v>
      </c>
      <c r="Y34">
        <f t="shared" si="7"/>
        <v>860.53633105681604</v>
      </c>
      <c r="Z34">
        <f t="shared" si="8"/>
        <v>1384.1798617803079</v>
      </c>
      <c r="AA34">
        <f t="shared" si="9"/>
        <v>144.21009726867265</v>
      </c>
      <c r="AB34">
        <f t="shared" si="10"/>
        <v>1785.8241749053013</v>
      </c>
    </row>
    <row r="35" spans="2:28" ht="15.75" thickBot="1" x14ac:dyDescent="0.3">
      <c r="B35" s="25" t="s">
        <v>82</v>
      </c>
      <c r="C35" s="1" t="s">
        <v>27</v>
      </c>
      <c r="D35" s="10">
        <v>5000</v>
      </c>
      <c r="E35" s="11"/>
      <c r="F35" s="10" t="s">
        <v>74</v>
      </c>
      <c r="G35" s="11"/>
      <c r="L35">
        <v>31</v>
      </c>
      <c r="M35">
        <f t="shared" si="0"/>
        <v>15.5</v>
      </c>
      <c r="N35">
        <f t="shared" si="22"/>
        <v>-6520.5008556448147</v>
      </c>
      <c r="O35">
        <f t="shared" si="15"/>
        <v>-22333.617670371936</v>
      </c>
      <c r="P35">
        <f t="shared" si="16"/>
        <v>2764.419050671569</v>
      </c>
      <c r="Q35">
        <f t="shared" si="21"/>
        <v>-2986.9542680945806</v>
      </c>
      <c r="R35">
        <f t="shared" si="1"/>
        <v>1750.6929222963461</v>
      </c>
      <c r="S35">
        <f t="shared" si="17"/>
        <v>3534.6931303225274</v>
      </c>
      <c r="T35">
        <f t="shared" si="2"/>
        <v>38084.95267929745</v>
      </c>
      <c r="U35">
        <f t="shared" si="3"/>
        <v>35030.839682149504</v>
      </c>
      <c r="V35">
        <f t="shared" si="4"/>
        <v>7489.5841665080525</v>
      </c>
      <c r="W35">
        <f t="shared" si="5"/>
        <v>1395.5631837980336</v>
      </c>
      <c r="X35">
        <f t="shared" si="6"/>
        <v>-53.101763519475739</v>
      </c>
      <c r="Y35">
        <f t="shared" si="7"/>
        <v>408.23150201778822</v>
      </c>
      <c r="Z35">
        <f t="shared" si="8"/>
        <v>1438.3510593716114</v>
      </c>
      <c r="AA35">
        <f t="shared" si="9"/>
        <v>127.3765516710797</v>
      </c>
      <c r="AB35">
        <f t="shared" si="10"/>
        <v>1968.9655192798364</v>
      </c>
    </row>
    <row r="36" spans="2:28" ht="15.75" thickBot="1" x14ac:dyDescent="0.3">
      <c r="B36" s="25" t="s">
        <v>44</v>
      </c>
      <c r="C36" s="1" t="s">
        <v>45</v>
      </c>
      <c r="D36" s="8">
        <v>1</v>
      </c>
      <c r="E36" s="8"/>
      <c r="F36" s="8" t="s">
        <v>75</v>
      </c>
      <c r="G36" s="8"/>
      <c r="L36">
        <v>32</v>
      </c>
      <c r="M36">
        <f t="shared" si="0"/>
        <v>16</v>
      </c>
      <c r="N36">
        <f t="shared" si="22"/>
        <v>-4919.4547150219869</v>
      </c>
      <c r="O36">
        <f t="shared" si="15"/>
        <v>-23385.25816312891</v>
      </c>
      <c r="P36">
        <f t="shared" si="16"/>
        <v>3639.7655118197422</v>
      </c>
      <c r="Q36">
        <f t="shared" si="21"/>
        <v>-1219.6077029333169</v>
      </c>
      <c r="R36">
        <f t="shared" si="1"/>
        <v>1265.8026879226625</v>
      </c>
      <c r="S36">
        <f t="shared" si="17"/>
        <v>3613.7447736178319</v>
      </c>
      <c r="T36">
        <f t="shared" si="2"/>
        <v>37771.710370083958</v>
      </c>
      <c r="U36">
        <f t="shared" si="3"/>
        <v>36633.295083994803</v>
      </c>
      <c r="V36">
        <f t="shared" si="4"/>
        <v>8385.6449963763789</v>
      </c>
      <c r="W36">
        <f t="shared" si="5"/>
        <v>1336.981970093474</v>
      </c>
      <c r="X36">
        <f t="shared" si="6"/>
        <v>-52.205935750150338</v>
      </c>
      <c r="Y36">
        <f t="shared" si="7"/>
        <v>-18.973346420661404</v>
      </c>
      <c r="Z36">
        <f t="shared" si="8"/>
        <v>1522.92972757845</v>
      </c>
      <c r="AA36">
        <f t="shared" si="9"/>
        <v>115.57331712684358</v>
      </c>
      <c r="AB36">
        <f t="shared" si="10"/>
        <v>1975.2417289125385</v>
      </c>
    </row>
    <row r="37" spans="2:28" ht="15.75" thickBot="1" x14ac:dyDescent="0.3">
      <c r="B37" s="29" t="s">
        <v>83</v>
      </c>
      <c r="C37" s="30" t="s">
        <v>28</v>
      </c>
      <c r="D37" s="32">
        <f>(4/3)*PI()*D35^3</f>
        <v>523598775598.29883</v>
      </c>
      <c r="E37" s="33"/>
      <c r="F37" s="32" t="s">
        <v>74</v>
      </c>
      <c r="G37" s="33"/>
      <c r="L37">
        <v>33</v>
      </c>
      <c r="M37">
        <f t="shared" si="0"/>
        <v>16.5</v>
      </c>
      <c r="N37">
        <f t="shared" si="22"/>
        <v>-2941.3466231217831</v>
      </c>
      <c r="O37">
        <f t="shared" si="15"/>
        <v>-23543.34391789334</v>
      </c>
      <c r="P37">
        <f t="shared" si="16"/>
        <v>4272.6668557810735</v>
      </c>
      <c r="Q37">
        <f t="shared" si="21"/>
        <v>587.26468387559908</v>
      </c>
      <c r="R37">
        <f t="shared" si="1"/>
        <v>811.32183196915571</v>
      </c>
      <c r="S37">
        <f t="shared" si="17"/>
        <v>3649.2214751982674</v>
      </c>
      <c r="T37">
        <f t="shared" si="2"/>
        <v>36620.047336088464</v>
      </c>
      <c r="U37">
        <f t="shared" si="3"/>
        <v>37631.816010213362</v>
      </c>
      <c r="V37">
        <f t="shared" si="4"/>
        <v>8787.8768212542218</v>
      </c>
      <c r="W37">
        <f t="shared" si="5"/>
        <v>1322.8144559734906</v>
      </c>
      <c r="X37">
        <f t="shared" si="6"/>
        <v>-54.627680763121106</v>
      </c>
      <c r="Y37">
        <f t="shared" si="7"/>
        <v>-456.86494324121372</v>
      </c>
      <c r="Z37">
        <f t="shared" si="8"/>
        <v>1645.8296270349626</v>
      </c>
      <c r="AA37">
        <f t="shared" si="9"/>
        <v>107.41733493207251</v>
      </c>
      <c r="AB37">
        <f t="shared" si="10"/>
        <v>1895.9745132312321</v>
      </c>
    </row>
    <row r="38" spans="2:28" ht="15.75" thickBot="1" x14ac:dyDescent="0.3">
      <c r="B38" s="29" t="s">
        <v>10</v>
      </c>
      <c r="C38" s="30" t="s">
        <v>29</v>
      </c>
      <c r="D38" s="32">
        <f>D37*D36</f>
        <v>523598775598.29883</v>
      </c>
      <c r="E38" s="33"/>
      <c r="F38" s="32" t="s">
        <v>73</v>
      </c>
      <c r="G38" s="33"/>
      <c r="L38">
        <v>34</v>
      </c>
      <c r="M38">
        <f t="shared" si="0"/>
        <v>17</v>
      </c>
      <c r="N38">
        <f t="shared" si="22"/>
        <v>-703.59796623510181</v>
      </c>
      <c r="O38">
        <f t="shared" si="15"/>
        <v>-22793.55889155576</v>
      </c>
      <c r="P38">
        <f t="shared" si="16"/>
        <v>4678.3277717656511</v>
      </c>
      <c r="Q38">
        <f t="shared" si="21"/>
        <v>2411.8754214747328</v>
      </c>
      <c r="R38">
        <f t="shared" si="1"/>
        <v>355.99720803277455</v>
      </c>
      <c r="S38">
        <f t="shared" si="17"/>
        <v>3619.9909989238031</v>
      </c>
      <c r="T38">
        <f t="shared" si="2"/>
        <v>34657.190950881646</v>
      </c>
      <c r="U38">
        <f t="shared" si="3"/>
        <v>38049.555006893599</v>
      </c>
      <c r="V38">
        <f t="shared" si="4"/>
        <v>8899.3612485327831</v>
      </c>
      <c r="W38">
        <f t="shared" si="5"/>
        <v>1353.6246406495366</v>
      </c>
      <c r="X38">
        <f t="shared" si="6"/>
        <v>-59.846267564892273</v>
      </c>
      <c r="Y38">
        <f t="shared" si="7"/>
        <v>-937.78116505186972</v>
      </c>
      <c r="Z38">
        <f t="shared" si="8"/>
        <v>1817.1743012161753</v>
      </c>
      <c r="AA38">
        <f t="shared" si="9"/>
        <v>101.70663403441658</v>
      </c>
      <c r="AB38">
        <f t="shared" si="10"/>
        <v>1701.1100636732112</v>
      </c>
    </row>
    <row r="39" spans="2:28" ht="15.75" thickBot="1" x14ac:dyDescent="0.3">
      <c r="B39" s="29" t="s">
        <v>12</v>
      </c>
      <c r="C39" s="30" t="s">
        <v>30</v>
      </c>
      <c r="D39" s="32">
        <f>D6*D35</f>
        <v>10000</v>
      </c>
      <c r="E39" s="33"/>
      <c r="F39" s="32" t="s">
        <v>74</v>
      </c>
      <c r="G39" s="33"/>
      <c r="L39">
        <v>35</v>
      </c>
      <c r="M39">
        <f t="shared" si="0"/>
        <v>17.5</v>
      </c>
      <c r="N39">
        <f t="shared" si="22"/>
        <v>1680.0655706518205</v>
      </c>
      <c r="O39">
        <f t="shared" si="15"/>
        <v>-21135.122305952918</v>
      </c>
      <c r="P39">
        <f t="shared" si="16"/>
        <v>4856.3263757820387</v>
      </c>
      <c r="Q39">
        <f t="shared" si="21"/>
        <v>4221.8709209366343</v>
      </c>
      <c r="R39">
        <f t="shared" si="1"/>
        <v>-53.128155325862963</v>
      </c>
      <c r="S39">
        <f t="shared" si="17"/>
        <v>3451.6397418336455</v>
      </c>
      <c r="T39">
        <f t="shared" si="2"/>
        <v>31916.525742046779</v>
      </c>
      <c r="U39">
        <f t="shared" si="3"/>
        <v>37939.703269192942</v>
      </c>
      <c r="V39">
        <f t="shared" si="4"/>
        <v>9069.8953542589952</v>
      </c>
      <c r="W39">
        <f t="shared" si="5"/>
        <v>1436.1272381182075</v>
      </c>
      <c r="X39">
        <f t="shared" si="6"/>
        <v>-67.805451734605583</v>
      </c>
      <c r="Y39">
        <f t="shared" si="7"/>
        <v>-1421.4499417094648</v>
      </c>
      <c r="Z39">
        <f t="shared" si="8"/>
        <v>2048.7715804813147</v>
      </c>
      <c r="AA39">
        <f t="shared" si="9"/>
        <v>97.376598142081193</v>
      </c>
      <c r="AB39">
        <f t="shared" si="10"/>
        <v>1305.4915632102495</v>
      </c>
    </row>
    <row r="40" spans="2:28" ht="15.75" thickBot="1" x14ac:dyDescent="0.3">
      <c r="B40" s="25" t="s">
        <v>15</v>
      </c>
      <c r="C40" s="1" t="s">
        <v>31</v>
      </c>
      <c r="D40" s="10" t="s">
        <v>69</v>
      </c>
      <c r="E40" s="11"/>
      <c r="F40" s="10" t="s">
        <v>72</v>
      </c>
      <c r="G40" s="11"/>
      <c r="L40">
        <v>36</v>
      </c>
      <c r="M40">
        <f t="shared" si="0"/>
        <v>18</v>
      </c>
      <c r="N40">
        <f t="shared" si="22"/>
        <v>4101.5877391271079</v>
      </c>
      <c r="O40">
        <f t="shared" si="15"/>
        <v>-18592.731877755396</v>
      </c>
      <c r="P40">
        <f t="shared" si="16"/>
        <v>4829.7622981191071</v>
      </c>
      <c r="Q40">
        <f t="shared" si="21"/>
        <v>5947.6907918534571</v>
      </c>
      <c r="R40">
        <f t="shared" si="1"/>
        <v>-235.26972781104587</v>
      </c>
      <c r="S40">
        <f t="shared" si="17"/>
        <v>3129.8980517221471</v>
      </c>
      <c r="T40">
        <f t="shared" si="2"/>
        <v>28449.543227832834</v>
      </c>
      <c r="U40">
        <f t="shared" si="3"/>
        <v>37395.599310347359</v>
      </c>
      <c r="V40">
        <f t="shared" si="4"/>
        <v>9785.020271745414</v>
      </c>
      <c r="W40">
        <f t="shared" si="5"/>
        <v>1583.4343806195388</v>
      </c>
      <c r="X40">
        <f t="shared" si="6"/>
        <v>-78.603459326967325</v>
      </c>
      <c r="Y40">
        <f t="shared" si="7"/>
        <v>-1740.1006491036173</v>
      </c>
      <c r="Z40">
        <f t="shared" si="8"/>
        <v>2349.7656353971897</v>
      </c>
      <c r="AA40">
        <f t="shared" si="9"/>
        <v>93.250604961240882</v>
      </c>
      <c r="AB40">
        <f t="shared" si="10"/>
        <v>686.88181136371657</v>
      </c>
    </row>
    <row r="41" spans="2:28" x14ac:dyDescent="0.25">
      <c r="L41">
        <v>37</v>
      </c>
      <c r="M41">
        <f t="shared" si="0"/>
        <v>18.5</v>
      </c>
      <c r="N41">
        <f t="shared" si="22"/>
        <v>6487.0601722102811</v>
      </c>
      <c r="O41">
        <f t="shared" si="15"/>
        <v>-15227.649225363399</v>
      </c>
      <c r="P41">
        <f t="shared" si="16"/>
        <v>4712.1274342135839</v>
      </c>
      <c r="Q41">
        <f t="shared" si="21"/>
        <v>7512.6398177145311</v>
      </c>
      <c r="R41">
        <f t="shared" si="1"/>
        <v>18.196465962623734</v>
      </c>
      <c r="S41">
        <f t="shared" si="17"/>
        <v>2834.292294028116</v>
      </c>
      <c r="T41">
        <f t="shared" si="2"/>
        <v>24326.062895047569</v>
      </c>
      <c r="U41">
        <f t="shared" si="3"/>
        <v>36578.663753672939</v>
      </c>
      <c r="V41">
        <f t="shared" si="4"/>
        <v>11489.315713731094</v>
      </c>
      <c r="W41">
        <f t="shared" si="5"/>
        <v>1812.3009569611845</v>
      </c>
      <c r="X41">
        <f t="shared" si="6"/>
        <v>-92.089994432811665</v>
      </c>
      <c r="Y41">
        <f t="shared" si="7"/>
        <v>-1702.0144965657491</v>
      </c>
      <c r="Z41">
        <f t="shared" si="8"/>
        <v>2712.8506835212788</v>
      </c>
      <c r="AA41">
        <f t="shared" si="9"/>
        <v>87.711284740996376</v>
      </c>
      <c r="AB41">
        <f t="shared" si="10"/>
        <v>33.730325765840774</v>
      </c>
    </row>
    <row r="42" spans="2:28" x14ac:dyDescent="0.25">
      <c r="L42">
        <v>38</v>
      </c>
      <c r="M42">
        <f t="shared" si="0"/>
        <v>19</v>
      </c>
      <c r="N42">
        <f t="shared" si="22"/>
        <v>8845.398447562402</v>
      </c>
      <c r="O42">
        <f t="shared" si="15"/>
        <v>-11117.042779752619</v>
      </c>
      <c r="P42">
        <f t="shared" si="16"/>
        <v>4721.2256671948962</v>
      </c>
      <c r="Q42">
        <f t="shared" si="21"/>
        <v>8929.7859647285895</v>
      </c>
      <c r="R42">
        <f t="shared" si="1"/>
        <v>671.34588713967014</v>
      </c>
      <c r="S42">
        <f t="shared" si="17"/>
        <v>2774.3726582278673</v>
      </c>
      <c r="T42">
        <f t="shared" si="2"/>
        <v>19600.617433081523</v>
      </c>
      <c r="U42">
        <f t="shared" si="3"/>
        <v>35748.937150082347</v>
      </c>
      <c r="V42">
        <f t="shared" si="4"/>
        <v>14379.583267467617</v>
      </c>
      <c r="W42">
        <f t="shared" si="5"/>
        <v>2127.7251952095776</v>
      </c>
      <c r="X42">
        <f t="shared" si="6"/>
        <v>-107.16908534046414</v>
      </c>
      <c r="Y42">
        <f t="shared" si="7"/>
        <v>-1349.2102227294433</v>
      </c>
      <c r="Z42">
        <f t="shared" si="8"/>
        <v>3074.3041634917331</v>
      </c>
      <c r="AA42">
        <f t="shared" si="9"/>
        <v>78.455985411870259</v>
      </c>
      <c r="AB42">
        <f t="shared" si="10"/>
        <v>-378.38749067573605</v>
      </c>
    </row>
    <row r="43" spans="2:28" x14ac:dyDescent="0.25">
      <c r="L43">
        <v>39</v>
      </c>
      <c r="M43">
        <f t="shared" si="0"/>
        <v>19.5</v>
      </c>
      <c r="N43">
        <f t="shared" si="22"/>
        <v>11289.929517052309</v>
      </c>
      <c r="O43">
        <f t="shared" si="15"/>
        <v>-6305.3532151098407</v>
      </c>
      <c r="P43">
        <f t="shared" si="16"/>
        <v>5056.8986107647315</v>
      </c>
      <c r="Q43">
        <f t="shared" si="21"/>
        <v>10316.972293842524</v>
      </c>
      <c r="R43">
        <f t="shared" si="1"/>
        <v>1417.9587303695507</v>
      </c>
      <c r="S43">
        <f t="shared" si="17"/>
        <v>2764.030195987124</v>
      </c>
      <c r="T43">
        <f t="shared" si="2"/>
        <v>14271.521962857047</v>
      </c>
      <c r="U43">
        <f t="shared" si="3"/>
        <v>35283.483850827353</v>
      </c>
      <c r="V43">
        <f t="shared" si="4"/>
        <v>18465.066649880602</v>
      </c>
      <c r="W43">
        <f t="shared" si="5"/>
        <v>2459.8240730671801</v>
      </c>
      <c r="X43">
        <f t="shared" si="6"/>
        <v>-120.73524217922412</v>
      </c>
      <c r="Y43">
        <f t="shared" si="7"/>
        <v>-921.1301005184049</v>
      </c>
      <c r="Z43">
        <f t="shared" si="8"/>
        <v>3192.7617632370011</v>
      </c>
      <c r="AA43">
        <f t="shared" si="9"/>
        <v>62.91579430280332</v>
      </c>
      <c r="AB43">
        <f t="shared" si="10"/>
        <v>-491.64736155268048</v>
      </c>
    </row>
    <row r="44" spans="2:28" x14ac:dyDescent="0.25">
      <c r="L44">
        <v>40</v>
      </c>
      <c r="M44">
        <f t="shared" si="0"/>
        <v>20</v>
      </c>
      <c r="N44">
        <f t="shared" si="22"/>
        <v>13995.623663730868</v>
      </c>
      <c r="O44">
        <f t="shared" si="15"/>
        <v>-801.36329369018824</v>
      </c>
      <c r="P44">
        <f t="shared" si="16"/>
        <v>5765.8779759495064</v>
      </c>
      <c r="Q44">
        <f t="shared" si="21"/>
        <v>11698.987391836086</v>
      </c>
      <c r="R44">
        <f t="shared" si="1"/>
        <v>1760.1959150284852</v>
      </c>
      <c r="S44">
        <f t="shared" si="17"/>
        <v>1991.4732031298597</v>
      </c>
      <c r="T44">
        <f t="shared" si="2"/>
        <v>8349.1527266498488</v>
      </c>
      <c r="U44">
        <f t="shared" si="3"/>
        <v>35670.322079963</v>
      </c>
      <c r="V44">
        <f t="shared" si="4"/>
        <v>23715.712148106799</v>
      </c>
      <c r="W44">
        <f t="shared" si="5"/>
        <v>2470.6662985097664</v>
      </c>
      <c r="X44">
        <f t="shared" si="6"/>
        <v>-127.10954554903481</v>
      </c>
      <c r="Y44">
        <f t="shared" si="7"/>
        <v>-583.36083793224623</v>
      </c>
      <c r="Z44">
        <f t="shared" si="8"/>
        <v>2387.1309812066243</v>
      </c>
      <c r="AA44">
        <f t="shared" si="9"/>
        <v>40.386268337114245</v>
      </c>
      <c r="AB44">
        <f t="shared" si="10"/>
        <v>-436.0440464138789</v>
      </c>
    </row>
    <row r="45" spans="2:28" x14ac:dyDescent="0.25">
      <c r="L45">
        <v>41</v>
      </c>
      <c r="M45">
        <f t="shared" si="0"/>
        <v>20.5</v>
      </c>
      <c r="N45">
        <f t="shared" si="22"/>
        <v>17098.587141084183</v>
      </c>
      <c r="O45">
        <f t="shared" si="15"/>
        <v>5297.0645526190874</v>
      </c>
      <c r="P45">
        <f t="shared" si="16"/>
        <v>6645.9759334637492</v>
      </c>
      <c r="Q45">
        <f t="shared" si="21"/>
        <v>12694.723993401016</v>
      </c>
      <c r="R45">
        <f t="shared" si="1"/>
        <v>985.25472923006362</v>
      </c>
      <c r="S45">
        <f t="shared" si="17"/>
        <v>-471.28285393683598</v>
      </c>
      <c r="T45">
        <f t="shared" si="2"/>
        <v>2916.5808622948953</v>
      </c>
      <c r="U45">
        <f t="shared" si="3"/>
        <v>37395.49130158405</v>
      </c>
      <c r="V45">
        <f t="shared" si="4"/>
        <v>30005.305915542296</v>
      </c>
      <c r="W45">
        <f t="shared" si="5"/>
        <v>1471.9727607260695</v>
      </c>
      <c r="X45">
        <f t="shared" si="6"/>
        <v>-120.99209931941226</v>
      </c>
      <c r="Y45">
        <f t="shared" si="7"/>
        <v>-365.72593217659357</v>
      </c>
      <c r="Z45">
        <f t="shared" si="8"/>
        <v>-150.70965453567669</v>
      </c>
      <c r="AA45">
        <f t="shared" si="9"/>
        <v>15.337997389990814</v>
      </c>
      <c r="AB45">
        <f t="shared" si="10"/>
        <v>-335.91119679115013</v>
      </c>
    </row>
    <row r="46" spans="2:28" x14ac:dyDescent="0.25">
      <c r="L46">
        <v>42</v>
      </c>
      <c r="M46">
        <f t="shared" si="0"/>
        <v>21</v>
      </c>
      <c r="N46">
        <f t="shared" si="22"/>
        <v>20544.731948969817</v>
      </c>
      <c r="O46">
        <f t="shared" si="15"/>
        <v>11585.516192577492</v>
      </c>
      <c r="P46">
        <f t="shared" si="16"/>
        <v>7138.6032980787813</v>
      </c>
      <c r="Q46">
        <f t="shared" si="21"/>
        <v>12459.082566432598</v>
      </c>
      <c r="R46">
        <f t="shared" si="1"/>
        <v>-588.40018576280477</v>
      </c>
      <c r="S46">
        <f t="shared" si="17"/>
        <v>-3205.6298389916187</v>
      </c>
      <c r="T46">
        <f t="shared" si="2"/>
        <v>6608.0069929539877</v>
      </c>
      <c r="U46">
        <f t="shared" si="3"/>
        <v>40575.721193969417</v>
      </c>
      <c r="V46">
        <f t="shared" si="4"/>
        <v>36868.997837892464</v>
      </c>
      <c r="W46">
        <f t="shared" si="5"/>
        <v>-244.16735152187098</v>
      </c>
      <c r="X46">
        <f t="shared" si="6"/>
        <v>-104.30931094798441</v>
      </c>
      <c r="Y46">
        <f t="shared" si="7"/>
        <v>-239.92352329294931</v>
      </c>
      <c r="Z46">
        <f t="shared" si="8"/>
        <v>-2951.8519157669948</v>
      </c>
      <c r="AA46">
        <f t="shared" si="9"/>
        <v>-4.0790527793545355</v>
      </c>
      <c r="AB46">
        <f t="shared" si="10"/>
        <v>-249.69887044526936</v>
      </c>
    </row>
    <row r="47" spans="2:28" x14ac:dyDescent="0.25">
      <c r="L47">
        <v>43</v>
      </c>
      <c r="M47">
        <f t="shared" si="0"/>
        <v>21.5</v>
      </c>
      <c r="N47">
        <f t="shared" si="22"/>
        <v>24040.483574788854</v>
      </c>
      <c r="O47">
        <f t="shared" si="15"/>
        <v>17414.353745919838</v>
      </c>
      <c r="P47">
        <f t="shared" si="16"/>
        <v>6844.4032051973791</v>
      </c>
      <c r="Q47">
        <f t="shared" si="21"/>
        <v>10856.267646936789</v>
      </c>
      <c r="R47">
        <f t="shared" si="1"/>
        <v>-1498.6240406549418</v>
      </c>
      <c r="S47">
        <f t="shared" si="17"/>
        <v>-4021.788361280036</v>
      </c>
      <c r="T47">
        <f t="shared" si="2"/>
        <v>13055.331724892034</v>
      </c>
      <c r="U47">
        <f t="shared" si="3"/>
        <v>44660.237739748794</v>
      </c>
      <c r="V47">
        <f t="shared" si="4"/>
        <v>43520.570021809326</v>
      </c>
      <c r="W47">
        <f t="shared" si="5"/>
        <v>-1242.2387495286907</v>
      </c>
      <c r="X47">
        <f t="shared" si="6"/>
        <v>-85.619190191850279</v>
      </c>
      <c r="Y47">
        <f t="shared" si="7"/>
        <v>-170.76610093440081</v>
      </c>
      <c r="Z47">
        <f t="shared" si="8"/>
        <v>-3816.7687080238093</v>
      </c>
      <c r="AA47">
        <f t="shared" si="9"/>
        <v>-14.414259608288409</v>
      </c>
      <c r="AB47">
        <f t="shared" si="10"/>
        <v>-190.60539364793846</v>
      </c>
    </row>
    <row r="48" spans="2:28" x14ac:dyDescent="0.25">
      <c r="L48">
        <v>44</v>
      </c>
      <c r="M48">
        <f t="shared" si="0"/>
        <v>22</v>
      </c>
      <c r="N48">
        <f t="shared" si="22"/>
        <v>27275.357172305674</v>
      </c>
      <c r="O48">
        <f t="shared" si="15"/>
        <v>22339.764024228229</v>
      </c>
      <c r="P48">
        <f t="shared" si="16"/>
        <v>6095.0911848699079</v>
      </c>
      <c r="Q48">
        <f t="shared" si="21"/>
        <v>8845.3734662967709</v>
      </c>
      <c r="R48">
        <f t="shared" si="1"/>
        <v>-1676.0400121152718</v>
      </c>
      <c r="S48">
        <f t="shared" si="17"/>
        <v>-3682.4520823214384</v>
      </c>
      <c r="T48">
        <f t="shared" si="2"/>
        <v>18804.207997162208</v>
      </c>
      <c r="U48">
        <f t="shared" si="3"/>
        <v>48859.279281859148</v>
      </c>
      <c r="V48">
        <f t="shared" si="4"/>
        <v>49355.411638288984</v>
      </c>
      <c r="W48">
        <f t="shared" si="5"/>
        <v>-1473.1030089950766</v>
      </c>
      <c r="X48">
        <f t="shared" si="6"/>
        <v>-70.607421555332238</v>
      </c>
      <c r="Y48">
        <f t="shared" si="7"/>
        <v>-132.32958156486305</v>
      </c>
      <c r="Z48">
        <f t="shared" si="8"/>
        <v>-3510.9284608854641</v>
      </c>
      <c r="AA48">
        <f t="shared" si="9"/>
        <v>-18.429874938362357</v>
      </c>
      <c r="AB48">
        <f t="shared" si="10"/>
        <v>-153.09374649761202</v>
      </c>
    </row>
    <row r="49" spans="12:28" x14ac:dyDescent="0.25">
      <c r="L49">
        <v>45</v>
      </c>
      <c r="M49">
        <f t="shared" si="0"/>
        <v>22.5</v>
      </c>
      <c r="N49">
        <f t="shared" si="22"/>
        <v>30113.397763226221</v>
      </c>
      <c r="O49">
        <f t="shared" si="15"/>
        <v>26302.144247086435</v>
      </c>
      <c r="P49">
        <f t="shared" si="16"/>
        <v>5257.0711788122717</v>
      </c>
      <c r="Q49">
        <f t="shared" si="21"/>
        <v>7004.1474251360514</v>
      </c>
      <c r="R49">
        <f t="shared" si="1"/>
        <v>-1602.6914448991906</v>
      </c>
      <c r="S49">
        <f t="shared" si="17"/>
        <v>-3167.0250934057613</v>
      </c>
      <c r="T49">
        <f t="shared" si="2"/>
        <v>23580.970375302772</v>
      </c>
      <c r="U49">
        <f t="shared" si="3"/>
        <v>52698.316314927375</v>
      </c>
      <c r="V49">
        <f t="shared" si="4"/>
        <v>54210.864426659675</v>
      </c>
      <c r="W49">
        <f t="shared" si="5"/>
        <v>-1433.0340207451993</v>
      </c>
      <c r="X49">
        <f t="shared" si="6"/>
        <v>-59.904909056387218</v>
      </c>
      <c r="Y49">
        <f t="shared" si="7"/>
        <v>-109.75251509760422</v>
      </c>
      <c r="Z49">
        <f t="shared" si="8"/>
        <v>-3018.441292984242</v>
      </c>
      <c r="AA49">
        <f t="shared" si="9"/>
        <v>-19.487372880999168</v>
      </c>
      <c r="AB49">
        <f t="shared" si="10"/>
        <v>-129.09642754051973</v>
      </c>
    </row>
    <row r="50" spans="12:28" x14ac:dyDescent="0.25">
      <c r="L50">
        <v>46</v>
      </c>
      <c r="M50">
        <f t="shared" si="0"/>
        <v>23</v>
      </c>
      <c r="N50">
        <f t="shared" si="22"/>
        <v>32541.596922019959</v>
      </c>
      <c r="O50">
        <f t="shared" si="15"/>
        <v>29408.339822978738</v>
      </c>
      <c r="P50">
        <f t="shared" si="16"/>
        <v>4455.7254563626766</v>
      </c>
      <c r="Q50">
        <f t="shared" si="21"/>
        <v>5420.6348784331713</v>
      </c>
      <c r="R50">
        <f t="shared" si="1"/>
        <v>-1489.8820688050098</v>
      </c>
      <c r="S50">
        <f t="shared" si="17"/>
        <v>-2743.8302731627095</v>
      </c>
      <c r="T50">
        <f t="shared" si="2"/>
        <v>27441.915134852199</v>
      </c>
      <c r="U50">
        <f t="shared" si="3"/>
        <v>56011.633272028761</v>
      </c>
      <c r="V50">
        <f t="shared" si="4"/>
        <v>58150.426871077892</v>
      </c>
      <c r="W50">
        <f t="shared" si="5"/>
        <v>-1341.7274935978298</v>
      </c>
      <c r="X50">
        <f t="shared" si="6"/>
        <v>-52.464482014413846</v>
      </c>
      <c r="Y50">
        <f t="shared" si="7"/>
        <v>-95.690093192766227</v>
      </c>
      <c r="Z50">
        <f t="shared" si="8"/>
        <v>-2611.2576266958135</v>
      </c>
      <c r="AA50">
        <f t="shared" si="9"/>
        <v>-19.37985434823273</v>
      </c>
      <c r="AB50">
        <f t="shared" si="10"/>
        <v>-113.1927921186636</v>
      </c>
    </row>
    <row r="51" spans="12:28" x14ac:dyDescent="0.25">
      <c r="L51">
        <v>47</v>
      </c>
      <c r="M51">
        <f t="shared" si="0"/>
        <v>23.5</v>
      </c>
      <c r="N51">
        <f t="shared" si="22"/>
        <v>34583.22439160067</v>
      </c>
      <c r="O51">
        <f t="shared" si="15"/>
        <v>31775.678478049984</v>
      </c>
      <c r="P51">
        <f t="shared" si="16"/>
        <v>3710.7844219601716</v>
      </c>
      <c r="Q51">
        <f t="shared" si="21"/>
        <v>4048.7197418518163</v>
      </c>
      <c r="R51">
        <f t="shared" si="1"/>
        <v>-1393.8502863096021</v>
      </c>
      <c r="S51">
        <f t="shared" si="17"/>
        <v>-2434.5638557412153</v>
      </c>
      <c r="T51">
        <f t="shared" si="2"/>
        <v>30489.463616398465</v>
      </c>
      <c r="U51">
        <f t="shared" si="3"/>
        <v>58766.559863269518</v>
      </c>
      <c r="V51">
        <f t="shared" si="4"/>
        <v>61276.388195761989</v>
      </c>
      <c r="W51">
        <f t="shared" si="5"/>
        <v>-1259.9608084255667</v>
      </c>
      <c r="X51">
        <f t="shared" si="6"/>
        <v>-47.291503543306689</v>
      </c>
      <c r="Y51">
        <f t="shared" si="7"/>
        <v>-86.597974340728868</v>
      </c>
      <c r="Z51">
        <f t="shared" si="8"/>
        <v>-2313.3639444495975</v>
      </c>
      <c r="AA51">
        <f t="shared" si="9"/>
        <v>-18.866686374450893</v>
      </c>
      <c r="AB51">
        <f t="shared" si="10"/>
        <v>-102.33322491716685</v>
      </c>
    </row>
    <row r="52" spans="12:28" x14ac:dyDescent="0.25">
      <c r="L52">
        <v>48</v>
      </c>
      <c r="M52">
        <f t="shared" si="0"/>
        <v>24</v>
      </c>
      <c r="N52">
        <f t="shared" si="22"/>
        <v>36264.385316792053</v>
      </c>
      <c r="O52">
        <f t="shared" si="15"/>
        <v>33495.717867008236</v>
      </c>
      <c r="P52">
        <f t="shared" si="16"/>
        <v>3013.8592788053706</v>
      </c>
      <c r="Q52">
        <f t="shared" si="21"/>
        <v>2831.4378139812088</v>
      </c>
      <c r="R52">
        <f t="shared" si="1"/>
        <v>-1325.1638292314592</v>
      </c>
      <c r="S52">
        <f t="shared" si="17"/>
        <v>-2216.8638679711157</v>
      </c>
      <c r="T52">
        <f t="shared" si="2"/>
        <v>32810.610577817861</v>
      </c>
      <c r="U52">
        <f t="shared" si="3"/>
        <v>60973.189297940575</v>
      </c>
      <c r="V52">
        <f t="shared" si="4"/>
        <v>63675.616581303286</v>
      </c>
      <c r="W52">
        <f t="shared" si="5"/>
        <v>-1200.7708328519664</v>
      </c>
      <c r="X52">
        <f t="shared" si="6"/>
        <v>-43.709880259939531</v>
      </c>
      <c r="Y52">
        <f t="shared" si="7"/>
        <v>-80.683116119553191</v>
      </c>
      <c r="Z52">
        <f t="shared" si="8"/>
        <v>-2103.7885053396521</v>
      </c>
      <c r="AA52">
        <f t="shared" si="9"/>
        <v>-18.253021139497744</v>
      </c>
      <c r="AB52">
        <f t="shared" si="10"/>
        <v>-94.822341491965815</v>
      </c>
    </row>
    <row r="53" spans="12:28" x14ac:dyDescent="0.25">
      <c r="L53">
        <v>49</v>
      </c>
      <c r="M53">
        <f t="shared" si="0"/>
        <v>24.5</v>
      </c>
      <c r="N53">
        <f t="shared" si="22"/>
        <v>37605.669477540803</v>
      </c>
      <c r="O53">
        <f t="shared" si="15"/>
        <v>34634.328790502448</v>
      </c>
      <c r="P53">
        <f t="shared" si="16"/>
        <v>2351.277364189641</v>
      </c>
      <c r="Q53">
        <f t="shared" si="21"/>
        <v>1723.005879995651</v>
      </c>
      <c r="R53">
        <f t="shared" si="1"/>
        <v>-1283.4880220613557</v>
      </c>
      <c r="S53">
        <f t="shared" si="17"/>
        <v>-2068.6540272459424</v>
      </c>
      <c r="T53">
        <f t="shared" si="2"/>
        <v>34469.595887042451</v>
      </c>
      <c r="U53">
        <f t="shared" si="3"/>
        <v>62651.921845337303</v>
      </c>
      <c r="V53">
        <f t="shared" si="4"/>
        <v>65412.610910382966</v>
      </c>
      <c r="W53">
        <f t="shared" si="5"/>
        <v>-1165.2057738557755</v>
      </c>
      <c r="X53">
        <f t="shared" si="6"/>
        <v>-41.292674653458199</v>
      </c>
      <c r="Y53">
        <f t="shared" si="7"/>
        <v>-76.989573552122039</v>
      </c>
      <c r="Z53">
        <f t="shared" si="8"/>
        <v>-1961.305195186314</v>
      </c>
      <c r="AA53">
        <f t="shared" si="9"/>
        <v>-17.658284909771371</v>
      </c>
      <c r="AB53">
        <f t="shared" si="10"/>
        <v>-89.690547149856997</v>
      </c>
    </row>
    <row r="54" spans="12:28" x14ac:dyDescent="0.25">
      <c r="L54">
        <v>50</v>
      </c>
      <c r="M54">
        <f t="shared" si="0"/>
        <v>25</v>
      </c>
      <c r="N54">
        <f t="shared" si="22"/>
        <v>38620.872156877951</v>
      </c>
      <c r="O54">
        <f t="shared" si="15"/>
        <v>35237.249977094529</v>
      </c>
      <c r="P54">
        <f t="shared" si="16"/>
        <v>1709.5333531589631</v>
      </c>
      <c r="Q54">
        <f t="shared" si="21"/>
        <v>688.67886637267975</v>
      </c>
      <c r="R54">
        <f t="shared" si="1"/>
        <v>-1266.9607685289518</v>
      </c>
      <c r="S54">
        <f t="shared" si="17"/>
        <v>-1974.4602877773539</v>
      </c>
      <c r="T54">
        <f t="shared" si="2"/>
        <v>35510.95839399573</v>
      </c>
      <c r="U54">
        <f t="shared" si="3"/>
        <v>63822.609150984936</v>
      </c>
      <c r="V54">
        <f t="shared" si="4"/>
        <v>66532.4114472621</v>
      </c>
      <c r="W54">
        <f t="shared" si="5"/>
        <v>-1152.1874288383381</v>
      </c>
      <c r="X54">
        <f t="shared" si="6"/>
        <v>-39.776961625556787</v>
      </c>
      <c r="Y54">
        <f t="shared" si="7"/>
        <v>-74.996378065056803</v>
      </c>
      <c r="Z54">
        <f t="shared" si="8"/>
        <v>-1870.9638846525374</v>
      </c>
      <c r="AA54">
        <f t="shared" si="9"/>
        <v>-17.124636446673723</v>
      </c>
      <c r="AB54">
        <f t="shared" si="10"/>
        <v>-86.371766678142563</v>
      </c>
    </row>
    <row r="55" spans="12:28" x14ac:dyDescent="0.25">
      <c r="L55">
        <v>51</v>
      </c>
      <c r="M55">
        <f t="shared" si="0"/>
        <v>25.5</v>
      </c>
      <c r="N55">
        <f t="shared" si="22"/>
        <v>39317.268737391314</v>
      </c>
      <c r="O55">
        <f t="shared" si="15"/>
        <v>35334.781874308697</v>
      </c>
      <c r="P55">
        <f t="shared" si="16"/>
        <v>1076.0529688944871</v>
      </c>
      <c r="Q55">
        <f t="shared" si="21"/>
        <v>-298.55127751599719</v>
      </c>
      <c r="R55">
        <f t="shared" si="1"/>
        <v>-1274.6548135166295</v>
      </c>
      <c r="S55">
        <f t="shared" si="17"/>
        <v>-1924.7071939363918</v>
      </c>
      <c r="T55">
        <f t="shared" si="2"/>
        <v>35963.257122158488</v>
      </c>
      <c r="U55">
        <f t="shared" si="3"/>
        <v>64501.08172025258</v>
      </c>
      <c r="V55">
        <f t="shared" si="4"/>
        <v>67064.227235362938</v>
      </c>
      <c r="W55">
        <f t="shared" si="5"/>
        <v>-1161.2132357190787</v>
      </c>
      <c r="X55">
        <f t="shared" si="6"/>
        <v>-39.007239001844624</v>
      </c>
      <c r="Y55">
        <f t="shared" si="7"/>
        <v>-74.434338795706083</v>
      </c>
      <c r="Z55">
        <f t="shared" si="8"/>
        <v>-1823.5057291984133</v>
      </c>
      <c r="AA55">
        <f t="shared" si="9"/>
        <v>-16.660239297360164</v>
      </c>
      <c r="AB55">
        <f t="shared" si="10"/>
        <v>-84.541225440618177</v>
      </c>
    </row>
    <row r="56" spans="12:28" x14ac:dyDescent="0.25">
      <c r="L56">
        <v>52</v>
      </c>
      <c r="M56">
        <f t="shared" si="0"/>
        <v>26</v>
      </c>
      <c r="N56">
        <f t="shared" si="22"/>
        <v>39695.963370148973</v>
      </c>
      <c r="O56">
        <f t="shared" si="15"/>
        <v>34944.917836308647</v>
      </c>
      <c r="P56">
        <f t="shared" si="16"/>
        <v>438.72556213617236</v>
      </c>
      <c r="Q56">
        <f t="shared" si="21"/>
        <v>-1260.904874484193</v>
      </c>
      <c r="R56">
        <f t="shared" si="1"/>
        <v>-1307.2946284446618</v>
      </c>
      <c r="S56">
        <f t="shared" si="17"/>
        <v>-1914.3654129340405</v>
      </c>
      <c r="T56">
        <f t="shared" si="2"/>
        <v>35841.72257720778</v>
      </c>
      <c r="U56">
        <f t="shared" si="3"/>
        <v>64698.199113656607</v>
      </c>
      <c r="V56">
        <f t="shared" si="4"/>
        <v>67024.055079212572</v>
      </c>
      <c r="W56">
        <f t="shared" si="5"/>
        <v>-1193.1894327352675</v>
      </c>
      <c r="X56">
        <f t="shared" si="6"/>
        <v>-38.902685971751765</v>
      </c>
      <c r="Y56">
        <f t="shared" si="7"/>
        <v>-75.202509737642771</v>
      </c>
      <c r="Z56">
        <f t="shared" si="8"/>
        <v>-1814.0752424713239</v>
      </c>
      <c r="AA56">
        <f t="shared" si="9"/>
        <v>-16.256112648017446</v>
      </c>
      <c r="AB56">
        <f t="shared" si="10"/>
        <v>-84.03405781469904</v>
      </c>
    </row>
    <row r="57" spans="12:28" x14ac:dyDescent="0.25">
      <c r="L57">
        <v>53</v>
      </c>
      <c r="M57">
        <f t="shared" si="0"/>
        <v>26.5</v>
      </c>
      <c r="N57">
        <f t="shared" si="22"/>
        <v>39751.914322661476</v>
      </c>
      <c r="O57">
        <f t="shared" si="15"/>
        <v>34075.169722449798</v>
      </c>
      <c r="P57">
        <f t="shared" si="16"/>
        <v>-214.92175208615856</v>
      </c>
      <c r="Q57">
        <f t="shared" si="21"/>
        <v>-2218.0875809512131</v>
      </c>
      <c r="R57">
        <f t="shared" si="1"/>
        <v>-1367.6711205672691</v>
      </c>
      <c r="S57">
        <f t="shared" si="17"/>
        <v>-1942.037443126871</v>
      </c>
      <c r="T57">
        <f t="shared" si="2"/>
        <v>35149.731347465815</v>
      </c>
      <c r="U57">
        <f t="shared" si="3"/>
        <v>64419.756770632419</v>
      </c>
      <c r="V57">
        <f t="shared" si="4"/>
        <v>66416.158567249935</v>
      </c>
      <c r="W57">
        <f t="shared" si="5"/>
        <v>-1250.894088963614</v>
      </c>
      <c r="X57">
        <f t="shared" si="6"/>
        <v>-39.440324826358875</v>
      </c>
      <c r="Y57">
        <f t="shared" si="7"/>
        <v>-77.336706777296286</v>
      </c>
      <c r="Z57">
        <f t="shared" si="8"/>
        <v>-1841.3383810448615</v>
      </c>
      <c r="AA57">
        <f t="shared" si="9"/>
        <v>-15.891248420521668</v>
      </c>
      <c r="AB57">
        <f t="shared" si="10"/>
        <v>-84.80781366148797</v>
      </c>
    </row>
    <row r="58" spans="12:28" x14ac:dyDescent="0.25">
      <c r="L58">
        <v>54</v>
      </c>
      <c r="M58">
        <f t="shared" si="0"/>
        <v>27</v>
      </c>
      <c r="N58">
        <f t="shared" si="22"/>
        <v>39473.494556547492</v>
      </c>
      <c r="O58">
        <f t="shared" si="15"/>
        <v>32723.371251583336</v>
      </c>
      <c r="P58">
        <f t="shared" si="16"/>
        <v>-898.75731236979311</v>
      </c>
      <c r="Q58">
        <f t="shared" si="21"/>
        <v>-3189.1063025146486</v>
      </c>
      <c r="R58">
        <f t="shared" si="1"/>
        <v>-1461.2134546642455</v>
      </c>
      <c r="S58">
        <f t="shared" si="17"/>
        <v>-2009.51138572845</v>
      </c>
      <c r="T58">
        <f t="shared" si="2"/>
        <v>33879.231157111615</v>
      </c>
      <c r="U58">
        <f t="shared" si="3"/>
        <v>63666.695813470389</v>
      </c>
      <c r="V58">
        <f t="shared" si="4"/>
        <v>65233.518084553049</v>
      </c>
      <c r="W58">
        <f t="shared" si="5"/>
        <v>-1339.5510517481209</v>
      </c>
      <c r="X58">
        <f t="shared" si="6"/>
        <v>-40.6491574131609</v>
      </c>
      <c r="Y58">
        <f t="shared" si="7"/>
        <v>-81.013245502963557</v>
      </c>
      <c r="Z58">
        <f t="shared" si="8"/>
        <v>-1907.0470895823728</v>
      </c>
      <c r="AA58">
        <f t="shared" si="9"/>
        <v>-15.531051300257193</v>
      </c>
      <c r="AB58">
        <f t="shared" si="10"/>
        <v>-86.93324484582017</v>
      </c>
    </row>
    <row r="59" spans="12:28" x14ac:dyDescent="0.25">
      <c r="L59">
        <v>55</v>
      </c>
      <c r="M59">
        <f t="shared" si="0"/>
        <v>27.5</v>
      </c>
      <c r="N59">
        <f t="shared" si="22"/>
        <v>38841.464218529567</v>
      </c>
      <c r="O59">
        <f t="shared" si="15"/>
        <v>30877.629177109953</v>
      </c>
      <c r="P59">
        <f t="shared" si="16"/>
        <v>-1629.3640397019158</v>
      </c>
      <c r="Q59">
        <f t="shared" si="21"/>
        <v>-4193.8619953788739</v>
      </c>
      <c r="R59">
        <f t="shared" si="1"/>
        <v>-1596.9100045609528</v>
      </c>
      <c r="S59">
        <f t="shared" si="17"/>
        <v>-2121.5397689364959</v>
      </c>
      <c r="T59">
        <f t="shared" si="2"/>
        <v>32010.193153527554</v>
      </c>
      <c r="U59">
        <f t="shared" si="3"/>
        <v>62435.513223144153</v>
      </c>
      <c r="V59">
        <f t="shared" si="4"/>
        <v>63457.315131803509</v>
      </c>
      <c r="W59">
        <f t="shared" si="5"/>
        <v>-1467.7086645869342</v>
      </c>
      <c r="X59">
        <f t="shared" si="6"/>
        <v>-42.61314808045978</v>
      </c>
      <c r="Y59">
        <f t="shared" si="7"/>
        <v>-86.588191893558886</v>
      </c>
      <c r="Z59">
        <f t="shared" si="8"/>
        <v>-2015.8104551587794</v>
      </c>
      <c r="AA59">
        <f t="shared" si="9"/>
        <v>-15.119635711120759</v>
      </c>
      <c r="AB59">
        <f t="shared" si="10"/>
        <v>-90.609678066595563</v>
      </c>
    </row>
    <row r="60" spans="12:28" x14ac:dyDescent="0.25">
      <c r="L60">
        <v>56</v>
      </c>
      <c r="M60">
        <f t="shared" si="0"/>
        <v>28</v>
      </c>
      <c r="N60">
        <f t="shared" si="22"/>
        <v>37827.168448108489</v>
      </c>
      <c r="O60">
        <f t="shared" si="15"/>
        <v>28515.505708303455</v>
      </c>
      <c r="P60">
        <f t="shared" si="16"/>
        <v>-2427.8190419823923</v>
      </c>
      <c r="Q60">
        <f t="shared" si="21"/>
        <v>-5254.631879847122</v>
      </c>
      <c r="R60">
        <f t="shared" si="1"/>
        <v>-1788.5691891909664</v>
      </c>
      <c r="S60">
        <f t="shared" si="17"/>
        <v>-2285.1458660567896</v>
      </c>
      <c r="T60">
        <f t="shared" si="2"/>
        <v>29509.099335535255</v>
      </c>
      <c r="U60">
        <f t="shared" si="3"/>
        <v>60719.069182260457</v>
      </c>
      <c r="V60">
        <f t="shared" si="4"/>
        <v>61055.430506483615</v>
      </c>
      <c r="W60">
        <f t="shared" si="5"/>
        <v>-1648.3971738199389</v>
      </c>
      <c r="X60">
        <f t="shared" si="6"/>
        <v>-45.482916785122669</v>
      </c>
      <c r="Y60">
        <f t="shared" si="7"/>
        <v>-94.689098585904858</v>
      </c>
      <c r="Z60">
        <f t="shared" si="8"/>
        <v>-2174.371845049061</v>
      </c>
      <c r="AA60">
        <f t="shared" si="9"/>
        <v>-14.563037201465741</v>
      </c>
      <c r="AB60">
        <f t="shared" si="10"/>
        <v>-96.210983806262718</v>
      </c>
    </row>
    <row r="61" spans="12:28" x14ac:dyDescent="0.25">
      <c r="L61">
        <v>57</v>
      </c>
      <c r="M61">
        <f t="shared" si="0"/>
        <v>28.5</v>
      </c>
      <c r="N61">
        <f t="shared" si="22"/>
        <v>36389.687778468418</v>
      </c>
      <c r="O61">
        <f t="shared" si="15"/>
        <v>25602.546535122798</v>
      </c>
      <c r="P61">
        <f t="shared" si="16"/>
        <v>-3322.1036365778755</v>
      </c>
      <c r="Q61">
        <f t="shared" si="21"/>
        <v>-6397.2048128755168</v>
      </c>
      <c r="R61">
        <f t="shared" si="1"/>
        <v>-2055.5681901399748</v>
      </c>
      <c r="S61">
        <f t="shared" si="17"/>
        <v>-2506.0394496081603</v>
      </c>
      <c r="T61">
        <f t="shared" si="2"/>
        <v>26326.541535256343</v>
      </c>
      <c r="U61">
        <f t="shared" si="3"/>
        <v>58508.429701486799</v>
      </c>
      <c r="V61">
        <f t="shared" si="4"/>
        <v>57979.936525800978</v>
      </c>
      <c r="W61">
        <f t="shared" si="5"/>
        <v>-1899.6663128548184</v>
      </c>
      <c r="X61">
        <f t="shared" si="6"/>
        <v>-49.496958611190749</v>
      </c>
      <c r="Y61">
        <f t="shared" si="7"/>
        <v>-106.40491867396572</v>
      </c>
      <c r="Z61">
        <f t="shared" si="8"/>
        <v>-2387.9627324696908</v>
      </c>
      <c r="AA61">
        <f t="shared" si="9"/>
        <v>-13.695387055734578</v>
      </c>
      <c r="AB61">
        <f t="shared" si="10"/>
        <v>-104.38133008273489</v>
      </c>
    </row>
    <row r="62" spans="12:28" x14ac:dyDescent="0.25">
      <c r="L62">
        <v>58</v>
      </c>
      <c r="M62">
        <f t="shared" si="0"/>
        <v>29</v>
      </c>
      <c r="N62">
        <f t="shared" si="22"/>
        <v>34471.689936411989</v>
      </c>
      <c r="O62">
        <f t="shared" si="15"/>
        <v>22090.689197484018</v>
      </c>
      <c r="P62">
        <f t="shared" si="16"/>
        <v>-4349.8877316478629</v>
      </c>
      <c r="Q62">
        <f t="shared" si="21"/>
        <v>-7650.2245376795972</v>
      </c>
      <c r="R62">
        <f t="shared" si="1"/>
        <v>-2418.1584968346706</v>
      </c>
      <c r="S62">
        <f t="shared" si="17"/>
        <v>-2773.1814481712518</v>
      </c>
      <c r="T62">
        <f t="shared" si="2"/>
        <v>22394.674966621973</v>
      </c>
      <c r="U62">
        <f t="shared" si="3"/>
        <v>55797.399310351051</v>
      </c>
      <c r="V62">
        <f t="shared" si="4"/>
        <v>54163.950479821957</v>
      </c>
      <c r="W62">
        <f t="shared" si="5"/>
        <v>-2239.4622676617964</v>
      </c>
      <c r="X62">
        <f t="shared" si="6"/>
        <v>-55.010898290500236</v>
      </c>
      <c r="Y62">
        <f t="shared" si="7"/>
        <v>-123.68533088237368</v>
      </c>
      <c r="Z62">
        <f t="shared" si="8"/>
        <v>-2644.7466573893385</v>
      </c>
      <c r="AA62">
        <f t="shared" si="9"/>
        <v>-12.210373397287226</v>
      </c>
      <c r="AB62">
        <f t="shared" si="10"/>
        <v>-116.22441738462612</v>
      </c>
    </row>
    <row r="63" spans="12:28" x14ac:dyDescent="0.25">
      <c r="L63">
        <v>59</v>
      </c>
      <c r="M63">
        <f t="shared" si="0"/>
        <v>29.5</v>
      </c>
      <c r="N63">
        <f t="shared" si="22"/>
        <v>31994.476258483726</v>
      </c>
      <c r="O63">
        <f t="shared" si="15"/>
        <v>17918.929247622811</v>
      </c>
      <c r="P63">
        <f t="shared" si="16"/>
        <v>-5558.9669800651982</v>
      </c>
      <c r="Q63">
        <f t="shared" si="21"/>
        <v>-9036.8152617652231</v>
      </c>
      <c r="R63">
        <f t="shared" si="1"/>
        <v>-2864.1730935680312</v>
      </c>
      <c r="S63">
        <f t="shared" si="17"/>
        <v>-2998.9812530390914</v>
      </c>
      <c r="T63">
        <f t="shared" si="2"/>
        <v>17628.561870453697</v>
      </c>
      <c r="U63">
        <f t="shared" si="3"/>
        <v>52594.058617137394</v>
      </c>
      <c r="V63">
        <f t="shared" si="4"/>
        <v>49520.169390355615</v>
      </c>
      <c r="W63">
        <f t="shared" si="5"/>
        <v>-2651.4274838638853</v>
      </c>
      <c r="X63">
        <f t="shared" si="6"/>
        <v>-62.517429117478748</v>
      </c>
      <c r="Y63">
        <f t="shared" si="7"/>
        <v>-150.22818058666672</v>
      </c>
      <c r="Z63">
        <f t="shared" si="8"/>
        <v>-2855.7815556983942</v>
      </c>
      <c r="AA63">
        <f t="shared" si="9"/>
        <v>-9.5216094775800268</v>
      </c>
      <c r="AB63">
        <f t="shared" si="10"/>
        <v>-133.67808786311704</v>
      </c>
    </row>
    <row r="64" spans="12:28" x14ac:dyDescent="0.25">
      <c r="L64">
        <v>60</v>
      </c>
      <c r="M64">
        <f t="shared" si="0"/>
        <v>30</v>
      </c>
      <c r="N64">
        <f t="shared" si="22"/>
        <v>28856.971131755123</v>
      </c>
      <c r="O64">
        <f t="shared" si="15"/>
        <v>13025.648960110313</v>
      </c>
      <c r="P64">
        <f t="shared" si="16"/>
        <v>-6991.053526849214</v>
      </c>
      <c r="Q64">
        <f t="shared" si="21"/>
        <v>-10536.305888284769</v>
      </c>
      <c r="R64">
        <f t="shared" si="1"/>
        <v>-3199.3715690313807</v>
      </c>
      <c r="S64">
        <f t="shared" si="17"/>
        <v>-2822.6404447531386</v>
      </c>
      <c r="T64">
        <f t="shared" si="2"/>
        <v>11952.27923283519</v>
      </c>
      <c r="U64">
        <f t="shared" si="3"/>
        <v>48950.568738258502</v>
      </c>
      <c r="V64">
        <f t="shared" si="4"/>
        <v>43951.467482347303</v>
      </c>
      <c r="W64">
        <f t="shared" si="5"/>
        <v>-2933.227178158827</v>
      </c>
      <c r="X64">
        <f t="shared" si="6"/>
        <v>-72.57028738411374</v>
      </c>
      <c r="Y64">
        <f t="shared" si="7"/>
        <v>-193.57410348843979</v>
      </c>
      <c r="Z64">
        <f t="shared" si="8"/>
        <v>-2657.9122029375676</v>
      </c>
      <c r="AA64">
        <f t="shared" si="9"/>
        <v>-4.4941839306108138</v>
      </c>
      <c r="AB64">
        <f t="shared" si="10"/>
        <v>-160.23405788496024</v>
      </c>
    </row>
    <row r="65" spans="12:28" x14ac:dyDescent="0.25">
      <c r="L65">
        <v>61</v>
      </c>
      <c r="M65">
        <f t="shared" si="0"/>
        <v>30.5</v>
      </c>
      <c r="N65">
        <f t="shared" si="22"/>
        <v>24961.522922201591</v>
      </c>
      <c r="O65">
        <f t="shared" si="15"/>
        <v>7404.6659603737862</v>
      </c>
      <c r="P65">
        <f t="shared" si="16"/>
        <v>-8590.739311364905</v>
      </c>
      <c r="Q65">
        <f t="shared" si="21"/>
        <v>-11947.626110661338</v>
      </c>
      <c r="R65">
        <f t="shared" si="1"/>
        <v>-2682.9554696370383</v>
      </c>
      <c r="S65">
        <f t="shared" si="17"/>
        <v>-1325.1454438210599</v>
      </c>
      <c r="T65">
        <f t="shared" si="2"/>
        <v>5513.5404313845565</v>
      </c>
      <c r="U65">
        <f t="shared" si="3"/>
        <v>45036.366441586972</v>
      </c>
      <c r="V65">
        <f t="shared" si="4"/>
        <v>37412.055712210509</v>
      </c>
      <c r="W65">
        <f t="shared" si="5"/>
        <v>-2327.5366978580905</v>
      </c>
      <c r="X65">
        <f t="shared" si="6"/>
        <v>-85.288992192823116</v>
      </c>
      <c r="Y65">
        <f t="shared" si="7"/>
        <v>-270.12977958612458</v>
      </c>
      <c r="Z65">
        <f t="shared" si="8"/>
        <v>-1128.0706260199252</v>
      </c>
      <c r="AA65">
        <f t="shared" si="9"/>
        <v>4.9231745336220794</v>
      </c>
      <c r="AB65">
        <f t="shared" si="10"/>
        <v>-201.99799233475684</v>
      </c>
    </row>
    <row r="66" spans="12:28" x14ac:dyDescent="0.25">
      <c r="L66">
        <v>62</v>
      </c>
      <c r="M66">
        <f t="shared" si="0"/>
        <v>31</v>
      </c>
      <c r="N66">
        <f t="shared" si="22"/>
        <v>20330.783832814512</v>
      </c>
      <c r="O66">
        <f t="shared" si="15"/>
        <v>1265.2097245654845</v>
      </c>
      <c r="P66">
        <f t="shared" si="16"/>
        <v>-9932.2170461834248</v>
      </c>
      <c r="Q66">
        <f t="shared" si="21"/>
        <v>-12610.198832571868</v>
      </c>
      <c r="R66">
        <f t="shared" si="1"/>
        <v>-678.77862633964833</v>
      </c>
      <c r="S66">
        <f t="shared" si="17"/>
        <v>1611.3586783798037</v>
      </c>
      <c r="T66">
        <f t="shared" si="2"/>
        <v>3749.410133011816</v>
      </c>
      <c r="U66">
        <f t="shared" si="3"/>
        <v>41265.829516987033</v>
      </c>
      <c r="V66">
        <f t="shared" si="4"/>
        <v>30103.249940311704</v>
      </c>
      <c r="W66">
        <f t="shared" si="5"/>
        <v>-164.45269471461262</v>
      </c>
      <c r="X66">
        <f t="shared" si="6"/>
        <v>-98.781832919936434</v>
      </c>
      <c r="Y66">
        <f t="shared" si="7"/>
        <v>-415.5440987050992</v>
      </c>
      <c r="Z66">
        <f t="shared" si="8"/>
        <v>1856.7906410757064</v>
      </c>
      <c r="AA66">
        <f t="shared" si="9"/>
        <v>21.39404473653256</v>
      </c>
      <c r="AB66">
        <f t="shared" si="10"/>
        <v>-266.82600743243535</v>
      </c>
    </row>
    <row r="67" spans="12:28" x14ac:dyDescent="0.25">
      <c r="L67">
        <v>63</v>
      </c>
      <c r="M67">
        <f t="shared" si="0"/>
        <v>31.5</v>
      </c>
      <c r="N67">
        <f t="shared" si="22"/>
        <v>15279.827981430342</v>
      </c>
      <c r="O67">
        <f t="shared" si="15"/>
        <v>-4838.469856922974</v>
      </c>
      <c r="P67">
        <f t="shared" si="16"/>
        <v>-10271.606359353249</v>
      </c>
      <c r="Q67">
        <f t="shared" si="21"/>
        <v>-11804.519493381966</v>
      </c>
      <c r="R67">
        <f t="shared" si="1"/>
        <v>867.26340025427282</v>
      </c>
      <c r="S67">
        <f t="shared" si="17"/>
        <v>3180.7266280139474</v>
      </c>
      <c r="T67">
        <f t="shared" si="2"/>
        <v>10912.172698893191</v>
      </c>
      <c r="U67">
        <f t="shared" si="3"/>
        <v>38273.312504852867</v>
      </c>
      <c r="V67">
        <f t="shared" si="4"/>
        <v>22683.212246175983</v>
      </c>
      <c r="W67">
        <f t="shared" si="5"/>
        <v>1671.8627538252449</v>
      </c>
      <c r="X67">
        <f t="shared" si="6"/>
        <v>-107.57131089763612</v>
      </c>
      <c r="Y67">
        <f t="shared" si="7"/>
        <v>-697.02804267333602</v>
      </c>
      <c r="Z67">
        <f t="shared" si="8"/>
        <v>3484.7398026409801</v>
      </c>
      <c r="AA67">
        <f t="shared" si="9"/>
        <v>45.243804903596057</v>
      </c>
      <c r="AB67">
        <f t="shared" si="10"/>
        <v>-349.25697953062848</v>
      </c>
    </row>
    <row r="68" spans="12:28" x14ac:dyDescent="0.25">
      <c r="L68">
        <v>64</v>
      </c>
      <c r="M68">
        <f t="shared" si="0"/>
        <v>32</v>
      </c>
      <c r="N68">
        <f t="shared" si="22"/>
        <v>10252.432726785502</v>
      </c>
      <c r="O68">
        <f t="shared" si="15"/>
        <v>-10343.138775112213</v>
      </c>
      <c r="P68">
        <f t="shared" si="16"/>
        <v>-9837.9746592261126</v>
      </c>
      <c r="Q68">
        <f t="shared" si="21"/>
        <v>-10214.156179374992</v>
      </c>
      <c r="R68">
        <f t="shared" si="1"/>
        <v>764.72362889262945</v>
      </c>
      <c r="S68">
        <f t="shared" si="17"/>
        <v>2961.4792643296282</v>
      </c>
      <c r="T68">
        <f t="shared" si="2"/>
        <v>18177.650431730563</v>
      </c>
      <c r="U68">
        <f t="shared" si="3"/>
        <v>36456.178915406876</v>
      </c>
      <c r="V68">
        <f t="shared" si="4"/>
        <v>15947.50954077096</v>
      </c>
      <c r="W68">
        <f t="shared" si="5"/>
        <v>2068.3291132315394</v>
      </c>
      <c r="X68">
        <f t="shared" si="6"/>
        <v>-106.20725242532792</v>
      </c>
      <c r="Y68">
        <f t="shared" si="7"/>
        <v>-1197.3982319135821</v>
      </c>
      <c r="Z68">
        <f t="shared" si="8"/>
        <v>3255.6493048394227</v>
      </c>
      <c r="AA68">
        <f t="shared" si="9"/>
        <v>71.418682078378239</v>
      </c>
      <c r="AB68">
        <f t="shared" si="10"/>
        <v>-365.58872258817286</v>
      </c>
    </row>
    <row r="69" spans="12:28" x14ac:dyDescent="0.25">
      <c r="L69">
        <v>65</v>
      </c>
      <c r="M69">
        <f t="shared" ref="M69:M79" si="23">L69*$D$5</f>
        <v>32.5</v>
      </c>
      <c r="N69">
        <f t="shared" si="22"/>
        <v>5429.0358507840247</v>
      </c>
      <c r="O69">
        <f t="shared" si="15"/>
        <v>-15080.031956758507</v>
      </c>
      <c r="P69">
        <f t="shared" si="16"/>
        <v>-9455.6128447797983</v>
      </c>
      <c r="Q69">
        <f t="shared" si="21"/>
        <v>-8733.4165472101777</v>
      </c>
      <c r="R69">
        <f t="shared" ref="R69:R132" si="24">SUM(W69:Y69)</f>
        <v>-18.961299533020565</v>
      </c>
      <c r="S69">
        <f t="shared" ref="S69:S132" si="25">SUM(Z69:AB69)</f>
        <v>2706.3998882321389</v>
      </c>
      <c r="T69">
        <f t="shared" ref="T69:T132" si="26">SQRT(($D$18-N69)^2 + ($E$18 - O69) ^2)</f>
        <v>24809.689228649764</v>
      </c>
      <c r="U69">
        <f t="shared" ref="U69:U132" si="27">SQRT(($D$26-N69)^2 + ($E$26- O69) ^2)</f>
        <v>35716.156949656375</v>
      </c>
      <c r="V69">
        <f t="shared" ref="V69:V132" si="28">SQRT(($D$34-N69)^2 + ($E$34 - O69) ^2)</f>
        <v>10429.342927099533</v>
      </c>
      <c r="W69">
        <f t="shared" ref="W69:W132" si="29">$D$22*(($D$18-N69)/(T69^2+($D$23^2))^(3/2))</f>
        <v>1886.0089160673754</v>
      </c>
      <c r="X69">
        <f t="shared" ref="X69:X132" si="30">$D$30*(($D$26-N69)/(U69^2+($D$31^2))^(3/2))</f>
        <v>-94.727033430237256</v>
      </c>
      <c r="Y69">
        <f t="shared" ref="Y69:Y132" si="31">$D$38*(($D$34-N69)/(V69^2+($D$39^2))^(3/2))</f>
        <v>-1810.2431821701587</v>
      </c>
      <c r="Z69">
        <f t="shared" ref="Z69:Z132" si="32">$D$22*(($E$18-O69)/(T69^2+($D$23^2))^(3/2))</f>
        <v>2599.081221910913</v>
      </c>
      <c r="AA69">
        <f t="shared" ref="AA69:AA132" si="33">$D$30*(($E$26-O69)/(U69^2+($D$31^2))^(3/2))</f>
        <v>93.426940743647307</v>
      </c>
      <c r="AB69">
        <f t="shared" ref="AB69:AB132" si="34">$D$38*(($E$34-O69)/(V69^2+($D$39^2))^(3/2))</f>
        <v>13.891725577578871</v>
      </c>
    </row>
    <row r="70" spans="12:28" x14ac:dyDescent="0.25">
      <c r="L70">
        <v>66</v>
      </c>
      <c r="M70">
        <f t="shared" si="23"/>
        <v>33</v>
      </c>
      <c r="N70">
        <f t="shared" ref="N70:N133" si="35">(N69)+(P69)*(M70-M69)+((1/2*(R69))*((M70-M69)^2))</f>
        <v>698.85926595249794</v>
      </c>
      <c r="O70">
        <f t="shared" ref="O70:O133" si="36">(O69)+(Q69)*(M70-M69)+((1/2*(S69))*((M70-M69)^2))</f>
        <v>-19108.440244334579</v>
      </c>
      <c r="P70">
        <f t="shared" ref="P70:P133" si="37">P69+(R69*(M70-M69))</f>
        <v>-9465.0934945463086</v>
      </c>
      <c r="Q70">
        <f t="shared" ref="Q70:Q133" si="38">Q69+(S69*(M70-M69))</f>
        <v>-7380.216603094108</v>
      </c>
      <c r="R70">
        <f t="shared" si="24"/>
        <v>-88.679727582201849</v>
      </c>
      <c r="S70">
        <f t="shared" si="25"/>
        <v>3314.3976380186987</v>
      </c>
      <c r="T70">
        <f t="shared" si="26"/>
        <v>30882.858103649651</v>
      </c>
      <c r="U70">
        <f t="shared" si="27"/>
        <v>35717.559664256245</v>
      </c>
      <c r="V70">
        <f t="shared" si="28"/>
        <v>7025.4023496452237</v>
      </c>
      <c r="W70">
        <f t="shared" si="29"/>
        <v>1623.1678695504693</v>
      </c>
      <c r="X70">
        <f t="shared" si="30"/>
        <v>-77.097656758754013</v>
      </c>
      <c r="Y70">
        <f t="shared" si="31"/>
        <v>-1634.7499403739171</v>
      </c>
      <c r="Z70">
        <f t="shared" si="32"/>
        <v>2027.4472959285688</v>
      </c>
      <c r="AA70">
        <f t="shared" si="33"/>
        <v>108.42107315700608</v>
      </c>
      <c r="AB70">
        <f t="shared" si="34"/>
        <v>1178.5292689331234</v>
      </c>
    </row>
    <row r="71" spans="12:28" x14ac:dyDescent="0.25">
      <c r="L71">
        <v>67</v>
      </c>
      <c r="M71">
        <f t="shared" si="23"/>
        <v>33.5</v>
      </c>
      <c r="N71">
        <f t="shared" si="35"/>
        <v>-4044.7724472684317</v>
      </c>
      <c r="O71">
        <f t="shared" si="36"/>
        <v>-22384.248841129294</v>
      </c>
      <c r="P71">
        <f t="shared" si="37"/>
        <v>-9509.43335833741</v>
      </c>
      <c r="Q71">
        <f t="shared" si="38"/>
        <v>-5723.0177840847591</v>
      </c>
      <c r="R71">
        <f t="shared" si="24"/>
        <v>1086.3824978482903</v>
      </c>
      <c r="S71">
        <f t="shared" si="25"/>
        <v>3708.8622584499003</v>
      </c>
      <c r="T71">
        <f t="shared" si="26"/>
        <v>36442.395182449385</v>
      </c>
      <c r="U71">
        <f t="shared" si="27"/>
        <v>36101.369215912411</v>
      </c>
      <c r="V71">
        <f t="shared" si="28"/>
        <v>7445.7766972436712</v>
      </c>
      <c r="W71">
        <f t="shared" si="29"/>
        <v>1402.0887844034592</v>
      </c>
      <c r="X71">
        <f t="shared" si="30"/>
        <v>-57.621147791958727</v>
      </c>
      <c r="Y71">
        <f t="shared" si="31"/>
        <v>-258.08513876321018</v>
      </c>
      <c r="Z71">
        <f t="shared" si="32"/>
        <v>1596.8189448938881</v>
      </c>
      <c r="AA71">
        <f t="shared" si="33"/>
        <v>116.95336731733501</v>
      </c>
      <c r="AB71">
        <f t="shared" si="34"/>
        <v>1995.0899462386772</v>
      </c>
    </row>
    <row r="72" spans="12:28" x14ac:dyDescent="0.25">
      <c r="L72">
        <v>68</v>
      </c>
      <c r="M72">
        <f t="shared" si="23"/>
        <v>34</v>
      </c>
      <c r="N72">
        <f t="shared" si="35"/>
        <v>-8663.6913142061003</v>
      </c>
      <c r="O72">
        <f t="shared" si="36"/>
        <v>-24782.149950865438</v>
      </c>
      <c r="P72">
        <f t="shared" si="37"/>
        <v>-8966.2421094132642</v>
      </c>
      <c r="Q72">
        <f t="shared" si="38"/>
        <v>-3868.5866548598087</v>
      </c>
      <c r="R72">
        <f t="shared" si="24"/>
        <v>1835.0102109303634</v>
      </c>
      <c r="S72">
        <f t="shared" si="25"/>
        <v>3103.1084083231158</v>
      </c>
      <c r="T72">
        <f t="shared" si="26"/>
        <v>41335.017303152643</v>
      </c>
      <c r="U72">
        <f t="shared" si="27"/>
        <v>36582.917459165212</v>
      </c>
      <c r="V72">
        <f t="shared" si="28"/>
        <v>10445.721215263497</v>
      </c>
      <c r="W72">
        <f t="shared" si="29"/>
        <v>1240.0365146844015</v>
      </c>
      <c r="X72">
        <f t="shared" si="30"/>
        <v>-39.400723882045078</v>
      </c>
      <c r="Y72">
        <f t="shared" si="31"/>
        <v>634.37442012800693</v>
      </c>
      <c r="Z72">
        <f t="shared" si="32"/>
        <v>1288.4228001219067</v>
      </c>
      <c r="AA72">
        <f t="shared" si="33"/>
        <v>120.88960562226985</v>
      </c>
      <c r="AB72">
        <f t="shared" si="34"/>
        <v>1693.7960025789394</v>
      </c>
    </row>
    <row r="73" spans="12:28" x14ac:dyDescent="0.25">
      <c r="L73">
        <v>69</v>
      </c>
      <c r="M73">
        <f t="shared" si="23"/>
        <v>34.5</v>
      </c>
      <c r="N73">
        <f t="shared" si="35"/>
        <v>-12917.436092546435</v>
      </c>
      <c r="O73">
        <f t="shared" si="36"/>
        <v>-26328.554727254952</v>
      </c>
      <c r="P73">
        <f t="shared" si="37"/>
        <v>-8048.7370039480829</v>
      </c>
      <c r="Q73">
        <f t="shared" si="38"/>
        <v>-2317.0324506982506</v>
      </c>
      <c r="R73">
        <f t="shared" si="24"/>
        <v>1937.8433078474354</v>
      </c>
      <c r="S73">
        <f t="shared" si="25"/>
        <v>2389.0834699795328</v>
      </c>
      <c r="T73">
        <f t="shared" si="26"/>
        <v>45442.666517332444</v>
      </c>
      <c r="U73">
        <f t="shared" si="27"/>
        <v>37012.519504544973</v>
      </c>
      <c r="V73">
        <f t="shared" si="28"/>
        <v>13821.068934346848</v>
      </c>
      <c r="W73">
        <f t="shared" si="29"/>
        <v>1126.6258892780168</v>
      </c>
      <c r="X73">
        <f t="shared" si="30"/>
        <v>-23.798158286944354</v>
      </c>
      <c r="Y73">
        <f t="shared" si="31"/>
        <v>835.01557685636305</v>
      </c>
      <c r="Z73">
        <f t="shared" si="32"/>
        <v>1072.2451387208941</v>
      </c>
      <c r="AA73">
        <f t="shared" si="33"/>
        <v>122.06775781088173</v>
      </c>
      <c r="AB73">
        <f t="shared" si="34"/>
        <v>1194.770573447757</v>
      </c>
    </row>
    <row r="74" spans="12:28" x14ac:dyDescent="0.25">
      <c r="L74">
        <v>70</v>
      </c>
      <c r="M74">
        <f t="shared" si="23"/>
        <v>35</v>
      </c>
      <c r="N74">
        <f t="shared" si="35"/>
        <v>-16699.574181039545</v>
      </c>
      <c r="O74">
        <f t="shared" si="36"/>
        <v>-27188.435518856637</v>
      </c>
      <c r="P74">
        <f t="shared" si="37"/>
        <v>-7079.8153500243652</v>
      </c>
      <c r="Q74">
        <f t="shared" si="38"/>
        <v>-1122.4907157084842</v>
      </c>
      <c r="R74">
        <f t="shared" si="24"/>
        <v>1845.8282873052426</v>
      </c>
      <c r="S74">
        <f t="shared" si="25"/>
        <v>1883.6175801634945</v>
      </c>
      <c r="T74">
        <f t="shared" si="26"/>
        <v>48815.51112322</v>
      </c>
      <c r="U74">
        <f t="shared" si="27"/>
        <v>37334.602541430904</v>
      </c>
      <c r="V74">
        <f t="shared" si="28"/>
        <v>16894.91037013731</v>
      </c>
      <c r="W74">
        <f t="shared" si="29"/>
        <v>1047.1057952334995</v>
      </c>
      <c r="X74">
        <f t="shared" si="30"/>
        <v>-10.814856538395523</v>
      </c>
      <c r="Y74">
        <f t="shared" si="31"/>
        <v>809.53734861013879</v>
      </c>
      <c r="Z74">
        <f t="shared" si="32"/>
        <v>918.39478041431312</v>
      </c>
      <c r="AA74">
        <f t="shared" si="33"/>
        <v>121.85930455194574</v>
      </c>
      <c r="AB74">
        <f t="shared" si="34"/>
        <v>843.36349519723547</v>
      </c>
    </row>
    <row r="75" spans="12:28" x14ac:dyDescent="0.25">
      <c r="L75">
        <v>71</v>
      </c>
      <c r="M75">
        <f t="shared" si="23"/>
        <v>35.5</v>
      </c>
      <c r="N75">
        <f t="shared" si="35"/>
        <v>-20008.75332013857</v>
      </c>
      <c r="O75">
        <f t="shared" si="36"/>
        <v>-27514.228679190441</v>
      </c>
      <c r="P75">
        <f t="shared" si="37"/>
        <v>-6156.9012063717437</v>
      </c>
      <c r="Q75">
        <f t="shared" si="38"/>
        <v>-180.68192562673698</v>
      </c>
      <c r="R75">
        <f t="shared" si="24"/>
        <v>1734.0543612248907</v>
      </c>
      <c r="S75">
        <f t="shared" si="25"/>
        <v>1546.1220062722812</v>
      </c>
      <c r="T75">
        <f t="shared" si="26"/>
        <v>51554.586690559248</v>
      </c>
      <c r="U75">
        <f t="shared" si="27"/>
        <v>37514.229700411124</v>
      </c>
      <c r="V75">
        <f t="shared" si="28"/>
        <v>19541.458381089244</v>
      </c>
      <c r="W75">
        <f t="shared" si="29"/>
        <v>991.0919499080245</v>
      </c>
      <c r="X75">
        <f t="shared" si="30"/>
        <v>2.8286647836165843E-2</v>
      </c>
      <c r="Y75">
        <f t="shared" si="31"/>
        <v>742.93412466903021</v>
      </c>
      <c r="Z75">
        <f t="shared" si="32"/>
        <v>805.43850100907514</v>
      </c>
      <c r="AA75">
        <f t="shared" si="33"/>
        <v>121.22848915553993</v>
      </c>
      <c r="AB75">
        <f t="shared" si="34"/>
        <v>619.4550161076661</v>
      </c>
    </row>
    <row r="76" spans="12:28" x14ac:dyDescent="0.25">
      <c r="L76">
        <v>72</v>
      </c>
      <c r="M76">
        <f t="shared" si="23"/>
        <v>36</v>
      </c>
      <c r="N76">
        <f t="shared" si="35"/>
        <v>-22870.44712817133</v>
      </c>
      <c r="O76">
        <f t="shared" si="36"/>
        <v>-27411.304391219772</v>
      </c>
      <c r="P76">
        <f t="shared" si="37"/>
        <v>-5289.8740257592981</v>
      </c>
      <c r="Q76">
        <f t="shared" si="38"/>
        <v>592.3790775094036</v>
      </c>
      <c r="R76">
        <f t="shared" si="24"/>
        <v>1643.0588632825802</v>
      </c>
      <c r="S76">
        <f t="shared" si="25"/>
        <v>1314.1010096314017</v>
      </c>
      <c r="T76">
        <f t="shared" si="26"/>
        <v>53743.538116778618</v>
      </c>
      <c r="U76">
        <f t="shared" si="27"/>
        <v>37521.262811479668</v>
      </c>
      <c r="V76">
        <f t="shared" si="28"/>
        <v>21757.604584426983</v>
      </c>
      <c r="W76">
        <f t="shared" si="29"/>
        <v>952.30491187405062</v>
      </c>
      <c r="X76">
        <f t="shared" si="30"/>
        <v>9.2709064694109085</v>
      </c>
      <c r="Y76">
        <f t="shared" si="31"/>
        <v>681.48304493911883</v>
      </c>
      <c r="Z76">
        <f t="shared" si="32"/>
        <v>719.97019951119319</v>
      </c>
      <c r="AA76">
        <f t="shared" si="33"/>
        <v>120.83020115776134</v>
      </c>
      <c r="AB76">
        <f t="shared" si="34"/>
        <v>473.3006089624472</v>
      </c>
    </row>
    <row r="77" spans="12:28" x14ac:dyDescent="0.25">
      <c r="L77">
        <v>73</v>
      </c>
      <c r="M77">
        <f t="shared" si="23"/>
        <v>36.5</v>
      </c>
      <c r="N77">
        <f t="shared" si="35"/>
        <v>-25310.001783140655</v>
      </c>
      <c r="O77">
        <f t="shared" si="36"/>
        <v>-26950.852226261144</v>
      </c>
      <c r="P77">
        <f t="shared" si="37"/>
        <v>-4468.344594118008</v>
      </c>
      <c r="Q77">
        <f t="shared" si="38"/>
        <v>1249.4295823251045</v>
      </c>
      <c r="R77">
        <f t="shared" si="24"/>
        <v>1578.287702568666</v>
      </c>
      <c r="S77">
        <f t="shared" si="25"/>
        <v>1147.7910230579269</v>
      </c>
      <c r="T77">
        <f t="shared" si="26"/>
        <v>55442.341396919612</v>
      </c>
      <c r="U77">
        <f t="shared" si="27"/>
        <v>37330.437972034895</v>
      </c>
      <c r="V77">
        <f t="shared" si="28"/>
        <v>23565.208281810443</v>
      </c>
      <c r="W77">
        <f t="shared" si="29"/>
        <v>926.96960098511636</v>
      </c>
      <c r="X77">
        <f t="shared" si="30"/>
        <v>17.405474149141376</v>
      </c>
      <c r="Y77">
        <f t="shared" si="31"/>
        <v>633.91262743440825</v>
      </c>
      <c r="Z77">
        <f t="shared" si="32"/>
        <v>653.66293475477266</v>
      </c>
      <c r="AA77">
        <f t="shared" si="33"/>
        <v>121.11994109963095</v>
      </c>
      <c r="AB77">
        <f t="shared" si="34"/>
        <v>373.00814720352321</v>
      </c>
    </row>
    <row r="78" spans="12:28" x14ac:dyDescent="0.25">
      <c r="L78">
        <v>74</v>
      </c>
      <c r="M78">
        <f t="shared" si="23"/>
        <v>37</v>
      </c>
      <c r="N78">
        <f t="shared" si="35"/>
        <v>-27346.888117378578</v>
      </c>
      <c r="O78">
        <f t="shared" si="36"/>
        <v>-26182.663557216354</v>
      </c>
      <c r="P78">
        <f t="shared" si="37"/>
        <v>-3679.2007428336751</v>
      </c>
      <c r="Q78">
        <f t="shared" si="38"/>
        <v>1823.325093854068</v>
      </c>
      <c r="R78">
        <f t="shared" si="24"/>
        <v>1537.7676032184463</v>
      </c>
      <c r="S78">
        <f t="shared" si="25"/>
        <v>1023.9239567863403</v>
      </c>
      <c r="T78">
        <f t="shared" si="26"/>
        <v>56692.912439934793</v>
      </c>
      <c r="U78">
        <f t="shared" si="27"/>
        <v>36921.022563087157</v>
      </c>
      <c r="V78">
        <f t="shared" si="28"/>
        <v>24988.704903706606</v>
      </c>
      <c r="W78">
        <f t="shared" si="29"/>
        <v>912.81394797428425</v>
      </c>
      <c r="X78">
        <f t="shared" si="30"/>
        <v>24.86391028871569</v>
      </c>
      <c r="Y78">
        <f t="shared" si="31"/>
        <v>600.08974495544624</v>
      </c>
      <c r="Z78">
        <f t="shared" si="32"/>
        <v>601.17932480485149</v>
      </c>
      <c r="AA78">
        <f t="shared" si="33"/>
        <v>122.45218469645197</v>
      </c>
      <c r="AB78">
        <f t="shared" si="34"/>
        <v>300.29244728503693</v>
      </c>
    </row>
    <row r="79" spans="12:28" x14ac:dyDescent="0.25">
      <c r="L79">
        <v>75</v>
      </c>
      <c r="M79">
        <f t="shared" si="23"/>
        <v>37.5</v>
      </c>
      <c r="N79">
        <f t="shared" si="35"/>
        <v>-28994.267538393109</v>
      </c>
      <c r="O79">
        <f t="shared" si="36"/>
        <v>-25143.010515691029</v>
      </c>
      <c r="P79">
        <f t="shared" si="37"/>
        <v>-2910.316941224452</v>
      </c>
      <c r="Q79">
        <f t="shared" si="38"/>
        <v>2335.287072247238</v>
      </c>
      <c r="R79">
        <f t="shared" si="24"/>
        <v>1518.8368158291055</v>
      </c>
      <c r="S79">
        <f t="shared" si="25"/>
        <v>928.57301998474964</v>
      </c>
      <c r="T79">
        <f t="shared" si="26"/>
        <v>57524.249969666707</v>
      </c>
      <c r="U79">
        <f t="shared" si="27"/>
        <v>36275.722414007992</v>
      </c>
      <c r="V79">
        <f t="shared" si="28"/>
        <v>26050.058292169022</v>
      </c>
      <c r="W79">
        <f t="shared" si="29"/>
        <v>908.53512036329494</v>
      </c>
      <c r="X79">
        <f t="shared" si="30"/>
        <v>32.032726978115711</v>
      </c>
      <c r="Y79">
        <f t="shared" si="31"/>
        <v>578.26896848769491</v>
      </c>
      <c r="Z79">
        <f t="shared" si="32"/>
        <v>558.96301879653754</v>
      </c>
      <c r="AA79">
        <f t="shared" si="33"/>
        <v>125.16043760460559</v>
      </c>
      <c r="AB79">
        <f t="shared" si="34"/>
        <v>244.44956358360656</v>
      </c>
    </row>
    <row r="80" spans="12:28" x14ac:dyDescent="0.25">
      <c r="L80">
        <v>76</v>
      </c>
      <c r="M80">
        <f>L80*$D$5</f>
        <v>38</v>
      </c>
      <c r="N80">
        <f t="shared" si="35"/>
        <v>-30259.571407026699</v>
      </c>
      <c r="O80">
        <f t="shared" si="36"/>
        <v>-23859.295352069315</v>
      </c>
      <c r="P80">
        <f t="shared" si="37"/>
        <v>-2150.898533309899</v>
      </c>
      <c r="Q80">
        <f t="shared" si="38"/>
        <v>2799.5735822396127</v>
      </c>
      <c r="R80">
        <f t="shared" si="24"/>
        <v>1519.6448296383132</v>
      </c>
      <c r="S80">
        <f t="shared" si="25"/>
        <v>852.98671027875253</v>
      </c>
      <c r="T80">
        <f t="shared" si="26"/>
        <v>57955.87499327385</v>
      </c>
      <c r="U80">
        <f t="shared" si="27"/>
        <v>35379.523558048975</v>
      </c>
      <c r="V80">
        <f t="shared" si="28"/>
        <v>26768.135194702631</v>
      </c>
      <c r="W80">
        <f t="shared" si="29"/>
        <v>913.52218942820559</v>
      </c>
      <c r="X80">
        <f t="shared" si="30"/>
        <v>39.278138571315317</v>
      </c>
      <c r="Y80">
        <f t="shared" si="31"/>
        <v>566.84450163879239</v>
      </c>
      <c r="Z80">
        <f t="shared" si="32"/>
        <v>524.54897519662791</v>
      </c>
      <c r="AA80">
        <f t="shared" si="33"/>
        <v>129.62823123925165</v>
      </c>
      <c r="AB80">
        <f t="shared" si="34"/>
        <v>198.80950384287306</v>
      </c>
    </row>
    <row r="81" spans="12:28" x14ac:dyDescent="0.25">
      <c r="L81">
        <v>77</v>
      </c>
      <c r="M81">
        <f t="shared" ref="M81:M144" si="39">L81*$D$5</f>
        <v>38.5</v>
      </c>
      <c r="N81">
        <f t="shared" si="35"/>
        <v>-31145.065069976859</v>
      </c>
      <c r="O81">
        <f t="shared" si="36"/>
        <v>-22352.885222164663</v>
      </c>
      <c r="P81">
        <f t="shared" si="37"/>
        <v>-1391.0761184907424</v>
      </c>
      <c r="Q81">
        <f t="shared" si="38"/>
        <v>3226.0669373789888</v>
      </c>
      <c r="R81">
        <f t="shared" si="24"/>
        <v>1539.3895818285528</v>
      </c>
      <c r="S81">
        <f t="shared" si="25"/>
        <v>791.33216202943549</v>
      </c>
      <c r="T81">
        <f t="shared" si="26"/>
        <v>57999.982853351612</v>
      </c>
      <c r="U81">
        <f t="shared" si="27"/>
        <v>34218.732554151953</v>
      </c>
      <c r="V81">
        <f t="shared" si="28"/>
        <v>27159.332624415711</v>
      </c>
      <c r="W81">
        <f t="shared" si="29"/>
        <v>927.72287863183408</v>
      </c>
      <c r="X81">
        <f t="shared" si="30"/>
        <v>46.976151929932193</v>
      </c>
      <c r="Y81">
        <f t="shared" si="31"/>
        <v>564.69055126678643</v>
      </c>
      <c r="Z81">
        <f t="shared" si="32"/>
        <v>496.15534524148836</v>
      </c>
      <c r="AA81">
        <f t="shared" si="33"/>
        <v>136.36654806639194</v>
      </c>
      <c r="AB81">
        <f t="shared" si="34"/>
        <v>158.81026872155516</v>
      </c>
    </row>
    <row r="82" spans="12:28" x14ac:dyDescent="0.25">
      <c r="L82">
        <v>78</v>
      </c>
      <c r="M82">
        <f t="shared" si="39"/>
        <v>39</v>
      </c>
      <c r="N82">
        <f t="shared" si="35"/>
        <v>-31648.179431493663</v>
      </c>
      <c r="O82">
        <f t="shared" si="36"/>
        <v>-20640.935233221491</v>
      </c>
      <c r="P82">
        <f t="shared" si="37"/>
        <v>-621.38132757646599</v>
      </c>
      <c r="Q82">
        <f t="shared" si="38"/>
        <v>3621.7330183937065</v>
      </c>
      <c r="R82">
        <f t="shared" si="24"/>
        <v>1578.2867535241458</v>
      </c>
      <c r="S82">
        <f t="shared" si="25"/>
        <v>739.44539585251266</v>
      </c>
      <c r="T82">
        <f t="shared" si="26"/>
        <v>57662.74358909767</v>
      </c>
      <c r="U82">
        <f t="shared" si="27"/>
        <v>32780.283647868979</v>
      </c>
      <c r="V82">
        <f t="shared" si="28"/>
        <v>27238.678699938468</v>
      </c>
      <c r="W82">
        <f t="shared" si="29"/>
        <v>951.6025793879304</v>
      </c>
      <c r="X82">
        <f t="shared" si="30"/>
        <v>55.547424836319564</v>
      </c>
      <c r="Y82">
        <f t="shared" si="31"/>
        <v>571.13674929989577</v>
      </c>
      <c r="Z82">
        <f t="shared" si="32"/>
        <v>472.42672199543182</v>
      </c>
      <c r="AA82">
        <f t="shared" si="33"/>
        <v>146.11940490717987</v>
      </c>
      <c r="AB82">
        <f t="shared" si="34"/>
        <v>120.89926894990097</v>
      </c>
    </row>
    <row r="83" spans="12:28" x14ac:dyDescent="0.25">
      <c r="L83">
        <v>79</v>
      </c>
      <c r="M83">
        <f t="shared" si="39"/>
        <v>39.5</v>
      </c>
      <c r="N83">
        <f t="shared" si="35"/>
        <v>-31761.584251091379</v>
      </c>
      <c r="O83">
        <f t="shared" si="36"/>
        <v>-18737.638049543071</v>
      </c>
      <c r="P83">
        <f t="shared" si="37"/>
        <v>167.76204918560688</v>
      </c>
      <c r="Q83">
        <f t="shared" si="38"/>
        <v>3991.4557163199629</v>
      </c>
      <c r="R83">
        <f t="shared" si="24"/>
        <v>1637.5063468079857</v>
      </c>
      <c r="S83">
        <f t="shared" si="25"/>
        <v>694.10899988790175</v>
      </c>
      <c r="T83">
        <f t="shared" si="26"/>
        <v>56945.035467140995</v>
      </c>
      <c r="U83">
        <f t="shared" si="27"/>
        <v>31051.355924694602</v>
      </c>
      <c r="V83">
        <f t="shared" si="28"/>
        <v>27021.331014915868</v>
      </c>
      <c r="W83">
        <f t="shared" si="29"/>
        <v>986.17600762424684</v>
      </c>
      <c r="X83">
        <f t="shared" si="30"/>
        <v>65.497442584932585</v>
      </c>
      <c r="Y83">
        <f t="shared" si="31"/>
        <v>585.8328965988062</v>
      </c>
      <c r="Z83">
        <f t="shared" si="32"/>
        <v>452.25604008892401</v>
      </c>
      <c r="AA83">
        <f t="shared" si="33"/>
        <v>160.03301579052709</v>
      </c>
      <c r="AB83">
        <f t="shared" si="34"/>
        <v>81.819944008450591</v>
      </c>
    </row>
    <row r="84" spans="12:28" x14ac:dyDescent="0.25">
      <c r="L84">
        <v>80</v>
      </c>
      <c r="M84">
        <f t="shared" si="39"/>
        <v>40</v>
      </c>
      <c r="N84">
        <f t="shared" si="35"/>
        <v>-31473.014933147577</v>
      </c>
      <c r="O84">
        <f t="shared" si="36"/>
        <v>-16655.146566397103</v>
      </c>
      <c r="P84">
        <f t="shared" si="37"/>
        <v>986.51522258959972</v>
      </c>
      <c r="Q84">
        <f t="shared" si="38"/>
        <v>4338.5102162639141</v>
      </c>
      <c r="R84">
        <f t="shared" si="24"/>
        <v>1719.0883942026242</v>
      </c>
      <c r="S84">
        <f t="shared" si="25"/>
        <v>652.64025408646171</v>
      </c>
      <c r="T84">
        <f t="shared" si="26"/>
        <v>55842.785022956843</v>
      </c>
      <c r="U84">
        <f t="shared" si="27"/>
        <v>29019.422980692405</v>
      </c>
      <c r="V84">
        <f t="shared" si="28"/>
        <v>26524.706026776443</v>
      </c>
      <c r="W84">
        <f t="shared" si="29"/>
        <v>1033.111789215666</v>
      </c>
      <c r="X84">
        <f t="shared" si="30"/>
        <v>77.457051903427526</v>
      </c>
      <c r="Y84">
        <f t="shared" si="31"/>
        <v>608.51955308353058</v>
      </c>
      <c r="Z84">
        <f t="shared" si="32"/>
        <v>434.63914526853881</v>
      </c>
      <c r="AA84">
        <f t="shared" si="33"/>
        <v>179.95523261473394</v>
      </c>
      <c r="AB84">
        <f t="shared" si="34"/>
        <v>38.045876203188953</v>
      </c>
    </row>
    <row r="85" spans="12:28" x14ac:dyDescent="0.25">
      <c r="L85">
        <v>81</v>
      </c>
      <c r="M85">
        <f t="shared" si="39"/>
        <v>40.5</v>
      </c>
      <c r="N85">
        <f t="shared" si="35"/>
        <v>-30764.871272577449</v>
      </c>
      <c r="O85">
        <f t="shared" si="36"/>
        <v>-14404.311426504337</v>
      </c>
      <c r="P85">
        <f t="shared" si="37"/>
        <v>1846.0594196909119</v>
      </c>
      <c r="Q85">
        <f t="shared" si="38"/>
        <v>4664.8303433071451</v>
      </c>
      <c r="R85">
        <f t="shared" si="24"/>
        <v>1825.7206890872753</v>
      </c>
      <c r="S85">
        <f t="shared" si="25"/>
        <v>612.76130530778846</v>
      </c>
      <c r="T85">
        <f t="shared" si="26"/>
        <v>54347.028044393803</v>
      </c>
      <c r="U85">
        <f t="shared" si="27"/>
        <v>26673.073870796619</v>
      </c>
      <c r="V85">
        <f t="shared" si="28"/>
        <v>25771.756567395249</v>
      </c>
      <c r="W85">
        <f t="shared" si="29"/>
        <v>1094.9268671089931</v>
      </c>
      <c r="X85">
        <f t="shared" si="30"/>
        <v>92.191977055570177</v>
      </c>
      <c r="Y85">
        <f t="shared" si="31"/>
        <v>638.6018449227123</v>
      </c>
      <c r="Z85">
        <f t="shared" si="32"/>
        <v>418.52370322283502</v>
      </c>
      <c r="AA85">
        <f t="shared" si="33"/>
        <v>209.00219446382513</v>
      </c>
      <c r="AB85">
        <f t="shared" si="34"/>
        <v>-14.76459237887177</v>
      </c>
    </row>
    <row r="86" spans="12:28" x14ac:dyDescent="0.25">
      <c r="L86">
        <v>82</v>
      </c>
      <c r="M86">
        <f t="shared" si="39"/>
        <v>41</v>
      </c>
      <c r="N86">
        <f t="shared" si="35"/>
        <v>-29613.626476596084</v>
      </c>
      <c r="O86">
        <f t="shared" si="36"/>
        <v>-11995.30109168729</v>
      </c>
      <c r="P86">
        <f t="shared" si="37"/>
        <v>2758.9197642345498</v>
      </c>
      <c r="Q86">
        <f t="shared" si="38"/>
        <v>4971.2109959610389</v>
      </c>
      <c r="R86">
        <f t="shared" si="24"/>
        <v>1960.0337794163686</v>
      </c>
      <c r="S86">
        <f t="shared" si="25"/>
        <v>572.97596409665152</v>
      </c>
      <c r="T86">
        <f t="shared" si="26"/>
        <v>52443.80031382454</v>
      </c>
      <c r="U86">
        <f t="shared" si="27"/>
        <v>24004.480501470745</v>
      </c>
      <c r="V86">
        <f t="shared" si="28"/>
        <v>24796.346986179382</v>
      </c>
      <c r="W86">
        <f t="shared" si="29"/>
        <v>1175.3059093683567</v>
      </c>
      <c r="X86">
        <f t="shared" si="30"/>
        <v>110.44239487795117</v>
      </c>
      <c r="Y86">
        <f t="shared" si="31"/>
        <v>674.28547517006086</v>
      </c>
      <c r="Z86">
        <f t="shared" si="32"/>
        <v>402.60467180275725</v>
      </c>
      <c r="AA86">
        <f t="shared" si="33"/>
        <v>252.68443022426169</v>
      </c>
      <c r="AB86">
        <f t="shared" si="34"/>
        <v>-82.313137930367489</v>
      </c>
    </row>
    <row r="87" spans="12:28" x14ac:dyDescent="0.25">
      <c r="L87">
        <v>83</v>
      </c>
      <c r="M87">
        <f t="shared" si="39"/>
        <v>41.5</v>
      </c>
      <c r="N87">
        <f t="shared" si="35"/>
        <v>-27989.162372051764</v>
      </c>
      <c r="O87">
        <f t="shared" si="36"/>
        <v>-9438.0735981946891</v>
      </c>
      <c r="P87">
        <f t="shared" si="37"/>
        <v>3738.9366539427342</v>
      </c>
      <c r="Q87">
        <f t="shared" si="38"/>
        <v>5257.6989780093645</v>
      </c>
      <c r="R87">
        <f t="shared" si="24"/>
        <v>2122.4391872746537</v>
      </c>
      <c r="S87">
        <f t="shared" si="25"/>
        <v>534.20226955395458</v>
      </c>
      <c r="T87">
        <f t="shared" si="26"/>
        <v>50114.046677533792</v>
      </c>
      <c r="U87">
        <f t="shared" si="27"/>
        <v>21015.837376032421</v>
      </c>
      <c r="V87">
        <f t="shared" si="28"/>
        <v>23652.412390021862</v>
      </c>
      <c r="W87">
        <f t="shared" si="29"/>
        <v>1279.6022871433154</v>
      </c>
      <c r="X87">
        <f t="shared" si="30"/>
        <v>132.01272980428527</v>
      </c>
      <c r="Y87">
        <f t="shared" si="31"/>
        <v>710.82417032705291</v>
      </c>
      <c r="Z87">
        <f t="shared" si="32"/>
        <v>384.98258950552184</v>
      </c>
      <c r="AA87">
        <f t="shared" si="33"/>
        <v>321.19426772587576</v>
      </c>
      <c r="AB87">
        <f t="shared" si="34"/>
        <v>-171.97458767744308</v>
      </c>
    </row>
    <row r="88" spans="12:28" x14ac:dyDescent="0.25">
      <c r="L88">
        <v>84</v>
      </c>
      <c r="M88">
        <f t="shared" si="39"/>
        <v>42</v>
      </c>
      <c r="N88">
        <f t="shared" si="35"/>
        <v>-25854.389146671063</v>
      </c>
      <c r="O88">
        <f t="shared" si="36"/>
        <v>-6742.4488254957623</v>
      </c>
      <c r="P88">
        <f t="shared" si="37"/>
        <v>4800.1562475800611</v>
      </c>
      <c r="Q88">
        <f t="shared" si="38"/>
        <v>5524.8001127863417</v>
      </c>
      <c r="R88">
        <f t="shared" si="24"/>
        <v>2304.5087526366751</v>
      </c>
      <c r="S88">
        <f t="shared" si="25"/>
        <v>504.29569006954108</v>
      </c>
      <c r="T88">
        <f t="shared" si="26"/>
        <v>47334.026961940726</v>
      </c>
      <c r="U88">
        <f t="shared" si="27"/>
        <v>17736.50092196892</v>
      </c>
      <c r="V88">
        <f t="shared" si="28"/>
        <v>22429.727998358521</v>
      </c>
      <c r="W88">
        <f t="shared" si="29"/>
        <v>1415.5909256856107</v>
      </c>
      <c r="X88">
        <f t="shared" si="30"/>
        <v>151.65898431822527</v>
      </c>
      <c r="Y88">
        <f t="shared" si="31"/>
        <v>737.25884263283922</v>
      </c>
      <c r="Z88">
        <f t="shared" si="32"/>
        <v>362.50627937775545</v>
      </c>
      <c r="AA88">
        <f t="shared" si="33"/>
        <v>433.71609236436984</v>
      </c>
      <c r="AB88">
        <f t="shared" si="34"/>
        <v>-291.92668167258415</v>
      </c>
    </row>
    <row r="89" spans="12:28" x14ac:dyDescent="0.25">
      <c r="L89">
        <v>85</v>
      </c>
      <c r="M89">
        <f t="shared" si="39"/>
        <v>42.5</v>
      </c>
      <c r="N89">
        <f t="shared" si="35"/>
        <v>-23166.247428801449</v>
      </c>
      <c r="O89">
        <f t="shared" si="36"/>
        <v>-3917.0118078438986</v>
      </c>
      <c r="P89">
        <f t="shared" si="37"/>
        <v>5952.4106238983986</v>
      </c>
      <c r="Q89">
        <f t="shared" si="38"/>
        <v>5776.9479578211121</v>
      </c>
      <c r="R89">
        <f t="shared" si="24"/>
        <v>2467.7740406848216</v>
      </c>
      <c r="S89">
        <f t="shared" si="25"/>
        <v>505.12166781200546</v>
      </c>
      <c r="T89">
        <f t="shared" si="26"/>
        <v>44077.636241814682</v>
      </c>
      <c r="U89">
        <f t="shared" si="27"/>
        <v>14272.643078282954</v>
      </c>
      <c r="V89">
        <f t="shared" si="28"/>
        <v>21280.159137372699</v>
      </c>
      <c r="W89">
        <f t="shared" si="29"/>
        <v>1594.4815971964254</v>
      </c>
      <c r="X89">
        <f t="shared" si="30"/>
        <v>141.54946391605753</v>
      </c>
      <c r="Y89">
        <f t="shared" si="31"/>
        <v>731.74297957233898</v>
      </c>
      <c r="Z89">
        <f t="shared" si="32"/>
        <v>329.37797646278057</v>
      </c>
      <c r="AA89">
        <f t="shared" si="33"/>
        <v>622.17044151203606</v>
      </c>
      <c r="AB89">
        <f t="shared" si="34"/>
        <v>-446.42675016281117</v>
      </c>
    </row>
    <row r="90" spans="12:28" x14ac:dyDescent="0.25">
      <c r="L90">
        <v>86</v>
      </c>
      <c r="M90">
        <f t="shared" si="39"/>
        <v>43</v>
      </c>
      <c r="N90">
        <f t="shared" si="35"/>
        <v>-19881.570361766648</v>
      </c>
      <c r="O90">
        <f t="shared" si="36"/>
        <v>-965.39762045684188</v>
      </c>
      <c r="P90">
        <f t="shared" si="37"/>
        <v>7186.2976442408089</v>
      </c>
      <c r="Q90">
        <f t="shared" si="38"/>
        <v>6029.5087917271148</v>
      </c>
      <c r="R90">
        <f t="shared" si="24"/>
        <v>2482.1715309106403</v>
      </c>
      <c r="S90">
        <f t="shared" si="25"/>
        <v>545.80624807475294</v>
      </c>
      <c r="T90">
        <f t="shared" si="26"/>
        <v>40325.247963164416</v>
      </c>
      <c r="U90">
        <f t="shared" si="27"/>
        <v>10966.03713991215</v>
      </c>
      <c r="V90">
        <f t="shared" si="28"/>
        <v>20455.590932165465</v>
      </c>
      <c r="W90">
        <f t="shared" si="29"/>
        <v>1831.7293600132525</v>
      </c>
      <c r="X90">
        <f t="shared" si="30"/>
        <v>-9.6592820257454814</v>
      </c>
      <c r="Y90">
        <f t="shared" si="31"/>
        <v>660.10145292313337</v>
      </c>
      <c r="Z90">
        <f t="shared" si="32"/>
        <v>273.98605086071024</v>
      </c>
      <c r="AA90">
        <f t="shared" si="33"/>
        <v>894.35271204435981</v>
      </c>
      <c r="AB90">
        <f t="shared" si="34"/>
        <v>-622.53251483031715</v>
      </c>
    </row>
    <row r="91" spans="12:28" x14ac:dyDescent="0.25">
      <c r="L91">
        <v>87</v>
      </c>
      <c r="M91">
        <f t="shared" si="39"/>
        <v>43.5</v>
      </c>
      <c r="N91">
        <f t="shared" si="35"/>
        <v>-15978.150098282413</v>
      </c>
      <c r="O91">
        <f t="shared" si="36"/>
        <v>2117.5825564160596</v>
      </c>
      <c r="P91">
        <f t="shared" si="37"/>
        <v>8427.3834096961291</v>
      </c>
      <c r="Q91">
        <f t="shared" si="38"/>
        <v>6302.4119157644909</v>
      </c>
      <c r="R91">
        <f t="shared" si="24"/>
        <v>2135.9939518685428</v>
      </c>
      <c r="S91">
        <f t="shared" si="25"/>
        <v>387.19295042818726</v>
      </c>
      <c r="T91">
        <f t="shared" si="26"/>
        <v>36093.428970016357</v>
      </c>
      <c r="U91">
        <f t="shared" si="27"/>
        <v>8849.1684008646916</v>
      </c>
      <c r="V91">
        <f t="shared" si="28"/>
        <v>20335.471771172106</v>
      </c>
      <c r="W91">
        <f t="shared" si="29"/>
        <v>2144.8978244254499</v>
      </c>
      <c r="X91">
        <f t="shared" si="30"/>
        <v>-502.84736211679564</v>
      </c>
      <c r="Y91">
        <f t="shared" si="31"/>
        <v>493.94348955988852</v>
      </c>
      <c r="Z91">
        <f t="shared" si="32"/>
        <v>171.84015539821522</v>
      </c>
      <c r="AA91">
        <f t="shared" si="33"/>
        <v>985.52977248526031</v>
      </c>
      <c r="AB91">
        <f t="shared" si="34"/>
        <v>-770.17697745528835</v>
      </c>
    </row>
    <row r="92" spans="12:28" x14ac:dyDescent="0.25">
      <c r="L92">
        <v>88</v>
      </c>
      <c r="M92">
        <f t="shared" si="39"/>
        <v>44</v>
      </c>
      <c r="N92">
        <f t="shared" si="35"/>
        <v>-11497.45914945078</v>
      </c>
      <c r="O92">
        <f t="shared" si="36"/>
        <v>5317.1876331018284</v>
      </c>
      <c r="P92">
        <f t="shared" si="37"/>
        <v>9495.3803856304003</v>
      </c>
      <c r="Q92">
        <f t="shared" si="38"/>
        <v>6496.0083909785844</v>
      </c>
      <c r="R92">
        <f t="shared" si="24"/>
        <v>1909.1943768612091</v>
      </c>
      <c r="S92">
        <f t="shared" si="25"/>
        <v>-348.52320016842162</v>
      </c>
      <c r="T92">
        <f t="shared" si="26"/>
        <v>31499.05619008153</v>
      </c>
      <c r="U92">
        <f t="shared" si="27"/>
        <v>9706.798266103644</v>
      </c>
      <c r="V92">
        <f t="shared" si="28"/>
        <v>21330.848288744812</v>
      </c>
      <c r="W92">
        <f t="shared" si="29"/>
        <v>2539.8970442275468</v>
      </c>
      <c r="X92">
        <f t="shared" si="30"/>
        <v>-890.89634069481428</v>
      </c>
      <c r="Y92">
        <f t="shared" si="31"/>
        <v>260.19367332847651</v>
      </c>
      <c r="Z92">
        <f t="shared" si="32"/>
        <v>-25.577426038027362</v>
      </c>
      <c r="AA92">
        <f t="shared" si="33"/>
        <v>490.66514059271117</v>
      </c>
      <c r="AB92">
        <f t="shared" si="34"/>
        <v>-813.61091472310545</v>
      </c>
    </row>
    <row r="93" spans="12:28" x14ac:dyDescent="0.25">
      <c r="L93">
        <v>89</v>
      </c>
      <c r="M93">
        <f t="shared" si="39"/>
        <v>44.5</v>
      </c>
      <c r="N93">
        <f t="shared" si="35"/>
        <v>-6511.1196595279289</v>
      </c>
      <c r="O93">
        <f t="shared" si="36"/>
        <v>8521.6264285700672</v>
      </c>
      <c r="P93">
        <f t="shared" si="37"/>
        <v>10449.977574061006</v>
      </c>
      <c r="Q93">
        <f t="shared" si="38"/>
        <v>6321.7467908943736</v>
      </c>
      <c r="R93">
        <f t="shared" si="24"/>
        <v>2348.2923394205236</v>
      </c>
      <c r="S93">
        <f t="shared" si="25"/>
        <v>-1055.253626214226</v>
      </c>
      <c r="T93">
        <f t="shared" si="26"/>
        <v>26743.995930006633</v>
      </c>
      <c r="U93">
        <f t="shared" si="27"/>
        <v>13569.652952683664</v>
      </c>
      <c r="V93">
        <f t="shared" si="28"/>
        <v>23570.11651372597</v>
      </c>
      <c r="W93">
        <f t="shared" si="29"/>
        <v>2981.6962735441798</v>
      </c>
      <c r="X93">
        <f t="shared" si="30"/>
        <v>-680.54380140383705</v>
      </c>
      <c r="Y93">
        <f t="shared" si="31"/>
        <v>47.139867280180773</v>
      </c>
      <c r="Z93">
        <f t="shared" si="32"/>
        <v>-396.0760818001998</v>
      </c>
      <c r="AA93">
        <f t="shared" si="33"/>
        <v>74.587211451286635</v>
      </c>
      <c r="AB93">
        <f t="shared" si="34"/>
        <v>-733.76475586531285</v>
      </c>
    </row>
    <row r="94" spans="12:28" x14ac:dyDescent="0.25">
      <c r="L94">
        <v>90</v>
      </c>
      <c r="M94">
        <f t="shared" si="39"/>
        <v>45</v>
      </c>
      <c r="N94">
        <f t="shared" si="35"/>
        <v>-992.59433006986058</v>
      </c>
      <c r="O94">
        <f t="shared" si="36"/>
        <v>11550.593120740476</v>
      </c>
      <c r="P94">
        <f t="shared" si="37"/>
        <v>11624.123743771268</v>
      </c>
      <c r="Q94">
        <f t="shared" si="38"/>
        <v>5794.1199777872607</v>
      </c>
      <c r="R94">
        <f t="shared" si="24"/>
        <v>2851.5165912695443</v>
      </c>
      <c r="S94">
        <f t="shared" si="25"/>
        <v>-1668.8713656641585</v>
      </c>
      <c r="T94">
        <f t="shared" si="26"/>
        <v>21990.890999238152</v>
      </c>
      <c r="U94">
        <f t="shared" si="27"/>
        <v>19070.548217798569</v>
      </c>
      <c r="V94">
        <f t="shared" si="28"/>
        <v>26851.318315242916</v>
      </c>
      <c r="W94">
        <f t="shared" si="29"/>
        <v>3347.8939116180504</v>
      </c>
      <c r="X94">
        <f t="shared" si="30"/>
        <v>-407.17985470481074</v>
      </c>
      <c r="Y94">
        <f t="shared" si="31"/>
        <v>-89.197465643695708</v>
      </c>
      <c r="Z94">
        <f t="shared" si="32"/>
        <v>-1044.687020650922</v>
      </c>
      <c r="AA94">
        <f t="shared" si="33"/>
        <v>-33.217067735246928</v>
      </c>
      <c r="AB94">
        <f t="shared" si="34"/>
        <v>-590.96727727798964</v>
      </c>
    </row>
    <row r="95" spans="12:28" x14ac:dyDescent="0.25">
      <c r="L95">
        <v>91</v>
      </c>
      <c r="M95">
        <f t="shared" si="39"/>
        <v>45.5</v>
      </c>
      <c r="N95">
        <f t="shared" si="35"/>
        <v>5175.9071157244662</v>
      </c>
      <c r="O95">
        <f t="shared" si="36"/>
        <v>14239.044188926086</v>
      </c>
      <c r="P95">
        <f t="shared" si="37"/>
        <v>13049.88203940604</v>
      </c>
      <c r="Q95">
        <f t="shared" si="38"/>
        <v>4959.684294955181</v>
      </c>
      <c r="R95">
        <f t="shared" si="24"/>
        <v>2917.9664476875782</v>
      </c>
      <c r="S95">
        <f t="shared" si="25"/>
        <v>-2552.5458428307629</v>
      </c>
      <c r="T95">
        <f t="shared" si="26"/>
        <v>17467.503180665444</v>
      </c>
      <c r="U95">
        <f t="shared" si="27"/>
        <v>25530.29170877712</v>
      </c>
      <c r="V95">
        <f t="shared" si="28"/>
        <v>30959.179425653776</v>
      </c>
      <c r="W95">
        <f t="shared" si="29"/>
        <v>3316.4086379258247</v>
      </c>
      <c r="X95">
        <f t="shared" si="30"/>
        <v>-243.71970249976727</v>
      </c>
      <c r="Y95">
        <f t="shared" si="31"/>
        <v>-154.72248773847906</v>
      </c>
      <c r="Z95">
        <f t="shared" si="32"/>
        <v>-2066.9356427761136</v>
      </c>
      <c r="AA95">
        <f t="shared" si="33"/>
        <v>-41.036796960660503</v>
      </c>
      <c r="AB95">
        <f t="shared" si="34"/>
        <v>-444.57340309398899</v>
      </c>
    </row>
    <row r="96" spans="12:28" x14ac:dyDescent="0.25">
      <c r="L96">
        <v>92</v>
      </c>
      <c r="M96">
        <f t="shared" si="39"/>
        <v>46</v>
      </c>
      <c r="N96">
        <f t="shared" si="35"/>
        <v>12065.593941388433</v>
      </c>
      <c r="O96">
        <f t="shared" si="36"/>
        <v>16399.818106049832</v>
      </c>
      <c r="P96">
        <f t="shared" si="37"/>
        <v>14508.865263249829</v>
      </c>
      <c r="Q96">
        <f t="shared" si="38"/>
        <v>3683.4113735397996</v>
      </c>
      <c r="R96">
        <f t="shared" si="24"/>
        <v>1973.2170157057178</v>
      </c>
      <c r="S96">
        <f t="shared" si="25"/>
        <v>-3659.9518596056041</v>
      </c>
      <c r="T96">
        <f t="shared" si="26"/>
        <v>13889.227925048732</v>
      </c>
      <c r="U96">
        <f t="shared" si="27"/>
        <v>32698.011967159866</v>
      </c>
      <c r="V96">
        <f t="shared" si="28"/>
        <v>35737.698214425734</v>
      </c>
      <c r="W96">
        <f t="shared" si="29"/>
        <v>2302.0733237933541</v>
      </c>
      <c r="X96">
        <f t="shared" si="30"/>
        <v>-154.01964234071022</v>
      </c>
      <c r="Y96">
        <f t="shared" si="31"/>
        <v>-174.83666574692626</v>
      </c>
      <c r="Z96">
        <f t="shared" si="32"/>
        <v>-3307.5213146610836</v>
      </c>
      <c r="AA96">
        <f t="shared" si="33"/>
        <v>-30.740041726378703</v>
      </c>
      <c r="AB96">
        <f t="shared" si="34"/>
        <v>-321.69050321814183</v>
      </c>
    </row>
    <row r="97" spans="12:28" x14ac:dyDescent="0.25">
      <c r="L97">
        <v>93</v>
      </c>
      <c r="M97">
        <f t="shared" si="39"/>
        <v>46.5</v>
      </c>
      <c r="N97">
        <f t="shared" si="35"/>
        <v>19566.678699976561</v>
      </c>
      <c r="O97">
        <f t="shared" si="36"/>
        <v>17784.029810369029</v>
      </c>
      <c r="P97">
        <f t="shared" si="37"/>
        <v>15495.473771102688</v>
      </c>
      <c r="Q97">
        <f t="shared" si="38"/>
        <v>1853.4354437369975</v>
      </c>
      <c r="R97">
        <f t="shared" si="24"/>
        <v>-139.52370484841526</v>
      </c>
      <c r="S97">
        <f t="shared" si="25"/>
        <v>-4251.2978687577433</v>
      </c>
      <c r="T97">
        <f t="shared" si="26"/>
        <v>12791.371526988731</v>
      </c>
      <c r="U97">
        <f t="shared" si="27"/>
        <v>40325.093718873024</v>
      </c>
      <c r="V97">
        <f t="shared" si="28"/>
        <v>40967.234626650687</v>
      </c>
      <c r="W97">
        <f t="shared" si="29"/>
        <v>135.65006140060609</v>
      </c>
      <c r="X97">
        <f t="shared" si="30"/>
        <v>-103.64684905652659</v>
      </c>
      <c r="Y97">
        <f t="shared" si="31"/>
        <v>-171.52691719249478</v>
      </c>
      <c r="Z97">
        <f t="shared" si="32"/>
        <v>-4002.0059679271099</v>
      </c>
      <c r="AA97">
        <f t="shared" si="33"/>
        <v>-20.390646607578415</v>
      </c>
      <c r="AB97">
        <f t="shared" si="34"/>
        <v>-228.90125422305519</v>
      </c>
    </row>
    <row r="98" spans="12:28" x14ac:dyDescent="0.25">
      <c r="L98">
        <v>94</v>
      </c>
      <c r="M98">
        <f t="shared" si="39"/>
        <v>47</v>
      </c>
      <c r="N98">
        <f t="shared" si="35"/>
        <v>27296.975122421853</v>
      </c>
      <c r="O98">
        <f t="shared" si="36"/>
        <v>18179.335298642811</v>
      </c>
      <c r="P98">
        <f t="shared" si="37"/>
        <v>15425.71191867848</v>
      </c>
      <c r="Q98">
        <f t="shared" si="38"/>
        <v>-272.21349064187416</v>
      </c>
      <c r="R98">
        <f t="shared" si="24"/>
        <v>-2180.6286025178874</v>
      </c>
      <c r="S98">
        <f t="shared" si="25"/>
        <v>-3693.062171510865</v>
      </c>
      <c r="T98">
        <f t="shared" si="26"/>
        <v>15064.551929987689</v>
      </c>
      <c r="U98">
        <f t="shared" si="27"/>
        <v>47999.01438215805</v>
      </c>
      <c r="V98">
        <f t="shared" si="28"/>
        <v>46302.946913971908</v>
      </c>
      <c r="W98">
        <f t="shared" si="29"/>
        <v>-1947.1156721988918</v>
      </c>
      <c r="X98">
        <f t="shared" si="30"/>
        <v>-74.425097811391836</v>
      </c>
      <c r="Y98">
        <f t="shared" si="31"/>
        <v>-159.08783250760362</v>
      </c>
      <c r="Z98">
        <f t="shared" si="32"/>
        <v>-3516.7572697759742</v>
      </c>
      <c r="AA98">
        <f t="shared" si="33"/>
        <v>-12.870756069664059</v>
      </c>
      <c r="AB98">
        <f t="shared" si="34"/>
        <v>-163.43414566522705</v>
      </c>
    </row>
    <row r="99" spans="12:28" x14ac:dyDescent="0.25">
      <c r="L99">
        <v>95</v>
      </c>
      <c r="M99">
        <f t="shared" si="39"/>
        <v>47.5</v>
      </c>
      <c r="N99">
        <f t="shared" si="35"/>
        <v>34737.252506446355</v>
      </c>
      <c r="O99">
        <f t="shared" si="36"/>
        <v>17581.595781883017</v>
      </c>
      <c r="P99">
        <f t="shared" si="37"/>
        <v>14335.397617419536</v>
      </c>
      <c r="Q99">
        <f t="shared" si="38"/>
        <v>-2118.7445763973064</v>
      </c>
      <c r="R99">
        <f t="shared" si="24"/>
        <v>-3060.4566951197639</v>
      </c>
      <c r="S99">
        <f t="shared" si="25"/>
        <v>-2567.2104804202149</v>
      </c>
      <c r="T99">
        <f t="shared" si="26"/>
        <v>19377.387952390694</v>
      </c>
      <c r="U99">
        <f t="shared" si="27"/>
        <v>55259.817286653546</v>
      </c>
      <c r="V99">
        <f t="shared" si="28"/>
        <v>51386.862333237419</v>
      </c>
      <c r="W99">
        <f t="shared" si="29"/>
        <v>-2858.5551390799355</v>
      </c>
      <c r="X99">
        <f t="shared" si="30"/>
        <v>-56.882293773566772</v>
      </c>
      <c r="Y99">
        <f t="shared" si="31"/>
        <v>-145.01926226626188</v>
      </c>
      <c r="Z99">
        <f t="shared" si="32"/>
        <v>-2440.4267528425862</v>
      </c>
      <c r="AA99">
        <f t="shared" si="33"/>
        <v>-7.8787030548658903</v>
      </c>
      <c r="AB99">
        <f t="shared" si="34"/>
        <v>-118.90502452276289</v>
      </c>
    </row>
    <row r="100" spans="12:28" x14ac:dyDescent="0.25">
      <c r="L100">
        <v>96</v>
      </c>
      <c r="M100">
        <f t="shared" si="39"/>
        <v>48</v>
      </c>
      <c r="N100">
        <f t="shared" si="35"/>
        <v>41522.394228266152</v>
      </c>
      <c r="O100">
        <f t="shared" si="36"/>
        <v>16201.322183631837</v>
      </c>
      <c r="P100">
        <f t="shared" si="37"/>
        <v>12805.169269859654</v>
      </c>
      <c r="Q100">
        <f t="shared" si="38"/>
        <v>-3402.3498166074141</v>
      </c>
      <c r="R100">
        <f t="shared" si="24"/>
        <v>-3078.033979634743</v>
      </c>
      <c r="S100">
        <f t="shared" si="25"/>
        <v>-1602.581873702966</v>
      </c>
      <c r="T100">
        <f t="shared" si="26"/>
        <v>24262.791924641049</v>
      </c>
      <c r="U100">
        <f t="shared" si="27"/>
        <v>61834.144195609282</v>
      </c>
      <c r="V100">
        <f t="shared" si="28"/>
        <v>56016.566038423029</v>
      </c>
      <c r="W100">
        <f t="shared" si="29"/>
        <v>-2899.9702590958777</v>
      </c>
      <c r="X100">
        <f t="shared" si="30"/>
        <v>-45.850632005493871</v>
      </c>
      <c r="Y100">
        <f t="shared" si="31"/>
        <v>-132.21308853337146</v>
      </c>
      <c r="Z100">
        <f t="shared" si="32"/>
        <v>-1509.288457899421</v>
      </c>
      <c r="AA100">
        <f t="shared" si="33"/>
        <v>-4.6216429798594056</v>
      </c>
      <c r="AB100">
        <f t="shared" si="34"/>
        <v>-88.671772823685714</v>
      </c>
    </row>
    <row r="101" spans="12:28" x14ac:dyDescent="0.25">
      <c r="L101">
        <v>97</v>
      </c>
      <c r="M101">
        <f t="shared" si="39"/>
        <v>48.5</v>
      </c>
      <c r="N101">
        <f t="shared" si="35"/>
        <v>47540.224615741638</v>
      </c>
      <c r="O101">
        <f t="shared" si="36"/>
        <v>14299.82454111526</v>
      </c>
      <c r="P101">
        <f t="shared" si="37"/>
        <v>11266.152280042283</v>
      </c>
      <c r="Q101">
        <f t="shared" si="38"/>
        <v>-4203.6407534588971</v>
      </c>
      <c r="R101">
        <f t="shared" si="24"/>
        <v>-2786.0122722967653</v>
      </c>
      <c r="S101">
        <f t="shared" si="25"/>
        <v>-956.91557217109903</v>
      </c>
      <c r="T101">
        <f t="shared" si="26"/>
        <v>29068.035853511523</v>
      </c>
      <c r="U101">
        <f t="shared" si="27"/>
        <v>67676.956434440886</v>
      </c>
      <c r="V101">
        <f t="shared" si="28"/>
        <v>60157.750297137303</v>
      </c>
      <c r="W101">
        <f t="shared" si="29"/>
        <v>-2626.2003346038582</v>
      </c>
      <c r="X101">
        <f t="shared" si="30"/>
        <v>-38.51239144824018</v>
      </c>
      <c r="Y101">
        <f t="shared" si="31"/>
        <v>-121.29954624466717</v>
      </c>
      <c r="Z101">
        <f t="shared" si="32"/>
        <v>-886.81928569580657</v>
      </c>
      <c r="AA101">
        <f t="shared" si="33"/>
        <v>-2.4518207753722057</v>
      </c>
      <c r="AB101">
        <f t="shared" si="34"/>
        <v>-67.644465699920303</v>
      </c>
    </row>
    <row r="102" spans="12:28" x14ac:dyDescent="0.25">
      <c r="L102">
        <v>98</v>
      </c>
      <c r="M102">
        <f t="shared" si="39"/>
        <v>49</v>
      </c>
      <c r="N102">
        <f t="shared" si="35"/>
        <v>52825.049221725683</v>
      </c>
      <c r="O102">
        <f t="shared" si="36"/>
        <v>12078.389717864424</v>
      </c>
      <c r="P102">
        <f t="shared" si="37"/>
        <v>9873.1461438939004</v>
      </c>
      <c r="Q102">
        <f t="shared" si="38"/>
        <v>-4682.0985395444468</v>
      </c>
      <c r="R102">
        <f t="shared" si="24"/>
        <v>-2448.4668237420055</v>
      </c>
      <c r="S102">
        <f t="shared" si="25"/>
        <v>-550.08079406324578</v>
      </c>
      <c r="T102">
        <f t="shared" si="26"/>
        <v>33579.569047363948</v>
      </c>
      <c r="U102">
        <f t="shared" si="27"/>
        <v>72854.701275663014</v>
      </c>
      <c r="V102">
        <f t="shared" si="28"/>
        <v>63851.198165794383</v>
      </c>
      <c r="W102">
        <f t="shared" si="29"/>
        <v>-2302.9519119154866</v>
      </c>
      <c r="X102">
        <f t="shared" si="30"/>
        <v>-33.359111073547453</v>
      </c>
      <c r="Y102">
        <f t="shared" si="31"/>
        <v>-112.15580075297174</v>
      </c>
      <c r="Z102">
        <f t="shared" si="32"/>
        <v>-496.60827692680635</v>
      </c>
      <c r="AA102">
        <f t="shared" si="33"/>
        <v>-0.95205199575305333</v>
      </c>
      <c r="AB102">
        <f t="shared" si="34"/>
        <v>-52.520465140686433</v>
      </c>
    </row>
    <row r="103" spans="12:28" x14ac:dyDescent="0.25">
      <c r="L103">
        <v>99</v>
      </c>
      <c r="M103">
        <f t="shared" si="39"/>
        <v>49.5</v>
      </c>
      <c r="N103">
        <f t="shared" si="35"/>
        <v>57455.56394070488</v>
      </c>
      <c r="O103">
        <f t="shared" si="36"/>
        <v>9668.5803488342935</v>
      </c>
      <c r="P103">
        <f t="shared" si="37"/>
        <v>8648.9127320228981</v>
      </c>
      <c r="Q103">
        <f t="shared" si="38"/>
        <v>-4957.1389365760697</v>
      </c>
      <c r="R103">
        <f t="shared" si="24"/>
        <v>-2146.9287893791511</v>
      </c>
      <c r="S103">
        <f t="shared" si="25"/>
        <v>-292.03822255628899</v>
      </c>
      <c r="T103">
        <f t="shared" si="26"/>
        <v>37745.395912478562</v>
      </c>
      <c r="U103">
        <f t="shared" si="27"/>
        <v>77456.272982617767</v>
      </c>
      <c r="V103">
        <f t="shared" si="28"/>
        <v>67150.847526880621</v>
      </c>
      <c r="W103">
        <f t="shared" si="29"/>
        <v>-2012.8546608029687</v>
      </c>
      <c r="X103">
        <f t="shared" si="30"/>
        <v>-29.571721762558973</v>
      </c>
      <c r="Y103">
        <f t="shared" si="31"/>
        <v>-104.50240681362348</v>
      </c>
      <c r="Z103">
        <f t="shared" si="32"/>
        <v>-250.88859239606501</v>
      </c>
      <c r="AA103">
        <f t="shared" si="33"/>
        <v>0.12653254604691003</v>
      </c>
      <c r="AB103">
        <f t="shared" si="34"/>
        <v>-41.276162706270874</v>
      </c>
    </row>
    <row r="104" spans="12:28" x14ac:dyDescent="0.25">
      <c r="L104">
        <v>100</v>
      </c>
      <c r="M104">
        <f t="shared" si="39"/>
        <v>50</v>
      </c>
      <c r="N104">
        <f t="shared" si="35"/>
        <v>61511.654208043939</v>
      </c>
      <c r="O104">
        <f t="shared" si="36"/>
        <v>7153.5061027267229</v>
      </c>
      <c r="P104">
        <f t="shared" si="37"/>
        <v>7575.4483373333223</v>
      </c>
      <c r="Q104">
        <f t="shared" si="38"/>
        <v>-5103.1580478542146</v>
      </c>
      <c r="R104">
        <f t="shared" si="24"/>
        <v>-1896.2757501228355</v>
      </c>
      <c r="S104">
        <f t="shared" si="25"/>
        <v>-123.63491730832597</v>
      </c>
      <c r="T104">
        <f t="shared" si="26"/>
        <v>41567.475550274801</v>
      </c>
      <c r="U104">
        <f t="shared" si="27"/>
        <v>81561.340715065133</v>
      </c>
      <c r="V104">
        <f t="shared" si="28"/>
        <v>70104.051082187536</v>
      </c>
      <c r="W104">
        <f t="shared" si="29"/>
        <v>-1771.5181116379706</v>
      </c>
      <c r="X104">
        <f t="shared" si="30"/>
        <v>-26.685693606962673</v>
      </c>
      <c r="Y104">
        <f t="shared" si="31"/>
        <v>-98.071944877902126</v>
      </c>
      <c r="Z104">
        <f t="shared" si="32"/>
        <v>-91.901301870163522</v>
      </c>
      <c r="AA104">
        <f t="shared" si="33"/>
        <v>0.93189942879637466</v>
      </c>
      <c r="AB104">
        <f t="shared" si="34"/>
        <v>-32.665514866958816</v>
      </c>
    </row>
    <row r="105" spans="12:28" x14ac:dyDescent="0.25">
      <c r="L105">
        <v>101</v>
      </c>
      <c r="M105">
        <f t="shared" si="39"/>
        <v>50.5</v>
      </c>
      <c r="N105">
        <f t="shared" si="35"/>
        <v>65062.343907945244</v>
      </c>
      <c r="O105">
        <f t="shared" si="36"/>
        <v>4586.4727141360745</v>
      </c>
      <c r="P105">
        <f t="shared" si="37"/>
        <v>6627.3104622719047</v>
      </c>
      <c r="Q105">
        <f t="shared" si="38"/>
        <v>-5164.9755065083773</v>
      </c>
      <c r="R105">
        <f t="shared" si="24"/>
        <v>-1692.073294067967</v>
      </c>
      <c r="S105">
        <f t="shared" si="25"/>
        <v>-9.891357061425186</v>
      </c>
      <c r="T105">
        <f t="shared" si="26"/>
        <v>45064.241292782062</v>
      </c>
      <c r="U105">
        <f t="shared" si="27"/>
        <v>85234.433351717322</v>
      </c>
      <c r="V105">
        <f t="shared" si="28"/>
        <v>72748.621617572848</v>
      </c>
      <c r="W105">
        <f t="shared" si="29"/>
        <v>-1575.0064600466869</v>
      </c>
      <c r="X105">
        <f t="shared" si="30"/>
        <v>-24.423381439279101</v>
      </c>
      <c r="Y105">
        <f t="shared" si="31"/>
        <v>-92.643452582000819</v>
      </c>
      <c r="Z105">
        <f t="shared" si="32"/>
        <v>14.453490212843082</v>
      </c>
      <c r="AA105">
        <f t="shared" si="33"/>
        <v>1.5543498540045557</v>
      </c>
      <c r="AB105">
        <f t="shared" si="34"/>
        <v>-25.899197128272824</v>
      </c>
    </row>
    <row r="106" spans="12:28" x14ac:dyDescent="0.25">
      <c r="L106">
        <v>102</v>
      </c>
      <c r="M106">
        <f t="shared" si="39"/>
        <v>51</v>
      </c>
      <c r="N106">
        <f t="shared" si="35"/>
        <v>68164.489977322693</v>
      </c>
      <c r="O106">
        <f t="shared" si="36"/>
        <v>2002.7485412492076</v>
      </c>
      <c r="P106">
        <f t="shared" si="37"/>
        <v>5781.2738152379216</v>
      </c>
      <c r="Q106">
        <f t="shared" si="38"/>
        <v>-5169.9211850390902</v>
      </c>
      <c r="R106">
        <f t="shared" si="24"/>
        <v>-1525.981826952129</v>
      </c>
      <c r="S106">
        <f t="shared" si="25"/>
        <v>69.666096365889416</v>
      </c>
      <c r="T106">
        <f t="shared" si="26"/>
        <v>48257.658574392124</v>
      </c>
      <c r="U106">
        <f t="shared" si="27"/>
        <v>88526.455502611905</v>
      </c>
      <c r="V106">
        <f t="shared" si="28"/>
        <v>75114.153470559104</v>
      </c>
      <c r="W106">
        <f t="shared" si="29"/>
        <v>-1415.3297348465294</v>
      </c>
      <c r="X106">
        <f t="shared" si="30"/>
        <v>-22.610324260407204</v>
      </c>
      <c r="Y106">
        <f t="shared" si="31"/>
        <v>-88.041767845192396</v>
      </c>
      <c r="Z106">
        <f t="shared" si="32"/>
        <v>88.075242037846579</v>
      </c>
      <c r="AA106">
        <f t="shared" si="33"/>
        <v>2.0509441921671621</v>
      </c>
      <c r="AB106">
        <f t="shared" si="34"/>
        <v>-20.460089864124328</v>
      </c>
    </row>
    <row r="107" spans="12:28" x14ac:dyDescent="0.25">
      <c r="L107">
        <v>103</v>
      </c>
      <c r="M107">
        <f t="shared" si="39"/>
        <v>51.5</v>
      </c>
      <c r="N107">
        <f t="shared" si="35"/>
        <v>70864.379156572642</v>
      </c>
      <c r="O107">
        <f t="shared" si="36"/>
        <v>-573.50378922460129</v>
      </c>
      <c r="P107">
        <f t="shared" si="37"/>
        <v>5018.2829017618569</v>
      </c>
      <c r="Q107">
        <f t="shared" si="38"/>
        <v>-5135.0881368561459</v>
      </c>
      <c r="R107">
        <f t="shared" si="24"/>
        <v>-1390.1627674710248</v>
      </c>
      <c r="S107">
        <f t="shared" si="25"/>
        <v>127.25487944979838</v>
      </c>
      <c r="T107">
        <f t="shared" si="26"/>
        <v>51168.828513774701</v>
      </c>
      <c r="U107">
        <f t="shared" si="27"/>
        <v>91477.507519007864</v>
      </c>
      <c r="V107">
        <f t="shared" si="28"/>
        <v>77223.881136159762</v>
      </c>
      <c r="W107">
        <f t="shared" si="29"/>
        <v>-1284.9012648487064</v>
      </c>
      <c r="X107">
        <f t="shared" si="30"/>
        <v>-21.131971418149021</v>
      </c>
      <c r="Y107">
        <f t="shared" si="31"/>
        <v>-84.129531204169297</v>
      </c>
      <c r="Z107">
        <f t="shared" si="32"/>
        <v>140.7940524815854</v>
      </c>
      <c r="AA107">
        <f t="shared" si="33"/>
        <v>2.4590382054838735</v>
      </c>
      <c r="AB107">
        <f t="shared" si="34"/>
        <v>-15.99821123727088</v>
      </c>
    </row>
    <row r="108" spans="12:28" x14ac:dyDescent="0.25">
      <c r="L108">
        <v>104</v>
      </c>
      <c r="M108">
        <f t="shared" si="39"/>
        <v>52</v>
      </c>
      <c r="N108">
        <f t="shared" si="35"/>
        <v>73199.750261519686</v>
      </c>
      <c r="O108">
        <f t="shared" si="36"/>
        <v>-3125.1409977214494</v>
      </c>
      <c r="P108">
        <f t="shared" si="37"/>
        <v>4323.2015180263443</v>
      </c>
      <c r="Q108">
        <f t="shared" si="38"/>
        <v>-5071.4606971312469</v>
      </c>
      <c r="R108">
        <f t="shared" si="24"/>
        <v>-1278.2384711906755</v>
      </c>
      <c r="S108">
        <f t="shared" si="25"/>
        <v>170.3771210558526</v>
      </c>
      <c r="T108">
        <f t="shared" si="26"/>
        <v>53816.645604505284</v>
      </c>
      <c r="U108">
        <f t="shared" si="27"/>
        <v>94119.407005248955</v>
      </c>
      <c r="V108">
        <f t="shared" si="28"/>
        <v>79096.227579373488</v>
      </c>
      <c r="W108">
        <f t="shared" si="29"/>
        <v>-1177.5291735058242</v>
      </c>
      <c r="X108">
        <f t="shared" si="30"/>
        <v>-19.910238705756186</v>
      </c>
      <c r="Y108">
        <f t="shared" si="31"/>
        <v>-80.79905897909488</v>
      </c>
      <c r="Z108">
        <f t="shared" si="32"/>
        <v>179.84277213018487</v>
      </c>
      <c r="AA108">
        <f t="shared" si="33"/>
        <v>2.8039204995513467</v>
      </c>
      <c r="AB108">
        <f t="shared" si="34"/>
        <v>-12.269571573883622</v>
      </c>
    </row>
    <row r="109" spans="12:28" x14ac:dyDescent="0.25">
      <c r="L109">
        <v>105</v>
      </c>
      <c r="M109">
        <f t="shared" si="39"/>
        <v>52.5</v>
      </c>
      <c r="N109">
        <f t="shared" si="35"/>
        <v>75201.571211634029</v>
      </c>
      <c r="O109">
        <f t="shared" si="36"/>
        <v>-5639.5742061550909</v>
      </c>
      <c r="P109">
        <f t="shared" si="37"/>
        <v>3684.0822824310067</v>
      </c>
      <c r="Q109">
        <f t="shared" si="38"/>
        <v>-4986.2721366033202</v>
      </c>
      <c r="R109">
        <f t="shared" si="24"/>
        <v>-1185.257779372057</v>
      </c>
      <c r="S109">
        <f t="shared" si="25"/>
        <v>203.78282856795232</v>
      </c>
      <c r="T109">
        <f t="shared" si="26"/>
        <v>56217.559565685377</v>
      </c>
      <c r="U109">
        <f t="shared" si="27"/>
        <v>96477.642189854843</v>
      </c>
      <c r="V109">
        <f t="shared" si="28"/>
        <v>80745.957148682559</v>
      </c>
      <c r="W109">
        <f t="shared" si="29"/>
        <v>-1088.401916565673</v>
      </c>
      <c r="X109">
        <f t="shared" si="30"/>
        <v>-18.890193593851183</v>
      </c>
      <c r="Y109">
        <f t="shared" si="31"/>
        <v>-77.965669212533001</v>
      </c>
      <c r="Z109">
        <f t="shared" si="32"/>
        <v>209.77904619825972</v>
      </c>
      <c r="AA109">
        <f t="shared" si="33"/>
        <v>3.1032532417234702</v>
      </c>
      <c r="AB109">
        <f t="shared" si="34"/>
        <v>-9.0994708720308743</v>
      </c>
    </row>
    <row r="110" spans="12:28" x14ac:dyDescent="0.25">
      <c r="L110">
        <v>106</v>
      </c>
      <c r="M110">
        <f t="shared" si="39"/>
        <v>53</v>
      </c>
      <c r="N110">
        <f t="shared" si="35"/>
        <v>76895.455130428032</v>
      </c>
      <c r="O110">
        <f t="shared" si="36"/>
        <v>-8107.2374208857573</v>
      </c>
      <c r="P110">
        <f t="shared" si="37"/>
        <v>3091.4533927449784</v>
      </c>
      <c r="Q110">
        <f t="shared" si="38"/>
        <v>-4884.3807223193444</v>
      </c>
      <c r="R110">
        <f t="shared" si="24"/>
        <v>-1107.4316455974604</v>
      </c>
      <c r="S110">
        <f t="shared" si="25"/>
        <v>230.57173121089252</v>
      </c>
      <c r="T110">
        <f t="shared" si="26"/>
        <v>58385.721604738406</v>
      </c>
      <c r="U110">
        <f t="shared" si="27"/>
        <v>98572.82217705404</v>
      </c>
      <c r="V110">
        <f t="shared" si="28"/>
        <v>82185.00925954798</v>
      </c>
      <c r="W110">
        <f t="shared" si="29"/>
        <v>-1013.8369468998054</v>
      </c>
      <c r="X110">
        <f t="shared" si="30"/>
        <v>-18.032156467674017</v>
      </c>
      <c r="Y110">
        <f t="shared" si="31"/>
        <v>-75.562542229980806</v>
      </c>
      <c r="Z110">
        <f t="shared" si="32"/>
        <v>233.56174124310454</v>
      </c>
      <c r="AA110">
        <f t="shared" si="33"/>
        <v>3.369740489182135</v>
      </c>
      <c r="AB110">
        <f t="shared" si="34"/>
        <v>-6.3597505213941554</v>
      </c>
    </row>
    <row r="111" spans="12:28" x14ac:dyDescent="0.25">
      <c r="L111">
        <v>107</v>
      </c>
      <c r="M111">
        <f t="shared" si="39"/>
        <v>53.5</v>
      </c>
      <c r="N111">
        <f t="shared" si="35"/>
        <v>78302.752871100834</v>
      </c>
      <c r="O111">
        <f t="shared" si="36"/>
        <v>-10520.606315644069</v>
      </c>
      <c r="P111">
        <f t="shared" si="37"/>
        <v>2537.7375699462482</v>
      </c>
      <c r="Q111">
        <f t="shared" si="38"/>
        <v>-4769.0948567138985</v>
      </c>
      <c r="R111">
        <f t="shared" si="24"/>
        <v>-1041.8632734318257</v>
      </c>
      <c r="S111">
        <f t="shared" si="25"/>
        <v>252.82668732298734</v>
      </c>
      <c r="T111">
        <f t="shared" si="26"/>
        <v>60333.24301538802</v>
      </c>
      <c r="U111">
        <f t="shared" si="27"/>
        <v>100421.74319139445</v>
      </c>
      <c r="V111">
        <f t="shared" si="28"/>
        <v>83423.099940502958</v>
      </c>
      <c r="W111">
        <f t="shared" si="29"/>
        <v>-951.01959207908612</v>
      </c>
      <c r="X111">
        <f t="shared" si="30"/>
        <v>-17.306829318940629</v>
      </c>
      <c r="Y111">
        <f t="shared" si="31"/>
        <v>-73.536852033799093</v>
      </c>
      <c r="Z111">
        <f t="shared" si="32"/>
        <v>253.16816033982261</v>
      </c>
      <c r="AA111">
        <f t="shared" si="33"/>
        <v>3.6127841861327306</v>
      </c>
      <c r="AB111">
        <f t="shared" si="34"/>
        <v>-3.954257202968031</v>
      </c>
    </row>
    <row r="112" spans="12:28" x14ac:dyDescent="0.25">
      <c r="L112">
        <v>108</v>
      </c>
      <c r="M112">
        <f t="shared" si="39"/>
        <v>54</v>
      </c>
      <c r="N112">
        <f t="shared" si="35"/>
        <v>79441.388746894983</v>
      </c>
      <c r="O112">
        <f t="shared" si="36"/>
        <v>-12873.550408085644</v>
      </c>
      <c r="P112">
        <f t="shared" si="37"/>
        <v>2016.8059332303353</v>
      </c>
      <c r="Q112">
        <f t="shared" si="38"/>
        <v>-4642.6815130524046</v>
      </c>
      <c r="R112">
        <f t="shared" si="24"/>
        <v>-986.32733257670498</v>
      </c>
      <c r="S112">
        <f t="shared" si="25"/>
        <v>271.98801128728434</v>
      </c>
      <c r="T112">
        <f t="shared" si="26"/>
        <v>62070.46399335091</v>
      </c>
      <c r="U112">
        <f t="shared" si="27"/>
        <v>102038.1747395666</v>
      </c>
      <c r="V112">
        <f t="shared" si="28"/>
        <v>84468.159216187472</v>
      </c>
      <c r="W112">
        <f t="shared" si="29"/>
        <v>-897.78826752736143</v>
      </c>
      <c r="X112">
        <f t="shared" si="30"/>
        <v>-16.692187458990027</v>
      </c>
      <c r="Y112">
        <f t="shared" si="31"/>
        <v>-71.846877590353486</v>
      </c>
      <c r="Z112">
        <f t="shared" si="32"/>
        <v>269.9577549199908</v>
      </c>
      <c r="AA112">
        <f t="shared" si="33"/>
        <v>3.8395440377067871</v>
      </c>
      <c r="AB112">
        <f t="shared" si="34"/>
        <v>-1.8092876704132332</v>
      </c>
    </row>
    <row r="113" spans="12:28" x14ac:dyDescent="0.25">
      <c r="L113">
        <v>109</v>
      </c>
      <c r="M113">
        <f t="shared" si="39"/>
        <v>54.5</v>
      </c>
      <c r="N113">
        <f t="shared" si="35"/>
        <v>80326.500796938053</v>
      </c>
      <c r="O113">
        <f t="shared" si="36"/>
        <v>-15160.892663200937</v>
      </c>
      <c r="P113">
        <f t="shared" si="37"/>
        <v>1523.6422669419828</v>
      </c>
      <c r="Q113">
        <f t="shared" si="38"/>
        <v>-4506.687507408762</v>
      </c>
      <c r="R113">
        <f t="shared" si="24"/>
        <v>-939.10194675813659</v>
      </c>
      <c r="S113">
        <f t="shared" si="25"/>
        <v>289.08102565276545</v>
      </c>
      <c r="T113">
        <f t="shared" si="26"/>
        <v>63606.196957372609</v>
      </c>
      <c r="U113">
        <f t="shared" si="27"/>
        <v>103433.44372961354</v>
      </c>
      <c r="V113">
        <f t="shared" si="28"/>
        <v>85326.652487361425</v>
      </c>
      <c r="W113">
        <f t="shared" si="29"/>
        <v>-852.47065693275033</v>
      </c>
      <c r="X113">
        <f t="shared" si="30"/>
        <v>-16.171436650988216</v>
      </c>
      <c r="Y113">
        <f t="shared" si="31"/>
        <v>-70.45985317439812</v>
      </c>
      <c r="Z113">
        <f t="shared" si="32"/>
        <v>284.89252958331531</v>
      </c>
      <c r="AA113">
        <f t="shared" si="33"/>
        <v>4.0556361335557147</v>
      </c>
      <c r="AB113">
        <f t="shared" si="34"/>
        <v>0.13285993589441467</v>
      </c>
    </row>
    <row r="114" spans="12:28" x14ac:dyDescent="0.25">
      <c r="L114">
        <v>110</v>
      </c>
      <c r="M114">
        <f t="shared" si="39"/>
        <v>55</v>
      </c>
      <c r="N114">
        <f t="shared" si="35"/>
        <v>80970.934187064282</v>
      </c>
      <c r="O114">
        <f t="shared" si="36"/>
        <v>-17378.101288698723</v>
      </c>
      <c r="P114">
        <f t="shared" si="37"/>
        <v>1054.0912935629144</v>
      </c>
      <c r="Q114">
        <f t="shared" si="38"/>
        <v>-4362.1469945823792</v>
      </c>
      <c r="R114">
        <f t="shared" si="24"/>
        <v>-898.84423330084292</v>
      </c>
      <c r="S114">
        <f t="shared" si="25"/>
        <v>304.85829388149415</v>
      </c>
      <c r="T114">
        <f t="shared" si="26"/>
        <v>64947.934785723432</v>
      </c>
      <c r="U114">
        <f t="shared" si="27"/>
        <v>104616.87235232524</v>
      </c>
      <c r="V114">
        <f t="shared" si="28"/>
        <v>86003.819047387937</v>
      </c>
      <c r="W114">
        <f t="shared" si="29"/>
        <v>-813.76222187734822</v>
      </c>
      <c r="X114">
        <f t="shared" si="30"/>
        <v>-15.731635960752556</v>
      </c>
      <c r="Y114">
        <f t="shared" si="31"/>
        <v>-69.350375462742178</v>
      </c>
      <c r="Z114">
        <f t="shared" si="32"/>
        <v>298.67433833663301</v>
      </c>
      <c r="AA114">
        <f t="shared" si="33"/>
        <v>4.2656069911413912</v>
      </c>
      <c r="AB114">
        <f t="shared" si="34"/>
        <v>1.9183485537197136</v>
      </c>
    </row>
    <row r="115" spans="12:28" x14ac:dyDescent="0.25">
      <c r="L115">
        <v>111</v>
      </c>
      <c r="M115">
        <f t="shared" si="39"/>
        <v>55.5</v>
      </c>
      <c r="N115">
        <f t="shared" si="35"/>
        <v>81385.624304683122</v>
      </c>
      <c r="O115">
        <f t="shared" si="36"/>
        <v>-19521.067499254725</v>
      </c>
      <c r="P115">
        <f t="shared" si="37"/>
        <v>604.66917691249296</v>
      </c>
      <c r="Q115">
        <f t="shared" si="38"/>
        <v>-4209.717847641632</v>
      </c>
      <c r="R115">
        <f t="shared" si="24"/>
        <v>-864.49886063223539</v>
      </c>
      <c r="S115">
        <f t="shared" si="25"/>
        <v>319.89100709541304</v>
      </c>
      <c r="T115">
        <f t="shared" si="26"/>
        <v>66102.024345542624</v>
      </c>
      <c r="U115">
        <f t="shared" si="27"/>
        <v>105596.10902843866</v>
      </c>
      <c r="V115">
        <f t="shared" si="28"/>
        <v>86503.850422063158</v>
      </c>
      <c r="W115">
        <f t="shared" si="29"/>
        <v>-780.63687658253582</v>
      </c>
      <c r="X115">
        <f t="shared" si="30"/>
        <v>-15.362749408942683</v>
      </c>
      <c r="Y115">
        <f t="shared" si="31"/>
        <v>-68.499234640756882</v>
      </c>
      <c r="Z115">
        <f t="shared" si="32"/>
        <v>311.83277452840679</v>
      </c>
      <c r="AA115">
        <f t="shared" si="33"/>
        <v>4.473264976034514</v>
      </c>
      <c r="AB115">
        <f t="shared" si="34"/>
        <v>3.5849675909717367</v>
      </c>
    </row>
    <row r="116" spans="12:28" x14ac:dyDescent="0.25">
      <c r="L116">
        <v>112</v>
      </c>
      <c r="M116">
        <f t="shared" si="39"/>
        <v>56</v>
      </c>
      <c r="N116">
        <f t="shared" si="35"/>
        <v>81579.896535560343</v>
      </c>
      <c r="O116">
        <f t="shared" si="36"/>
        <v>-21585.940047188615</v>
      </c>
      <c r="P116">
        <f t="shared" si="37"/>
        <v>172.41974659637526</v>
      </c>
      <c r="Q116">
        <f t="shared" si="38"/>
        <v>-4049.7723440939253</v>
      </c>
      <c r="R116">
        <f t="shared" si="24"/>
        <v>-835.23083265620551</v>
      </c>
      <c r="S116">
        <f t="shared" si="25"/>
        <v>334.62937889516962</v>
      </c>
      <c r="T116">
        <f t="shared" si="26"/>
        <v>67073.809087623944</v>
      </c>
      <c r="U116">
        <f t="shared" si="27"/>
        <v>106377.38006192734</v>
      </c>
      <c r="V116">
        <f t="shared" si="28"/>
        <v>86830.024129983387</v>
      </c>
      <c r="W116">
        <f t="shared" si="29"/>
        <v>-752.28127572701396</v>
      </c>
      <c r="X116">
        <f t="shared" si="30"/>
        <v>-15.056981716995866</v>
      </c>
      <c r="Y116">
        <f t="shared" si="31"/>
        <v>-67.892575212195666</v>
      </c>
      <c r="Z116">
        <f t="shared" si="32"/>
        <v>324.78302206226613</v>
      </c>
      <c r="AA116">
        <f t="shared" si="33"/>
        <v>4.6819197304277216</v>
      </c>
      <c r="AB116">
        <f t="shared" si="34"/>
        <v>5.1644371024758087</v>
      </c>
    </row>
    <row r="117" spans="12:28" x14ac:dyDescent="0.25">
      <c r="L117">
        <v>113</v>
      </c>
      <c r="M117">
        <f t="shared" si="39"/>
        <v>56.5</v>
      </c>
      <c r="N117">
        <f t="shared" si="35"/>
        <v>81561.702554776493</v>
      </c>
      <c r="O117">
        <f t="shared" si="36"/>
        <v>-23568.997546873681</v>
      </c>
      <c r="P117">
        <f t="shared" si="37"/>
        <v>-245.19566973172749</v>
      </c>
      <c r="Q117">
        <f t="shared" si="38"/>
        <v>-3882.4576546463404</v>
      </c>
      <c r="R117">
        <f t="shared" si="24"/>
        <v>-810.37584655179353</v>
      </c>
      <c r="S117">
        <f t="shared" si="25"/>
        <v>349.44379314062815</v>
      </c>
      <c r="T117">
        <f t="shared" si="26"/>
        <v>67867.745227582505</v>
      </c>
      <c r="U117">
        <f t="shared" si="27"/>
        <v>106965.68151574086</v>
      </c>
      <c r="V117">
        <f t="shared" si="28"/>
        <v>86984.803662133578</v>
      </c>
      <c r="W117">
        <f t="shared" si="29"/>
        <v>-728.04621777550813</v>
      </c>
      <c r="X117">
        <f t="shared" si="30"/>
        <v>-14.808307436337209</v>
      </c>
      <c r="Y117">
        <f t="shared" si="31"/>
        <v>-67.521321339948202</v>
      </c>
      <c r="Z117">
        <f t="shared" si="32"/>
        <v>337.86509707284472</v>
      </c>
      <c r="AA117">
        <f t="shared" si="33"/>
        <v>4.894561862387528</v>
      </c>
      <c r="AB117">
        <f t="shared" si="34"/>
        <v>6.6841342053958819</v>
      </c>
    </row>
    <row r="118" spans="12:28" x14ac:dyDescent="0.25">
      <c r="L118">
        <v>114</v>
      </c>
      <c r="M118">
        <f t="shared" si="39"/>
        <v>57</v>
      </c>
      <c r="N118">
        <f t="shared" si="35"/>
        <v>81337.807739091644</v>
      </c>
      <c r="O118">
        <f t="shared" si="36"/>
        <v>-25466.545900054276</v>
      </c>
      <c r="P118">
        <f t="shared" si="37"/>
        <v>-650.38359300762431</v>
      </c>
      <c r="Q118">
        <f t="shared" si="38"/>
        <v>-3707.7357580760263</v>
      </c>
      <c r="R118">
        <f t="shared" si="24"/>
        <v>-789.40337782572419</v>
      </c>
      <c r="S118">
        <f t="shared" si="25"/>
        <v>364.65384577894673</v>
      </c>
      <c r="T118">
        <f t="shared" si="26"/>
        <v>68487.495773446746</v>
      </c>
      <c r="U118">
        <f t="shared" si="27"/>
        <v>107364.92516388097</v>
      </c>
      <c r="V118">
        <f t="shared" si="28"/>
        <v>86969.912201118699</v>
      </c>
      <c r="W118">
        <f t="shared" si="29"/>
        <v>-707.41041853373326</v>
      </c>
      <c r="X118">
        <f t="shared" si="30"/>
        <v>-14.612135370485106</v>
      </c>
      <c r="Y118">
        <f t="shared" si="31"/>
        <v>-67.380823921505794</v>
      </c>
      <c r="Z118">
        <f t="shared" si="32"/>
        <v>351.3714099158928</v>
      </c>
      <c r="AA118">
        <f t="shared" si="33"/>
        <v>5.114004154790905</v>
      </c>
      <c r="AB118">
        <f t="shared" si="34"/>
        <v>8.1684317082630535</v>
      </c>
    </row>
    <row r="119" spans="12:28" x14ac:dyDescent="0.25">
      <c r="L119">
        <v>115</v>
      </c>
      <c r="M119">
        <f t="shared" si="39"/>
        <v>57.5</v>
      </c>
      <c r="N119">
        <f t="shared" si="35"/>
        <v>80913.940520359611</v>
      </c>
      <c r="O119">
        <f t="shared" si="36"/>
        <v>-27274.832048369921</v>
      </c>
      <c r="P119">
        <f t="shared" si="37"/>
        <v>-1045.0852819204865</v>
      </c>
      <c r="Q119">
        <f t="shared" si="38"/>
        <v>-3525.408835186553</v>
      </c>
      <c r="R119">
        <f t="shared" si="24"/>
        <v>-771.88901209339122</v>
      </c>
      <c r="S119">
        <f t="shared" si="25"/>
        <v>380.54975280925669</v>
      </c>
      <c r="T119">
        <f t="shared" si="26"/>
        <v>68936.006074245364</v>
      </c>
      <c r="U119">
        <f t="shared" si="27"/>
        <v>107578.04839083513</v>
      </c>
      <c r="V119">
        <f t="shared" si="28"/>
        <v>86786.385323687602</v>
      </c>
      <c r="W119">
        <f t="shared" si="29"/>
        <v>-689.95323705912881</v>
      </c>
      <c r="X119">
        <f t="shared" si="30"/>
        <v>-14.465070511801009</v>
      </c>
      <c r="Y119">
        <f t="shared" si="31"/>
        <v>-67.470704522461361</v>
      </c>
      <c r="Z119">
        <f t="shared" si="32"/>
        <v>365.5669729635984</v>
      </c>
      <c r="AA119">
        <f t="shared" si="33"/>
        <v>5.3429989069392212</v>
      </c>
      <c r="AB119">
        <f t="shared" si="34"/>
        <v>9.6397809387190669</v>
      </c>
    </row>
    <row r="120" spans="12:28" x14ac:dyDescent="0.25">
      <c r="L120">
        <v>116</v>
      </c>
      <c r="M120">
        <f t="shared" si="39"/>
        <v>58</v>
      </c>
      <c r="N120">
        <f t="shared" si="35"/>
        <v>80294.911752887696</v>
      </c>
      <c r="O120">
        <f t="shared" si="36"/>
        <v>-28989.967746862039</v>
      </c>
      <c r="P120">
        <f t="shared" si="37"/>
        <v>-1431.0297879671821</v>
      </c>
      <c r="Q120">
        <f t="shared" si="38"/>
        <v>-3335.1339587819248</v>
      </c>
      <c r="R120">
        <f t="shared" si="24"/>
        <v>-757.49352774192664</v>
      </c>
      <c r="S120">
        <f t="shared" si="25"/>
        <v>397.40902399937494</v>
      </c>
      <c r="T120">
        <f t="shared" si="26"/>
        <v>69215.563934141552</v>
      </c>
      <c r="U120">
        <f t="shared" si="27"/>
        <v>107607.09506543179</v>
      </c>
      <c r="V120">
        <f t="shared" si="28"/>
        <v>86434.606313045355</v>
      </c>
      <c r="W120">
        <f t="shared" si="29"/>
        <v>-675.33389225479482</v>
      </c>
      <c r="X120">
        <f t="shared" si="30"/>
        <v>-14.364748769654851</v>
      </c>
      <c r="Y120">
        <f t="shared" si="31"/>
        <v>-67.794886717476928</v>
      </c>
      <c r="Z120">
        <f t="shared" si="32"/>
        <v>380.70504705571472</v>
      </c>
      <c r="AA120">
        <f t="shared" si="33"/>
        <v>5.5843420312346286</v>
      </c>
      <c r="AB120">
        <f t="shared" si="34"/>
        <v>11.119634912425568</v>
      </c>
    </row>
    <row r="121" spans="12:28" x14ac:dyDescent="0.25">
      <c r="L121">
        <v>117</v>
      </c>
      <c r="M121">
        <f t="shared" si="39"/>
        <v>58.5</v>
      </c>
      <c r="N121">
        <f t="shared" si="35"/>
        <v>79484.71016793637</v>
      </c>
      <c r="O121">
        <f t="shared" si="36"/>
        <v>-30607.858598253079</v>
      </c>
      <c r="P121">
        <f t="shared" si="37"/>
        <v>-1809.7765518381455</v>
      </c>
      <c r="Q121">
        <f t="shared" si="38"/>
        <v>-3136.4294467822374</v>
      </c>
      <c r="R121">
        <f t="shared" si="24"/>
        <v>-745.94692721960223</v>
      </c>
      <c r="S121">
        <f t="shared" si="25"/>
        <v>415.51036933565837</v>
      </c>
      <c r="T121">
        <f t="shared" si="26"/>
        <v>69327.846769653668</v>
      </c>
      <c r="U121">
        <f t="shared" si="27"/>
        <v>107453.27234260489</v>
      </c>
      <c r="V121">
        <f t="shared" si="28"/>
        <v>85914.326524644726</v>
      </c>
      <c r="W121">
        <f t="shared" si="29"/>
        <v>-663.27537867810133</v>
      </c>
      <c r="X121">
        <f t="shared" si="30"/>
        <v>-14.309728473095685</v>
      </c>
      <c r="Y121">
        <f t="shared" si="31"/>
        <v>-68.361820068405265</v>
      </c>
      <c r="Z121">
        <f t="shared" si="32"/>
        <v>397.0401104585552</v>
      </c>
      <c r="AA121">
        <f t="shared" si="33"/>
        <v>5.8409722401960442</v>
      </c>
      <c r="AB121">
        <f t="shared" si="34"/>
        <v>12.629286636907109</v>
      </c>
    </row>
    <row r="122" spans="12:28" x14ac:dyDescent="0.25">
      <c r="L122">
        <v>118</v>
      </c>
      <c r="M122">
        <f t="shared" si="39"/>
        <v>59</v>
      </c>
      <c r="N122">
        <f t="shared" si="35"/>
        <v>78486.578526114841</v>
      </c>
      <c r="O122">
        <f t="shared" si="36"/>
        <v>-32124.134525477242</v>
      </c>
      <c r="P122">
        <f t="shared" si="37"/>
        <v>-2182.7500154479467</v>
      </c>
      <c r="Q122">
        <f t="shared" si="38"/>
        <v>-2928.6742621144081</v>
      </c>
      <c r="R122">
        <f t="shared" si="24"/>
        <v>-737.03609492211103</v>
      </c>
      <c r="S122">
        <f t="shared" si="25"/>
        <v>435.14625942331242</v>
      </c>
      <c r="T122">
        <f t="shared" si="26"/>
        <v>69273.95781935034</v>
      </c>
      <c r="U122">
        <f t="shared" si="27"/>
        <v>107116.98679154996</v>
      </c>
      <c r="V122">
        <f t="shared" si="28"/>
        <v>85224.67235046305</v>
      </c>
      <c r="W122">
        <f t="shared" si="29"/>
        <v>-653.55174855133509</v>
      </c>
      <c r="X122">
        <f t="shared" si="30"/>
        <v>-14.299428726983773</v>
      </c>
      <c r="Y122">
        <f t="shared" si="31"/>
        <v>-69.184917643792062</v>
      </c>
      <c r="Z122">
        <f t="shared" si="32"/>
        <v>414.83950068556624</v>
      </c>
      <c r="AA122">
        <f t="shared" si="33"/>
        <v>6.1160725486388792</v>
      </c>
      <c r="AB122">
        <f t="shared" si="34"/>
        <v>14.190686189107291</v>
      </c>
    </row>
    <row r="123" spans="12:28" x14ac:dyDescent="0.25">
      <c r="L123">
        <v>119</v>
      </c>
      <c r="M123">
        <f t="shared" si="39"/>
        <v>59.5</v>
      </c>
      <c r="N123">
        <f t="shared" si="35"/>
        <v>77303.07400652561</v>
      </c>
      <c r="O123">
        <f t="shared" si="36"/>
        <v>-33534.078374106539</v>
      </c>
      <c r="P123">
        <f t="shared" si="37"/>
        <v>-2551.2680629090023</v>
      </c>
      <c r="Q123">
        <f t="shared" si="38"/>
        <v>-2711.1011324027518</v>
      </c>
      <c r="R123">
        <f t="shared" si="24"/>
        <v>-730.59508375102382</v>
      </c>
      <c r="S123">
        <f t="shared" si="25"/>
        <v>456.63526106927827</v>
      </c>
      <c r="T123">
        <f t="shared" si="26"/>
        <v>69054.453055100908</v>
      </c>
      <c r="U123">
        <f t="shared" si="27"/>
        <v>106597.86203767058</v>
      </c>
      <c r="V123">
        <f t="shared" si="28"/>
        <v>84364.139609796024</v>
      </c>
      <c r="W123">
        <f t="shared" si="29"/>
        <v>-645.97772782157301</v>
      </c>
      <c r="X123">
        <f t="shared" si="30"/>
        <v>-14.334109277166517</v>
      </c>
      <c r="Y123">
        <f t="shared" si="31"/>
        <v>-70.283246652284333</v>
      </c>
      <c r="Z123">
        <f t="shared" si="32"/>
        <v>434.39478288667488</v>
      </c>
      <c r="AA123">
        <f t="shared" si="33"/>
        <v>6.4131811154632672</v>
      </c>
      <c r="AB123">
        <f t="shared" si="34"/>
        <v>15.827297067140117</v>
      </c>
    </row>
    <row r="124" spans="12:28" x14ac:dyDescent="0.25">
      <c r="L124">
        <v>120</v>
      </c>
      <c r="M124">
        <f t="shared" si="39"/>
        <v>60</v>
      </c>
      <c r="N124">
        <f t="shared" si="35"/>
        <v>75936.115589602239</v>
      </c>
      <c r="O124">
        <f t="shared" si="36"/>
        <v>-34832.549532674253</v>
      </c>
      <c r="P124">
        <f t="shared" si="37"/>
        <v>-2916.5656047845141</v>
      </c>
      <c r="Q124">
        <f t="shared" si="38"/>
        <v>-2482.7835018681126</v>
      </c>
      <c r="R124">
        <f t="shared" si="24"/>
        <v>-726.49723830399898</v>
      </c>
      <c r="S124">
        <f t="shared" si="25"/>
        <v>480.33513770592606</v>
      </c>
      <c r="T124">
        <f t="shared" si="26"/>
        <v>68669.360194531386</v>
      </c>
      <c r="U124">
        <f t="shared" si="27"/>
        <v>105894.73911399572</v>
      </c>
      <c r="V124">
        <f t="shared" si="28"/>
        <v>83330.575587232277</v>
      </c>
      <c r="W124">
        <f t="shared" si="29"/>
        <v>-640.39981192247353</v>
      </c>
      <c r="X124">
        <f t="shared" si="30"/>
        <v>-14.414890336959632</v>
      </c>
      <c r="Y124">
        <f t="shared" si="31"/>
        <v>-71.682536044565794</v>
      </c>
      <c r="Z124">
        <f t="shared" si="32"/>
        <v>456.0337620916053</v>
      </c>
      <c r="AA124">
        <f t="shared" si="33"/>
        <v>6.7363190709573892</v>
      </c>
      <c r="AB124">
        <f t="shared" si="34"/>
        <v>17.56505654336339</v>
      </c>
    </row>
    <row r="125" spans="12:28" x14ac:dyDescent="0.25">
      <c r="L125">
        <v>121</v>
      </c>
      <c r="M125">
        <f t="shared" si="39"/>
        <v>60.5</v>
      </c>
      <c r="N125">
        <f t="shared" si="35"/>
        <v>74387.020632421976</v>
      </c>
      <c r="O125">
        <f t="shared" si="36"/>
        <v>-36013.899391395069</v>
      </c>
      <c r="P125">
        <f t="shared" si="37"/>
        <v>-3279.8142239365134</v>
      </c>
      <c r="Q125">
        <f t="shared" si="38"/>
        <v>-2242.6159330151495</v>
      </c>
      <c r="R125">
        <f t="shared" si="24"/>
        <v>-724.64847145051863</v>
      </c>
      <c r="S125">
        <f t="shared" si="25"/>
        <v>506.65770209191157</v>
      </c>
      <c r="T125">
        <f t="shared" si="26"/>
        <v>68118.19108401933</v>
      </c>
      <c r="U125">
        <f t="shared" si="27"/>
        <v>105005.65985253689</v>
      </c>
      <c r="V125">
        <f t="shared" si="28"/>
        <v>82121.1483877586</v>
      </c>
      <c r="W125">
        <f t="shared" si="29"/>
        <v>-636.68805842410734</v>
      </c>
      <c r="X125">
        <f t="shared" si="30"/>
        <v>-14.543814411265474</v>
      </c>
      <c r="Y125">
        <f t="shared" si="31"/>
        <v>-73.416598615145901</v>
      </c>
      <c r="Z125">
        <f t="shared" si="32"/>
        <v>480.13404059023071</v>
      </c>
      <c r="AA125">
        <f t="shared" si="33"/>
        <v>7.0901444775259153</v>
      </c>
      <c r="AB125">
        <f t="shared" si="34"/>
        <v>19.433517024154924</v>
      </c>
    </row>
    <row r="126" spans="12:28" x14ac:dyDescent="0.25">
      <c r="L126">
        <v>122</v>
      </c>
      <c r="M126">
        <f t="shared" si="39"/>
        <v>61</v>
      </c>
      <c r="N126">
        <f t="shared" si="35"/>
        <v>72656.532461522394</v>
      </c>
      <c r="O126">
        <f t="shared" si="36"/>
        <v>-37071.875145141159</v>
      </c>
      <c r="P126">
        <f t="shared" si="37"/>
        <v>-3642.1384596617727</v>
      </c>
      <c r="Q126">
        <f t="shared" si="38"/>
        <v>-1989.2870819691937</v>
      </c>
      <c r="R126">
        <f t="shared" si="24"/>
        <v>-724.98102834876045</v>
      </c>
      <c r="S126">
        <f t="shared" si="25"/>
        <v>536.08652189297322</v>
      </c>
      <c r="T126">
        <f t="shared" si="26"/>
        <v>67399.948732174191</v>
      </c>
      <c r="U126">
        <f t="shared" si="27"/>
        <v>103927.83283352401</v>
      </c>
      <c r="V126">
        <f t="shared" si="28"/>
        <v>80732.302744131986</v>
      </c>
      <c r="W126">
        <f t="shared" si="29"/>
        <v>-634.72775828084821</v>
      </c>
      <c r="X126">
        <f t="shared" si="30"/>
        <v>-14.723956047879611</v>
      </c>
      <c r="Y126">
        <f t="shared" si="31"/>
        <v>-75.5293140200327</v>
      </c>
      <c r="Z126">
        <f t="shared" si="32"/>
        <v>507.13910979726359</v>
      </c>
      <c r="AA126">
        <f t="shared" si="33"/>
        <v>7.4801441659405201</v>
      </c>
      <c r="AB126">
        <f t="shared" si="34"/>
        <v>21.467267929769207</v>
      </c>
    </row>
    <row r="127" spans="12:28" x14ac:dyDescent="0.25">
      <c r="L127">
        <v>123</v>
      </c>
      <c r="M127">
        <f t="shared" si="39"/>
        <v>61.5</v>
      </c>
      <c r="N127">
        <f t="shared" si="35"/>
        <v>70744.84060314791</v>
      </c>
      <c r="O127">
        <f t="shared" si="36"/>
        <v>-37999.507870889131</v>
      </c>
      <c r="P127">
        <f t="shared" si="37"/>
        <v>-4004.6289738361529</v>
      </c>
      <c r="Q127">
        <f t="shared" si="38"/>
        <v>-1721.2438210227069</v>
      </c>
      <c r="R127">
        <f t="shared" si="24"/>
        <v>-727.44698648946394</v>
      </c>
      <c r="S127">
        <f t="shared" si="25"/>
        <v>569.19881199622228</v>
      </c>
      <c r="T127">
        <f t="shared" si="26"/>
        <v>66513.130470438278</v>
      </c>
      <c r="U127">
        <f t="shared" si="27"/>
        <v>102657.58058681428</v>
      </c>
      <c r="V127">
        <f t="shared" si="28"/>
        <v>79159.700860345445</v>
      </c>
      <c r="W127">
        <f t="shared" si="29"/>
        <v>-634.41000370293591</v>
      </c>
      <c r="X127">
        <f t="shared" si="30"/>
        <v>-14.959590236671943</v>
      </c>
      <c r="Y127">
        <f t="shared" si="31"/>
        <v>-78.077392549856043</v>
      </c>
      <c r="Z127">
        <f t="shared" si="32"/>
        <v>537.57815816063373</v>
      </c>
      <c r="AA127">
        <f t="shared" si="33"/>
        <v>7.9128792836901205</v>
      </c>
      <c r="AB127">
        <f t="shared" si="34"/>
        <v>23.707774551898449</v>
      </c>
    </row>
    <row r="128" spans="12:28" x14ac:dyDescent="0.25">
      <c r="L128">
        <v>124</v>
      </c>
      <c r="M128">
        <f t="shared" si="39"/>
        <v>62</v>
      </c>
      <c r="N128">
        <f t="shared" si="35"/>
        <v>68651.595242918644</v>
      </c>
      <c r="O128">
        <f t="shared" si="36"/>
        <v>-38788.979929900961</v>
      </c>
      <c r="P128">
        <f t="shared" si="37"/>
        <v>-4368.3524670808847</v>
      </c>
      <c r="Q128">
        <f t="shared" si="38"/>
        <v>-1436.6444150245957</v>
      </c>
      <c r="R128">
        <f t="shared" si="24"/>
        <v>-732.01051875079247</v>
      </c>
      <c r="S128">
        <f t="shared" si="25"/>
        <v>606.69322141466444</v>
      </c>
      <c r="T128">
        <f t="shared" si="26"/>
        <v>65455.729183793017</v>
      </c>
      <c r="U128">
        <f t="shared" si="27"/>
        <v>101190.26584466785</v>
      </c>
      <c r="V128">
        <f t="shared" si="28"/>
        <v>77398.146282271817</v>
      </c>
      <c r="W128">
        <f t="shared" si="29"/>
        <v>-635.61982916362024</v>
      </c>
      <c r="X128">
        <f t="shared" si="30"/>
        <v>-15.25643665453503</v>
      </c>
      <c r="Y128">
        <f t="shared" si="31"/>
        <v>-81.134252932637224</v>
      </c>
      <c r="Z128">
        <f t="shared" si="32"/>
        <v>572.09108567398971</v>
      </c>
      <c r="AA128">
        <f t="shared" si="33"/>
        <v>8.3963066846151548</v>
      </c>
      <c r="AB128">
        <f t="shared" si="34"/>
        <v>26.205829056059557</v>
      </c>
    </row>
    <row r="129" spans="12:28" x14ac:dyDescent="0.25">
      <c r="L129">
        <v>125</v>
      </c>
      <c r="M129">
        <f t="shared" si="39"/>
        <v>62.5</v>
      </c>
      <c r="N129">
        <f t="shared" si="35"/>
        <v>66375.91769453435</v>
      </c>
      <c r="O129">
        <f t="shared" si="36"/>
        <v>-39431.465484736429</v>
      </c>
      <c r="P129">
        <f t="shared" si="37"/>
        <v>-4734.3577264562809</v>
      </c>
      <c r="Q129">
        <f t="shared" si="38"/>
        <v>-1133.2978043172634</v>
      </c>
      <c r="R129">
        <f t="shared" si="24"/>
        <v>-738.63752206232766</v>
      </c>
      <c r="S129">
        <f t="shared" si="25"/>
        <v>649.42577287900315</v>
      </c>
      <c r="T129">
        <f t="shared" si="26"/>
        <v>64225.23543850617</v>
      </c>
      <c r="U129">
        <f t="shared" si="27"/>
        <v>99520.193616881894</v>
      </c>
      <c r="V129">
        <f t="shared" si="28"/>
        <v>75441.488137952372</v>
      </c>
      <c r="W129">
        <f t="shared" si="29"/>
        <v>-638.21998847658915</v>
      </c>
      <c r="X129">
        <f t="shared" si="30"/>
        <v>-15.622006298829135</v>
      </c>
      <c r="Y129">
        <f t="shared" si="31"/>
        <v>-84.795527286909433</v>
      </c>
      <c r="Z129">
        <f t="shared" si="32"/>
        <v>611.46066319262263</v>
      </c>
      <c r="AA129">
        <f t="shared" si="33"/>
        <v>8.9402079395999454</v>
      </c>
      <c r="AB129">
        <f t="shared" si="34"/>
        <v>29.024901746780536</v>
      </c>
    </row>
    <row r="130" spans="12:28" x14ac:dyDescent="0.25">
      <c r="L130">
        <v>126</v>
      </c>
      <c r="M130">
        <f t="shared" si="39"/>
        <v>63</v>
      </c>
      <c r="N130">
        <f t="shared" si="35"/>
        <v>63916.409141048418</v>
      </c>
      <c r="O130">
        <f t="shared" si="36"/>
        <v>-39916.936165285188</v>
      </c>
      <c r="P130">
        <f t="shared" si="37"/>
        <v>-5103.6764874874443</v>
      </c>
      <c r="Q130">
        <f t="shared" si="38"/>
        <v>-808.58491787776188</v>
      </c>
      <c r="R130">
        <f t="shared" si="24"/>
        <v>-747.2804659182043</v>
      </c>
      <c r="S130">
        <f t="shared" si="25"/>
        <v>698.45698736343377</v>
      </c>
      <c r="T130">
        <f t="shared" si="26"/>
        <v>62818.644894014273</v>
      </c>
      <c r="U130">
        <f t="shared" si="27"/>
        <v>97640.484632436084</v>
      </c>
      <c r="V130">
        <f t="shared" si="28"/>
        <v>73282.50239150734</v>
      </c>
      <c r="W130">
        <f t="shared" si="29"/>
        <v>-642.02737582249847</v>
      </c>
      <c r="X130">
        <f t="shared" si="30"/>
        <v>-16.066091162060967</v>
      </c>
      <c r="Y130">
        <f t="shared" si="31"/>
        <v>-89.186998933644901</v>
      </c>
      <c r="Z130">
        <f t="shared" si="32"/>
        <v>656.65438546135829</v>
      </c>
      <c r="AA130">
        <f t="shared" si="33"/>
        <v>9.556772688095867</v>
      </c>
      <c r="AB130">
        <f t="shared" si="34"/>
        <v>32.245829213979576</v>
      </c>
    </row>
    <row r="131" spans="12:28" x14ac:dyDescent="0.25">
      <c r="L131">
        <v>127</v>
      </c>
      <c r="M131">
        <f t="shared" si="39"/>
        <v>63.5</v>
      </c>
      <c r="N131">
        <f t="shared" si="35"/>
        <v>61271.16083906492</v>
      </c>
      <c r="O131">
        <f t="shared" si="36"/>
        <v>-40233.921500803634</v>
      </c>
      <c r="P131">
        <f t="shared" si="37"/>
        <v>-5477.3167204465462</v>
      </c>
      <c r="Q131">
        <f t="shared" si="38"/>
        <v>-459.356424196045</v>
      </c>
      <c r="R131">
        <f t="shared" si="24"/>
        <v>-757.85502840920014</v>
      </c>
      <c r="S131">
        <f t="shared" si="25"/>
        <v>755.1142732039782</v>
      </c>
      <c r="T131">
        <f t="shared" si="26"/>
        <v>61232.478076138897</v>
      </c>
      <c r="U131">
        <f t="shared" si="27"/>
        <v>95542.914198165745</v>
      </c>
      <c r="V131">
        <f t="shared" si="28"/>
        <v>70912.746056445525</v>
      </c>
      <c r="W131">
        <f t="shared" si="29"/>
        <v>-646.77730092685886</v>
      </c>
      <c r="X131">
        <f t="shared" si="30"/>
        <v>-16.601459663989996</v>
      </c>
      <c r="Y131">
        <f t="shared" si="31"/>
        <v>-94.476267818351289</v>
      </c>
      <c r="Z131">
        <f t="shared" si="32"/>
        <v>708.87934974038512</v>
      </c>
      <c r="AA131">
        <f t="shared" si="33"/>
        <v>10.261406542611734</v>
      </c>
      <c r="AB131">
        <f t="shared" si="34"/>
        <v>35.973516920981325</v>
      </c>
    </row>
    <row r="132" spans="12:28" x14ac:dyDescent="0.25">
      <c r="L132">
        <v>128</v>
      </c>
      <c r="M132">
        <f t="shared" si="39"/>
        <v>64</v>
      </c>
      <c r="N132">
        <f t="shared" si="35"/>
        <v>58437.770600290496</v>
      </c>
      <c r="O132">
        <f t="shared" si="36"/>
        <v>-40369.210428751154</v>
      </c>
      <c r="P132">
        <f t="shared" si="37"/>
        <v>-5856.2442346511461</v>
      </c>
      <c r="Q132">
        <f t="shared" si="38"/>
        <v>-81.799287594055897</v>
      </c>
      <c r="R132">
        <f t="shared" si="24"/>
        <v>-770.2028870701123</v>
      </c>
      <c r="S132">
        <f t="shared" si="25"/>
        <v>821.07499691669909</v>
      </c>
      <c r="T132">
        <f t="shared" si="26"/>
        <v>59462.824215209112</v>
      </c>
      <c r="U132">
        <f t="shared" si="27"/>
        <v>93217.70870365572</v>
      </c>
      <c r="V132">
        <f t="shared" si="28"/>
        <v>68322.37976324695</v>
      </c>
      <c r="W132">
        <f t="shared" si="29"/>
        <v>-652.06775104939686</v>
      </c>
      <c r="X132">
        <f t="shared" si="30"/>
        <v>-17.244856123849484</v>
      </c>
      <c r="Y132">
        <f t="shared" si="31"/>
        <v>-100.89027989686603</v>
      </c>
      <c r="Z132">
        <f t="shared" si="32"/>
        <v>769.65439329977755</v>
      </c>
      <c r="AA132">
        <f t="shared" si="33"/>
        <v>11.073871430411302</v>
      </c>
      <c r="AB132">
        <f t="shared" si="34"/>
        <v>40.346732186510287</v>
      </c>
    </row>
    <row r="133" spans="12:28" x14ac:dyDescent="0.25">
      <c r="L133">
        <v>129</v>
      </c>
      <c r="M133">
        <f t="shared" si="39"/>
        <v>64.5</v>
      </c>
      <c r="N133">
        <f t="shared" si="35"/>
        <v>55413.373122081153</v>
      </c>
      <c r="O133">
        <f t="shared" si="36"/>
        <v>-40307.475697933594</v>
      </c>
      <c r="P133">
        <f t="shared" si="37"/>
        <v>-6241.3456781862023</v>
      </c>
      <c r="Q133">
        <f t="shared" si="38"/>
        <v>328.73821086429365</v>
      </c>
      <c r="R133">
        <f t="shared" ref="R133:R196" si="40">SUM(W133:Y133)</f>
        <v>-784.03126283451422</v>
      </c>
      <c r="S133">
        <f t="shared" ref="S133:S196" si="41">SUM(Z133:AB133)</f>
        <v>898.47716616170135</v>
      </c>
      <c r="T133">
        <f t="shared" ref="T133:T196" si="42">SQRT(($D$18-N133)^2 + ($E$18 - O133) ^2)</f>
        <v>57505.428874173122</v>
      </c>
      <c r="U133">
        <f t="shared" ref="U133:U196" si="43">SQRT(($D$26-N133)^2 + ($E$26- O133) ^2)</f>
        <v>90653.289828601439</v>
      </c>
      <c r="V133">
        <f t="shared" ref="V133:V196" si="44">SQRT(($D$34-N133)^2 + ($E$34 - O133) ^2)</f>
        <v>65499.954031963236</v>
      </c>
      <c r="W133">
        <f t="shared" ref="W133:W196" si="45">$D$22*(($D$18-N133)/(T133^2+($D$23^2))^(3/2))</f>
        <v>-657.27044894423307</v>
      </c>
      <c r="X133">
        <f t="shared" ref="X133:X196" si="46">$D$30*(($D$26-N133)/(U133^2+($D$31^2))^(3/2))</f>
        <v>-18.018461604011655</v>
      </c>
      <c r="Y133">
        <f t="shared" ref="Y133:Y196" si="47">$D$38*(($D$34-N133)/(V133^2+($D$39^2))^(3/2))</f>
        <v>-108.74235228626948</v>
      </c>
      <c r="Z133">
        <f t="shared" ref="Z133:Z196" si="48">$D$22*(($E$18-O133)/(T133^2+($D$23^2))^(3/2))</f>
        <v>840.90450208886216</v>
      </c>
      <c r="AA133">
        <f t="shared" ref="AA133:AA196" si="49">$D$30*(($E$26-O133)/(U133^2+($D$31^2))^(3/2))</f>
        <v>12.019928054279699</v>
      </c>
      <c r="AB133">
        <f t="shared" ref="AB133:AB196" si="50">$D$38*(($E$34-O133)/(V133^2+($D$39^2))^(3/2))</f>
        <v>45.552736018559465</v>
      </c>
    </row>
    <row r="134" spans="12:28" x14ac:dyDescent="0.25">
      <c r="L134">
        <v>130</v>
      </c>
      <c r="M134">
        <f t="shared" si="39"/>
        <v>65</v>
      </c>
      <c r="N134">
        <f t="shared" ref="N134:N197" si="51">(N133)+(P133)*(M134-M133)+((1/2*(R133))*((M134-M133)^2))</f>
        <v>52194.696375133739</v>
      </c>
      <c r="O134">
        <f t="shared" ref="O134:O197" si="52">(O133)+(Q133)*(M134-M133)+((1/2*(S133))*((M134-M133)^2))</f>
        <v>-40030.796946731236</v>
      </c>
      <c r="P134">
        <f t="shared" ref="P134:P197" si="53">P133+(R133*(M134-M133))</f>
        <v>-6633.3613096034596</v>
      </c>
      <c r="Q134">
        <f t="shared" ref="Q134:Q197" si="54">Q133+(S133*(M134-M133))</f>
        <v>777.97679394514432</v>
      </c>
      <c r="R134">
        <f t="shared" si="40"/>
        <v>-798.81335169635042</v>
      </c>
      <c r="S134">
        <f t="shared" si="41"/>
        <v>990.06583412070347</v>
      </c>
      <c r="T134">
        <f t="shared" si="42"/>
        <v>55355.859205189729</v>
      </c>
      <c r="U134">
        <f t="shared" si="43"/>
        <v>87835.954072479901</v>
      </c>
      <c r="V134">
        <f t="shared" si="44"/>
        <v>62432.155891273098</v>
      </c>
      <c r="W134">
        <f t="shared" si="45"/>
        <v>-661.38619792010434</v>
      </c>
      <c r="X134">
        <f t="shared" si="46"/>
        <v>-18.952074537049771</v>
      </c>
      <c r="Y134">
        <f t="shared" si="47"/>
        <v>-118.47507923919635</v>
      </c>
      <c r="Z134">
        <f t="shared" si="48"/>
        <v>925.08241838597212</v>
      </c>
      <c r="AA134">
        <f t="shared" si="49"/>
        <v>13.133754146641719</v>
      </c>
      <c r="AB134">
        <f t="shared" si="50"/>
        <v>51.849661588089567</v>
      </c>
    </row>
    <row r="135" spans="12:28" x14ac:dyDescent="0.25">
      <c r="L135">
        <v>131</v>
      </c>
      <c r="M135">
        <f t="shared" si="39"/>
        <v>65.5</v>
      </c>
      <c r="N135">
        <f t="shared" si="51"/>
        <v>48778.164051369968</v>
      </c>
      <c r="O135">
        <f t="shared" si="52"/>
        <v>-39518.050320493574</v>
      </c>
      <c r="P135">
        <f t="shared" si="53"/>
        <v>-7032.7679854516346</v>
      </c>
      <c r="Q135">
        <f t="shared" si="54"/>
        <v>1273.009711005496</v>
      </c>
      <c r="R135">
        <f t="shared" si="40"/>
        <v>-813.62275465849859</v>
      </c>
      <c r="S135">
        <f t="shared" si="41"/>
        <v>1099.3825759175809</v>
      </c>
      <c r="T135">
        <f t="shared" si="42"/>
        <v>53009.805984417268</v>
      </c>
      <c r="U135">
        <f t="shared" si="43"/>
        <v>84749.472905854069</v>
      </c>
      <c r="V135">
        <f t="shared" si="44"/>
        <v>59103.516987183735</v>
      </c>
      <c r="W135">
        <f t="shared" si="45"/>
        <v>-662.80552866953985</v>
      </c>
      <c r="X135">
        <f t="shared" si="46"/>
        <v>-20.086448392579534</v>
      </c>
      <c r="Y135">
        <f t="shared" si="47"/>
        <v>-130.73077759637923</v>
      </c>
      <c r="Z135">
        <f t="shared" si="48"/>
        <v>1025.3193992966785</v>
      </c>
      <c r="AA135">
        <f t="shared" si="49"/>
        <v>14.461592221636783</v>
      </c>
      <c r="AB135">
        <f t="shared" si="50"/>
        <v>59.601584399265626</v>
      </c>
    </row>
    <row r="136" spans="12:28" x14ac:dyDescent="0.25">
      <c r="L136">
        <v>132</v>
      </c>
      <c r="M136">
        <f t="shared" si="39"/>
        <v>66</v>
      </c>
      <c r="N136">
        <f t="shared" si="51"/>
        <v>45160.077214311837</v>
      </c>
      <c r="O136">
        <f t="shared" si="52"/>
        <v>-38744.12264300113</v>
      </c>
      <c r="P136">
        <f t="shared" si="53"/>
        <v>-7439.5793627808835</v>
      </c>
      <c r="Q136">
        <f t="shared" si="54"/>
        <v>1822.7009989642866</v>
      </c>
      <c r="R136">
        <f t="shared" si="40"/>
        <v>-826.85663299433054</v>
      </c>
      <c r="S136">
        <f t="shared" si="41"/>
        <v>1230.9981878611225</v>
      </c>
      <c r="T136">
        <f t="shared" si="42"/>
        <v>50463.628003107922</v>
      </c>
      <c r="U136">
        <f t="shared" si="43"/>
        <v>81374.597724418985</v>
      </c>
      <c r="V136">
        <f t="shared" si="44"/>
        <v>55496.096315250899</v>
      </c>
      <c r="W136">
        <f t="shared" si="45"/>
        <v>-658.90639249556853</v>
      </c>
      <c r="X136">
        <f t="shared" si="46"/>
        <v>-21.478551822572879</v>
      </c>
      <c r="Y136">
        <f t="shared" si="47"/>
        <v>-146.47168867618919</v>
      </c>
      <c r="Z136">
        <f t="shared" si="48"/>
        <v>1145.5959295382449</v>
      </c>
      <c r="AA136">
        <f t="shared" si="49"/>
        <v>16.067402142420939</v>
      </c>
      <c r="AB136">
        <f t="shared" si="50"/>
        <v>69.33485618045674</v>
      </c>
    </row>
    <row r="137" spans="12:28" x14ac:dyDescent="0.25">
      <c r="L137">
        <v>133</v>
      </c>
      <c r="M137">
        <f t="shared" si="39"/>
        <v>66.5</v>
      </c>
      <c r="N137">
        <f t="shared" si="51"/>
        <v>41336.930453797104</v>
      </c>
      <c r="O137">
        <f t="shared" si="52"/>
        <v>-37678.897370036349</v>
      </c>
      <c r="P137">
        <f t="shared" si="53"/>
        <v>-7853.0076792780492</v>
      </c>
      <c r="Q137">
        <f t="shared" si="54"/>
        <v>2438.2000928948478</v>
      </c>
      <c r="R137">
        <f t="shared" si="40"/>
        <v>-835.77355751264122</v>
      </c>
      <c r="S137">
        <f t="shared" si="41"/>
        <v>1390.7630287490786</v>
      </c>
      <c r="T137">
        <f t="shared" si="42"/>
        <v>47715.331727991477</v>
      </c>
      <c r="U137">
        <f t="shared" si="43"/>
        <v>77688.456619477278</v>
      </c>
      <c r="V137">
        <f t="shared" si="44"/>
        <v>51589.180162129647</v>
      </c>
      <c r="W137">
        <f t="shared" si="45"/>
        <v>-645.36904775917674</v>
      </c>
      <c r="X137">
        <f t="shared" si="46"/>
        <v>-23.2101439811068</v>
      </c>
      <c r="Y137">
        <f t="shared" si="47"/>
        <v>-167.19436577235763</v>
      </c>
      <c r="Z137">
        <f t="shared" si="48"/>
        <v>1290.8904312527461</v>
      </c>
      <c r="AA137">
        <f t="shared" si="49"/>
        <v>18.041888706063396</v>
      </c>
      <c r="AB137">
        <f t="shared" si="50"/>
        <v>81.830708790268972</v>
      </c>
    </row>
    <row r="138" spans="12:28" x14ac:dyDescent="0.25">
      <c r="L138">
        <v>134</v>
      </c>
      <c r="M138">
        <f t="shared" si="39"/>
        <v>67</v>
      </c>
      <c r="N138">
        <f t="shared" si="51"/>
        <v>37305.954919469004</v>
      </c>
      <c r="O138">
        <f t="shared" si="52"/>
        <v>-36285.951944995286</v>
      </c>
      <c r="P138">
        <f t="shared" si="53"/>
        <v>-8270.8944580343705</v>
      </c>
      <c r="Q138">
        <f t="shared" si="54"/>
        <v>3133.581607269387</v>
      </c>
      <c r="R138">
        <f t="shared" si="40"/>
        <v>-835.73485450721762</v>
      </c>
      <c r="S138">
        <f t="shared" si="41"/>
        <v>1585.9733473611127</v>
      </c>
      <c r="T138">
        <f t="shared" si="42"/>
        <v>44766.347893022874</v>
      </c>
      <c r="U138">
        <f t="shared" si="43"/>
        <v>73663.843347239395</v>
      </c>
      <c r="V138">
        <f t="shared" si="44"/>
        <v>47359.112870204743</v>
      </c>
      <c r="W138">
        <f t="shared" si="45"/>
        <v>-615.00049167765997</v>
      </c>
      <c r="X138">
        <f t="shared" si="46"/>
        <v>-25.402312921371287</v>
      </c>
      <c r="Y138">
        <f t="shared" si="47"/>
        <v>-195.33204990818638</v>
      </c>
      <c r="Z138">
        <f t="shared" si="48"/>
        <v>1467.1759439860718</v>
      </c>
      <c r="AA138">
        <f t="shared" si="49"/>
        <v>20.517418073263283</v>
      </c>
      <c r="AB138">
        <f t="shared" si="50"/>
        <v>98.279985301777515</v>
      </c>
    </row>
    <row r="139" spans="12:28" x14ac:dyDescent="0.25">
      <c r="L139">
        <v>135</v>
      </c>
      <c r="M139">
        <f t="shared" si="39"/>
        <v>67.5</v>
      </c>
      <c r="N139">
        <f t="shared" si="51"/>
        <v>33066.040833638421</v>
      </c>
      <c r="O139">
        <f t="shared" si="52"/>
        <v>-34520.914472940451</v>
      </c>
      <c r="P139">
        <f t="shared" si="53"/>
        <v>-8688.7618852879787</v>
      </c>
      <c r="Q139">
        <f t="shared" si="54"/>
        <v>3926.5682809499431</v>
      </c>
      <c r="R139">
        <f t="shared" si="40"/>
        <v>-819.0231747187413</v>
      </c>
      <c r="S139">
        <f t="shared" si="41"/>
        <v>1825.142716866636</v>
      </c>
      <c r="T139">
        <f t="shared" si="42"/>
        <v>41624.801547199961</v>
      </c>
      <c r="U139">
        <f t="shared" si="43"/>
        <v>69268.438088816896</v>
      </c>
      <c r="V139">
        <f t="shared" si="44"/>
        <v>42779.546124381493</v>
      </c>
      <c r="W139">
        <f t="shared" si="45"/>
        <v>-555.72655556625739</v>
      </c>
      <c r="X139">
        <f t="shared" si="46"/>
        <v>-28.241271116477726</v>
      </c>
      <c r="Y139">
        <f t="shared" si="47"/>
        <v>-235.05534803600619</v>
      </c>
      <c r="Z139">
        <f t="shared" si="48"/>
        <v>1680.9086970195849</v>
      </c>
      <c r="AA139">
        <f t="shared" si="49"/>
        <v>23.693631486952988</v>
      </c>
      <c r="AB139">
        <f t="shared" si="50"/>
        <v>120.54038836009811</v>
      </c>
    </row>
    <row r="140" spans="12:28" x14ac:dyDescent="0.25">
      <c r="L140">
        <v>136</v>
      </c>
      <c r="M140">
        <f t="shared" si="39"/>
        <v>68</v>
      </c>
      <c r="N140">
        <f t="shared" si="51"/>
        <v>28619.281994154586</v>
      </c>
      <c r="O140">
        <f t="shared" si="52"/>
        <v>-32329.487492857152</v>
      </c>
      <c r="P140">
        <f t="shared" si="53"/>
        <v>-9098.27347264735</v>
      </c>
      <c r="Q140">
        <f t="shared" si="54"/>
        <v>4839.1396393832611</v>
      </c>
      <c r="R140">
        <f t="shared" si="40"/>
        <v>-773.27072212113717</v>
      </c>
      <c r="S140">
        <f t="shared" si="41"/>
        <v>2116.5117950794961</v>
      </c>
      <c r="T140">
        <f t="shared" si="42"/>
        <v>38311.651733828134</v>
      </c>
      <c r="U140">
        <f t="shared" si="43"/>
        <v>64464.099257145252</v>
      </c>
      <c r="V140">
        <f t="shared" si="44"/>
        <v>37822.84043494855</v>
      </c>
      <c r="W140">
        <f t="shared" si="45"/>
        <v>-447.27043371427277</v>
      </c>
      <c r="X140">
        <f t="shared" si="46"/>
        <v>-32.02662253320441</v>
      </c>
      <c r="Y140">
        <f t="shared" si="47"/>
        <v>-293.97366587365991</v>
      </c>
      <c r="Z140">
        <f t="shared" si="48"/>
        <v>1937.0959289398895</v>
      </c>
      <c r="AA140">
        <f t="shared" si="49"/>
        <v>27.883392398117333</v>
      </c>
      <c r="AB140">
        <f t="shared" si="50"/>
        <v>151.53247374148935</v>
      </c>
    </row>
    <row r="141" spans="12:28" x14ac:dyDescent="0.25">
      <c r="L141">
        <v>137</v>
      </c>
      <c r="M141">
        <f t="shared" si="39"/>
        <v>68.5</v>
      </c>
      <c r="N141">
        <f t="shared" si="51"/>
        <v>23973.486417565768</v>
      </c>
      <c r="O141">
        <f t="shared" si="52"/>
        <v>-29645.353698780582</v>
      </c>
      <c r="P141">
        <f t="shared" si="53"/>
        <v>-9484.9088337079193</v>
      </c>
      <c r="Q141">
        <f t="shared" si="54"/>
        <v>5897.3955369230089</v>
      </c>
      <c r="R141">
        <f t="shared" si="40"/>
        <v>-680.46503587511324</v>
      </c>
      <c r="S141">
        <f t="shared" si="41"/>
        <v>2462.9772821495299</v>
      </c>
      <c r="T141">
        <f t="shared" si="42"/>
        <v>34872.469474130863</v>
      </c>
      <c r="U141">
        <f t="shared" si="43"/>
        <v>59206.600794313948</v>
      </c>
      <c r="V141">
        <f t="shared" si="44"/>
        <v>32464.585322336308</v>
      </c>
      <c r="W141">
        <f t="shared" si="45"/>
        <v>-256.1901214060216</v>
      </c>
      <c r="X141">
        <f t="shared" si="46"/>
        <v>-37.267498027039338</v>
      </c>
      <c r="Y141">
        <f t="shared" si="47"/>
        <v>-387.00741644205237</v>
      </c>
      <c r="Z141">
        <f t="shared" si="48"/>
        <v>2233.7555580931462</v>
      </c>
      <c r="AA141">
        <f t="shared" si="49"/>
        <v>33.599408669138015</v>
      </c>
      <c r="AB141">
        <f t="shared" si="50"/>
        <v>195.62231538724566</v>
      </c>
    </row>
    <row r="142" spans="12:28" x14ac:dyDescent="0.25">
      <c r="L142">
        <v>138</v>
      </c>
      <c r="M142">
        <f t="shared" si="39"/>
        <v>69</v>
      </c>
      <c r="N142">
        <f t="shared" si="51"/>
        <v>19145.973871227416</v>
      </c>
      <c r="O142">
        <f t="shared" si="52"/>
        <v>-26388.783770050384</v>
      </c>
      <c r="P142">
        <f t="shared" si="53"/>
        <v>-9825.1413516454759</v>
      </c>
      <c r="Q142">
        <f t="shared" si="54"/>
        <v>7128.8841779977738</v>
      </c>
      <c r="R142">
        <f t="shared" si="40"/>
        <v>-521.21838061318545</v>
      </c>
      <c r="S142">
        <f t="shared" si="41"/>
        <v>2847.2465907439291</v>
      </c>
      <c r="T142">
        <f t="shared" si="42"/>
        <v>31400.39979349952</v>
      </c>
      <c r="U142">
        <f t="shared" si="43"/>
        <v>53446.710418792863</v>
      </c>
      <c r="V142">
        <f t="shared" si="44"/>
        <v>26697.049461522151</v>
      </c>
      <c r="W142">
        <f t="shared" si="45"/>
        <v>69.330115200329388</v>
      </c>
      <c r="X142">
        <f t="shared" si="46"/>
        <v>-44.888709755917418</v>
      </c>
      <c r="Y142">
        <f t="shared" si="47"/>
        <v>-545.65978605759744</v>
      </c>
      <c r="Z142">
        <f t="shared" si="48"/>
        <v>2548.1515394657349</v>
      </c>
      <c r="AA142">
        <f t="shared" si="49"/>
        <v>41.72703835132392</v>
      </c>
      <c r="AB142">
        <f t="shared" si="50"/>
        <v>257.36801292687034</v>
      </c>
    </row>
    <row r="143" spans="12:28" x14ac:dyDescent="0.25">
      <c r="L143">
        <v>139</v>
      </c>
      <c r="M143">
        <f t="shared" si="39"/>
        <v>69.5</v>
      </c>
      <c r="N143">
        <f t="shared" si="51"/>
        <v>14168.250897828029</v>
      </c>
      <c r="O143">
        <f t="shared" si="52"/>
        <v>-22468.435857208508</v>
      </c>
      <c r="P143">
        <f t="shared" si="53"/>
        <v>-10085.750541952069</v>
      </c>
      <c r="Q143">
        <f t="shared" si="54"/>
        <v>8552.5074733697384</v>
      </c>
      <c r="R143">
        <f t="shared" si="40"/>
        <v>-299.18518301309746</v>
      </c>
      <c r="S143">
        <f t="shared" si="41"/>
        <v>3188.737171196005</v>
      </c>
      <c r="T143">
        <f t="shared" si="42"/>
        <v>28080.674244616377</v>
      </c>
      <c r="U143">
        <f t="shared" si="43"/>
        <v>47134.58068584666</v>
      </c>
      <c r="V143">
        <f t="shared" si="44"/>
        <v>20571.810242059953</v>
      </c>
      <c r="W143">
        <f t="shared" si="45"/>
        <v>596.17719696968675</v>
      </c>
      <c r="X143">
        <f t="shared" si="46"/>
        <v>-56.713288526159715</v>
      </c>
      <c r="Y143">
        <f t="shared" si="47"/>
        <v>-838.64909145662455</v>
      </c>
      <c r="Z143">
        <f t="shared" si="48"/>
        <v>2808.0863575549088</v>
      </c>
      <c r="AA143">
        <f t="shared" si="49"/>
        <v>53.891894445203448</v>
      </c>
      <c r="AB143">
        <f t="shared" si="50"/>
        <v>326.75891919589293</v>
      </c>
    </row>
    <row r="144" spans="12:28" x14ac:dyDescent="0.25">
      <c r="L144">
        <v>140</v>
      </c>
      <c r="M144">
        <f t="shared" si="39"/>
        <v>70</v>
      </c>
      <c r="N144">
        <f t="shared" si="51"/>
        <v>9087.9774789753574</v>
      </c>
      <c r="O144">
        <f t="shared" si="52"/>
        <v>-17793.589974124137</v>
      </c>
      <c r="P144">
        <f t="shared" si="53"/>
        <v>-10235.343133458618</v>
      </c>
      <c r="Q144">
        <f t="shared" si="54"/>
        <v>10146.87605896774</v>
      </c>
      <c r="R144">
        <f t="shared" si="40"/>
        <v>-87.35259153105153</v>
      </c>
      <c r="S144">
        <f t="shared" si="41"/>
        <v>3198.6320684127404</v>
      </c>
      <c r="T144">
        <f t="shared" si="42"/>
        <v>25270.93151048931</v>
      </c>
      <c r="U144">
        <f t="shared" si="43"/>
        <v>40231.75459095851</v>
      </c>
      <c r="V144">
        <f t="shared" si="44"/>
        <v>14362.285834491799</v>
      </c>
      <c r="W144">
        <f t="shared" si="45"/>
        <v>1365.5539221914773</v>
      </c>
      <c r="X144">
        <f t="shared" si="46"/>
        <v>-76.713315236288125</v>
      </c>
      <c r="Y144">
        <f t="shared" si="47"/>
        <v>-1376.1931984862408</v>
      </c>
      <c r="Z144">
        <f t="shared" si="48"/>
        <v>2852.4387784224273</v>
      </c>
      <c r="AA144">
        <f t="shared" si="49"/>
        <v>73.299645215079693</v>
      </c>
      <c r="AB144">
        <f t="shared" si="50"/>
        <v>272.8936447752335</v>
      </c>
    </row>
    <row r="145" spans="12:28" x14ac:dyDescent="0.25">
      <c r="L145">
        <v>141</v>
      </c>
      <c r="M145">
        <f t="shared" ref="M145:M208" si="55">L145*$D$5</f>
        <v>70.5</v>
      </c>
      <c r="N145">
        <f t="shared" si="51"/>
        <v>3959.3868383046665</v>
      </c>
      <c r="O145">
        <f t="shared" si="52"/>
        <v>-12320.322936088674</v>
      </c>
      <c r="P145">
        <f t="shared" si="53"/>
        <v>-10279.019429224145</v>
      </c>
      <c r="Q145">
        <f t="shared" si="54"/>
        <v>11746.192093174112</v>
      </c>
      <c r="R145">
        <f t="shared" si="40"/>
        <v>326.03767688420453</v>
      </c>
      <c r="S145">
        <f t="shared" si="41"/>
        <v>2009.5604126832345</v>
      </c>
      <c r="T145">
        <f t="shared" si="42"/>
        <v>23607.093366476802</v>
      </c>
      <c r="U145">
        <f t="shared" si="43"/>
        <v>32745.213904306886</v>
      </c>
      <c r="V145">
        <f t="shared" si="44"/>
        <v>9351.5390008938812</v>
      </c>
      <c r="W145">
        <f t="shared" si="45"/>
        <v>2268.511504201575</v>
      </c>
      <c r="X145">
        <f t="shared" si="46"/>
        <v>-114.60810171387983</v>
      </c>
      <c r="Y145">
        <f t="shared" si="47"/>
        <v>-1827.8657256034905</v>
      </c>
      <c r="Z145">
        <f t="shared" si="48"/>
        <v>2449.4918891773127</v>
      </c>
      <c r="AA145">
        <f t="shared" si="49"/>
        <v>106.76775071957157</v>
      </c>
      <c r="AB145">
        <f t="shared" si="50"/>
        <v>-546.69922721364992</v>
      </c>
    </row>
    <row r="146" spans="12:28" x14ac:dyDescent="0.25">
      <c r="L146">
        <v>142</v>
      </c>
      <c r="M146">
        <f t="shared" si="55"/>
        <v>71</v>
      </c>
      <c r="N146">
        <f t="shared" si="51"/>
        <v>-1139.3681666968803</v>
      </c>
      <c r="O146">
        <f t="shared" si="52"/>
        <v>-6196.0318379162145</v>
      </c>
      <c r="P146">
        <f t="shared" si="53"/>
        <v>-10116.000590782043</v>
      </c>
      <c r="Q146">
        <f t="shared" si="54"/>
        <v>12750.972299515728</v>
      </c>
      <c r="R146">
        <f t="shared" si="40"/>
        <v>1967.0201756132528</v>
      </c>
      <c r="S146">
        <f t="shared" si="41"/>
        <v>-11.226590412399673</v>
      </c>
      <c r="T146">
        <f t="shared" si="42"/>
        <v>23921.204305025927</v>
      </c>
      <c r="U146">
        <f t="shared" si="43"/>
        <v>24860.307328072246</v>
      </c>
      <c r="V146">
        <f t="shared" si="44"/>
        <v>9613.237412614877</v>
      </c>
      <c r="W146">
        <f t="shared" si="45"/>
        <v>2920.9968925968228</v>
      </c>
      <c r="X146">
        <f t="shared" si="46"/>
        <v>-196.61930791943433</v>
      </c>
      <c r="Y146">
        <f t="shared" si="47"/>
        <v>-757.35740906413537</v>
      </c>
      <c r="Z146">
        <f t="shared" si="48"/>
        <v>1547.0459641972561</v>
      </c>
      <c r="AA146">
        <f t="shared" si="49"/>
        <v>168.84124557212712</v>
      </c>
      <c r="AB146">
        <f t="shared" si="50"/>
        <v>-1727.1138001817828</v>
      </c>
    </row>
    <row r="147" spans="12:28" x14ac:dyDescent="0.25">
      <c r="L147">
        <v>143</v>
      </c>
      <c r="M147">
        <f t="shared" si="55"/>
        <v>71.5</v>
      </c>
      <c r="N147">
        <f t="shared" si="51"/>
        <v>-5951.4909401362456</v>
      </c>
      <c r="O147">
        <f t="shared" si="52"/>
        <v>178.05098804009958</v>
      </c>
      <c r="P147">
        <f t="shared" si="53"/>
        <v>-9132.4905029754173</v>
      </c>
      <c r="Q147">
        <f t="shared" si="54"/>
        <v>12745.359004309528</v>
      </c>
      <c r="R147">
        <f t="shared" si="40"/>
        <v>2678.115755112985</v>
      </c>
      <c r="S147">
        <f t="shared" si="41"/>
        <v>-484.02961147474923</v>
      </c>
      <c r="T147">
        <f t="shared" si="42"/>
        <v>26395.663929704719</v>
      </c>
      <c r="U147">
        <f t="shared" si="43"/>
        <v>17141.507786615915</v>
      </c>
      <c r="V147">
        <f t="shared" si="44"/>
        <v>15207.84556749267</v>
      </c>
      <c r="W147">
        <f t="shared" si="45"/>
        <v>2992.9585326652036</v>
      </c>
      <c r="X147">
        <f t="shared" si="46"/>
        <v>-397.46811986576853</v>
      </c>
      <c r="Y147">
        <f t="shared" si="47"/>
        <v>82.625342313550007</v>
      </c>
      <c r="Z147">
        <f t="shared" si="48"/>
        <v>556.11037811711049</v>
      </c>
      <c r="AA147">
        <f t="shared" si="49"/>
        <v>277.88796594469397</v>
      </c>
      <c r="AB147">
        <f t="shared" si="50"/>
        <v>-1318.0279555365537</v>
      </c>
    </row>
    <row r="148" spans="12:28" x14ac:dyDescent="0.25">
      <c r="L148">
        <v>144</v>
      </c>
      <c r="M148">
        <f t="shared" si="55"/>
        <v>72</v>
      </c>
      <c r="N148">
        <f t="shared" si="51"/>
        <v>-10182.97172223483</v>
      </c>
      <c r="O148">
        <f t="shared" si="52"/>
        <v>6490.2267887605203</v>
      </c>
      <c r="P148">
        <f t="shared" si="53"/>
        <v>-7793.4326254189245</v>
      </c>
      <c r="Q148">
        <f t="shared" si="54"/>
        <v>12503.344198572153</v>
      </c>
      <c r="R148">
        <f t="shared" si="40"/>
        <v>1956.3288461983082</v>
      </c>
      <c r="S148">
        <f t="shared" si="41"/>
        <v>-600.63709574257143</v>
      </c>
      <c r="T148">
        <f t="shared" si="42"/>
        <v>30219.737885480856</v>
      </c>
      <c r="U148">
        <f t="shared" si="43"/>
        <v>10425.572032304764</v>
      </c>
      <c r="V148">
        <f t="shared" si="44"/>
        <v>22106.402767204032</v>
      </c>
      <c r="W148">
        <f t="shared" si="45"/>
        <v>2656.6732581642054</v>
      </c>
      <c r="X148">
        <f t="shared" si="46"/>
        <v>-890.34025811157892</v>
      </c>
      <c r="Y148">
        <f t="shared" si="47"/>
        <v>189.99584614568161</v>
      </c>
      <c r="Z148">
        <f t="shared" si="48"/>
        <v>-131.16818631160464</v>
      </c>
      <c r="AA148">
        <f t="shared" si="49"/>
        <v>318.31347515680585</v>
      </c>
      <c r="AB148">
        <f t="shared" si="50"/>
        <v>-787.78238458777264</v>
      </c>
    </row>
    <row r="149" spans="12:28" x14ac:dyDescent="0.25">
      <c r="L149">
        <v>145</v>
      </c>
      <c r="M149">
        <f t="shared" si="55"/>
        <v>72.5</v>
      </c>
      <c r="N149">
        <f t="shared" si="51"/>
        <v>-13835.146929169505</v>
      </c>
      <c r="O149">
        <f t="shared" si="52"/>
        <v>12666.819251078776</v>
      </c>
      <c r="P149">
        <f t="shared" si="53"/>
        <v>-6815.2682023197704</v>
      </c>
      <c r="Q149">
        <f t="shared" si="54"/>
        <v>12203.025650700867</v>
      </c>
      <c r="R149">
        <f t="shared" si="40"/>
        <v>1154.0973522555994</v>
      </c>
      <c r="S149">
        <f t="shared" si="41"/>
        <v>-1524.4945557138913</v>
      </c>
      <c r="T149">
        <f t="shared" si="42"/>
        <v>34692.899635908216</v>
      </c>
      <c r="U149">
        <f t="shared" si="43"/>
        <v>6716.944119378436</v>
      </c>
      <c r="V149">
        <f t="shared" si="44"/>
        <v>29043.290253204381</v>
      </c>
      <c r="W149">
        <f t="shared" si="45"/>
        <v>2207.0578032212761</v>
      </c>
      <c r="X149">
        <f t="shared" si="46"/>
        <v>-1212.5817228845515</v>
      </c>
      <c r="Y149">
        <f t="shared" si="47"/>
        <v>159.6212719188747</v>
      </c>
      <c r="Z149">
        <f t="shared" si="48"/>
        <v>-500.1046187091539</v>
      </c>
      <c r="AA149">
        <f t="shared" si="49"/>
        <v>-524.54393396583578</v>
      </c>
      <c r="AB149">
        <f t="shared" si="50"/>
        <v>-499.84600303890153</v>
      </c>
    </row>
    <row r="150" spans="12:28" x14ac:dyDescent="0.25">
      <c r="L150">
        <v>146</v>
      </c>
      <c r="M150">
        <f t="shared" si="55"/>
        <v>73</v>
      </c>
      <c r="N150">
        <f t="shared" si="51"/>
        <v>-17098.518861297438</v>
      </c>
      <c r="O150">
        <f t="shared" si="52"/>
        <v>18577.77025696497</v>
      </c>
      <c r="P150">
        <f t="shared" si="53"/>
        <v>-6238.2195261919705</v>
      </c>
      <c r="Q150">
        <f t="shared" si="54"/>
        <v>11440.778372843921</v>
      </c>
      <c r="R150">
        <f t="shared" si="40"/>
        <v>1566.8071170808241</v>
      </c>
      <c r="S150">
        <f t="shared" si="41"/>
        <v>-2027.8580588251893</v>
      </c>
      <c r="T150">
        <f t="shared" si="42"/>
        <v>39505.13823356355</v>
      </c>
      <c r="U150">
        <f t="shared" si="43"/>
        <v>9055.2048778323951</v>
      </c>
      <c r="V150">
        <f t="shared" si="44"/>
        <v>35690.906601916002</v>
      </c>
      <c r="W150">
        <f t="shared" si="45"/>
        <v>1789.9590432534785</v>
      </c>
      <c r="X150">
        <f t="shared" si="46"/>
        <v>-347.55359512153206</v>
      </c>
      <c r="Y150">
        <f t="shared" si="47"/>
        <v>124.4016689488776</v>
      </c>
      <c r="Z150">
        <f t="shared" si="48"/>
        <v>-655.11113124322151</v>
      </c>
      <c r="AA150">
        <f t="shared" si="49"/>
        <v>-1027.4872551016563</v>
      </c>
      <c r="AB150">
        <f t="shared" si="50"/>
        <v>-345.25967248031151</v>
      </c>
    </row>
    <row r="151" spans="12:28" x14ac:dyDescent="0.25">
      <c r="L151">
        <v>147</v>
      </c>
      <c r="M151">
        <f t="shared" si="55"/>
        <v>73.5</v>
      </c>
      <c r="N151">
        <f t="shared" si="51"/>
        <v>-20021.777734758321</v>
      </c>
      <c r="O151">
        <f t="shared" si="52"/>
        <v>24044.677186033783</v>
      </c>
      <c r="P151">
        <f t="shared" si="53"/>
        <v>-5454.8159676515588</v>
      </c>
      <c r="Q151">
        <f t="shared" si="54"/>
        <v>10426.849343431326</v>
      </c>
      <c r="R151">
        <f t="shared" si="40"/>
        <v>1557.9629062459703</v>
      </c>
      <c r="S151">
        <f t="shared" si="41"/>
        <v>-1603.4754925632976</v>
      </c>
      <c r="T151">
        <f t="shared" si="42"/>
        <v>44322.030889509479</v>
      </c>
      <c r="U151">
        <f t="shared" si="43"/>
        <v>14044.694070346603</v>
      </c>
      <c r="V151">
        <f t="shared" si="44"/>
        <v>41834.682057762409</v>
      </c>
      <c r="W151">
        <f t="shared" si="45"/>
        <v>1458.1153130751277</v>
      </c>
      <c r="X151">
        <f t="shared" si="46"/>
        <v>1.012120006816182</v>
      </c>
      <c r="Y151">
        <f t="shared" si="47"/>
        <v>98.835473164026439</v>
      </c>
      <c r="Z151">
        <f t="shared" si="48"/>
        <v>-693.85562084642572</v>
      </c>
      <c r="AA151">
        <f t="shared" si="49"/>
        <v>-652.72623287084321</v>
      </c>
      <c r="AB151">
        <f t="shared" si="50"/>
        <v>-256.89363884602858</v>
      </c>
    </row>
    <row r="152" spans="12:28" x14ac:dyDescent="0.25">
      <c r="L152">
        <v>148</v>
      </c>
      <c r="M152">
        <f t="shared" si="55"/>
        <v>74</v>
      </c>
      <c r="N152">
        <f t="shared" si="51"/>
        <v>-22554.440355303355</v>
      </c>
      <c r="O152">
        <f t="shared" si="52"/>
        <v>29057.667421179034</v>
      </c>
      <c r="P152">
        <f t="shared" si="53"/>
        <v>-4675.8345145285739</v>
      </c>
      <c r="Q152">
        <f t="shared" si="54"/>
        <v>9625.1115971496765</v>
      </c>
      <c r="R152">
        <f t="shared" si="40"/>
        <v>1344.0515914399869</v>
      </c>
      <c r="S152">
        <f t="shared" si="41"/>
        <v>-1285.9977964990178</v>
      </c>
      <c r="T152">
        <f t="shared" si="42"/>
        <v>48884.064435162611</v>
      </c>
      <c r="U152">
        <f t="shared" si="43"/>
        <v>19228.100609916495</v>
      </c>
      <c r="V152">
        <f t="shared" si="44"/>
        <v>47426.11553546341</v>
      </c>
      <c r="W152">
        <f t="shared" si="45"/>
        <v>1209.7858622678109</v>
      </c>
      <c r="X152">
        <f t="shared" si="46"/>
        <v>53.543059016005579</v>
      </c>
      <c r="Y152">
        <f t="shared" si="47"/>
        <v>80.722670156170253</v>
      </c>
      <c r="Z152">
        <f t="shared" si="48"/>
        <v>-683.93863677392085</v>
      </c>
      <c r="AA152">
        <f t="shared" si="49"/>
        <v>-399.46354954857281</v>
      </c>
      <c r="AB152">
        <f t="shared" si="50"/>
        <v>-202.59561017652422</v>
      </c>
    </row>
    <row r="153" spans="12:28" x14ac:dyDescent="0.25">
      <c r="L153">
        <v>149</v>
      </c>
      <c r="M153">
        <f t="shared" si="55"/>
        <v>74.5</v>
      </c>
      <c r="N153">
        <f t="shared" si="51"/>
        <v>-24724.351163637642</v>
      </c>
      <c r="O153">
        <f t="shared" si="52"/>
        <v>33709.473495191494</v>
      </c>
      <c r="P153">
        <f t="shared" si="53"/>
        <v>-4003.8087188085806</v>
      </c>
      <c r="Q153">
        <f t="shared" si="54"/>
        <v>8982.1126989001677</v>
      </c>
      <c r="R153">
        <f t="shared" si="40"/>
        <v>1143.8309017189465</v>
      </c>
      <c r="S153">
        <f t="shared" si="41"/>
        <v>-1090.4611509355602</v>
      </c>
      <c r="T153">
        <f t="shared" si="42"/>
        <v>53146.038943457286</v>
      </c>
      <c r="U153">
        <f t="shared" si="43"/>
        <v>24175.579152040027</v>
      </c>
      <c r="V153">
        <f t="shared" si="44"/>
        <v>52551.52554403399</v>
      </c>
      <c r="W153">
        <f t="shared" si="45"/>
        <v>1023.1487833155886</v>
      </c>
      <c r="X153">
        <f t="shared" si="46"/>
        <v>53.217875209228929</v>
      </c>
      <c r="Y153">
        <f t="shared" si="47"/>
        <v>67.464243194129068</v>
      </c>
      <c r="Z153">
        <f t="shared" si="48"/>
        <v>-656.78007868157499</v>
      </c>
      <c r="AA153">
        <f t="shared" si="49"/>
        <v>-267.07747964528733</v>
      </c>
      <c r="AB153">
        <f t="shared" si="50"/>
        <v>-166.60359260869797</v>
      </c>
    </row>
    <row r="154" spans="12:28" x14ac:dyDescent="0.25">
      <c r="L154">
        <v>150</v>
      </c>
      <c r="M154">
        <f t="shared" si="55"/>
        <v>75</v>
      </c>
      <c r="N154">
        <f t="shared" si="51"/>
        <v>-26583.276660327061</v>
      </c>
      <c r="O154">
        <f t="shared" si="52"/>
        <v>38064.222200774631</v>
      </c>
      <c r="P154">
        <f t="shared" si="53"/>
        <v>-3431.8932679491072</v>
      </c>
      <c r="Q154">
        <f t="shared" si="54"/>
        <v>8436.8821234323877</v>
      </c>
      <c r="R154">
        <f t="shared" si="40"/>
        <v>982.83833727291062</v>
      </c>
      <c r="S154">
        <f t="shared" si="41"/>
        <v>-959.04782698010035</v>
      </c>
      <c r="T154">
        <f t="shared" si="42"/>
        <v>57124.814696896559</v>
      </c>
      <c r="U154">
        <f t="shared" si="43"/>
        <v>28826.031626307125</v>
      </c>
      <c r="V154">
        <f t="shared" si="44"/>
        <v>57285.683282731319</v>
      </c>
      <c r="W154">
        <f t="shared" si="45"/>
        <v>880.07521739601566</v>
      </c>
      <c r="X154">
        <f t="shared" si="46"/>
        <v>45.295513260002338</v>
      </c>
      <c r="Y154">
        <f t="shared" si="47"/>
        <v>57.467606616892674</v>
      </c>
      <c r="Z154">
        <f t="shared" si="48"/>
        <v>-624.6662885816113</v>
      </c>
      <c r="AA154">
        <f t="shared" si="49"/>
        <v>-193.0928038445351</v>
      </c>
      <c r="AB154">
        <f t="shared" si="50"/>
        <v>-141.28873455395393</v>
      </c>
    </row>
    <row r="155" spans="12:28" x14ac:dyDescent="0.25">
      <c r="L155">
        <v>151</v>
      </c>
      <c r="M155">
        <f t="shared" si="55"/>
        <v>75.5</v>
      </c>
      <c r="N155">
        <f t="shared" si="51"/>
        <v>-28176.368502142501</v>
      </c>
      <c r="O155">
        <f t="shared" si="52"/>
        <v>42162.782284118308</v>
      </c>
      <c r="P155">
        <f t="shared" si="53"/>
        <v>-2940.474099312652</v>
      </c>
      <c r="Q155">
        <f t="shared" si="54"/>
        <v>7957.3582099423375</v>
      </c>
      <c r="R155">
        <f t="shared" si="40"/>
        <v>855.48390224549439</v>
      </c>
      <c r="S155">
        <f t="shared" si="41"/>
        <v>-863.23708009161874</v>
      </c>
      <c r="T155">
        <f t="shared" si="42"/>
        <v>60844.349525251775</v>
      </c>
      <c r="U155">
        <f t="shared" si="43"/>
        <v>33185.803683780548</v>
      </c>
      <c r="V155">
        <f t="shared" si="44"/>
        <v>61682.475107672297</v>
      </c>
      <c r="W155">
        <f t="shared" si="45"/>
        <v>768.11040427024841</v>
      </c>
      <c r="X155">
        <f t="shared" si="46"/>
        <v>37.638984491160109</v>
      </c>
      <c r="Y155">
        <f t="shared" si="47"/>
        <v>49.734513484085866</v>
      </c>
      <c r="Z155">
        <f t="shared" si="48"/>
        <v>-592.5128981606797</v>
      </c>
      <c r="AA155">
        <f t="shared" si="49"/>
        <v>-148.0577181993784</v>
      </c>
      <c r="AB155">
        <f t="shared" si="50"/>
        <v>-122.66646373156061</v>
      </c>
    </row>
    <row r="156" spans="12:28" x14ac:dyDescent="0.25">
      <c r="L156">
        <v>152</v>
      </c>
      <c r="M156">
        <f t="shared" si="55"/>
        <v>76</v>
      </c>
      <c r="N156">
        <f t="shared" si="51"/>
        <v>-29539.670064018141</v>
      </c>
      <c r="O156">
        <f t="shared" si="52"/>
        <v>46033.556754078025</v>
      </c>
      <c r="P156">
        <f t="shared" si="53"/>
        <v>-2512.7321481899048</v>
      </c>
      <c r="Q156">
        <f t="shared" si="54"/>
        <v>7525.7396698965276</v>
      </c>
      <c r="R156">
        <f t="shared" si="40"/>
        <v>753.84252828187493</v>
      </c>
      <c r="S156">
        <f t="shared" si="41"/>
        <v>-789.37072200786974</v>
      </c>
      <c r="T156">
        <f t="shared" si="42"/>
        <v>64326.757185030845</v>
      </c>
      <c r="U156">
        <f t="shared" si="43"/>
        <v>37274.9583135875</v>
      </c>
      <c r="V156">
        <f t="shared" si="44"/>
        <v>65782.143906261757</v>
      </c>
      <c r="W156">
        <f t="shared" si="45"/>
        <v>678.8202478622743</v>
      </c>
      <c r="X156">
        <f t="shared" si="46"/>
        <v>31.404825710841664</v>
      </c>
      <c r="Y156">
        <f t="shared" si="47"/>
        <v>43.617454708758935</v>
      </c>
      <c r="Z156">
        <f t="shared" si="48"/>
        <v>-562.26472906417825</v>
      </c>
      <c r="AA156">
        <f t="shared" si="49"/>
        <v>-118.62334462402744</v>
      </c>
      <c r="AB156">
        <f t="shared" si="50"/>
        <v>-108.48264831966398</v>
      </c>
    </row>
    <row r="157" spans="12:28" x14ac:dyDescent="0.25">
      <c r="L157">
        <v>153</v>
      </c>
      <c r="M157">
        <f t="shared" si="55"/>
        <v>76.5</v>
      </c>
      <c r="N157">
        <f t="shared" si="51"/>
        <v>-30701.805822077858</v>
      </c>
      <c r="O157">
        <f t="shared" si="52"/>
        <v>49697.755248775306</v>
      </c>
      <c r="P157">
        <f t="shared" si="53"/>
        <v>-2135.8108840489672</v>
      </c>
      <c r="Q157">
        <f t="shared" si="54"/>
        <v>7131.0543088925924</v>
      </c>
      <c r="R157">
        <f t="shared" si="40"/>
        <v>671.58658571748197</v>
      </c>
      <c r="S157">
        <f t="shared" si="41"/>
        <v>-730.25134131657182</v>
      </c>
      <c r="T157">
        <f t="shared" si="42"/>
        <v>67591.141711759163</v>
      </c>
      <c r="U157">
        <f t="shared" si="43"/>
        <v>41114.965884032143</v>
      </c>
      <c r="V157">
        <f t="shared" si="44"/>
        <v>69615.963375839507</v>
      </c>
      <c r="W157">
        <f t="shared" si="45"/>
        <v>606.40937845989515</v>
      </c>
      <c r="X157">
        <f t="shared" si="46"/>
        <v>26.493264332352716</v>
      </c>
      <c r="Y157">
        <f t="shared" si="47"/>
        <v>38.683942925234071</v>
      </c>
      <c r="Z157">
        <f t="shared" si="48"/>
        <v>-534.59906485538909</v>
      </c>
      <c r="AA157">
        <f t="shared" si="49"/>
        <v>-98.275294907438749</v>
      </c>
      <c r="AB157">
        <f t="shared" si="50"/>
        <v>-97.376981553744045</v>
      </c>
    </row>
    <row r="158" spans="12:28" x14ac:dyDescent="0.25">
      <c r="L158">
        <v>154</v>
      </c>
      <c r="M158">
        <f t="shared" si="55"/>
        <v>77</v>
      </c>
      <c r="N158">
        <f t="shared" si="51"/>
        <v>-31685.762940887656</v>
      </c>
      <c r="O158">
        <f t="shared" si="52"/>
        <v>53172.000985557032</v>
      </c>
      <c r="P158">
        <f t="shared" si="53"/>
        <v>-1800.0175911902261</v>
      </c>
      <c r="Q158">
        <f t="shared" si="54"/>
        <v>6765.9286382343062</v>
      </c>
      <c r="R158">
        <f t="shared" si="40"/>
        <v>604.07238148213855</v>
      </c>
      <c r="S158">
        <f t="shared" si="41"/>
        <v>-681.69685156859282</v>
      </c>
      <c r="T158">
        <f t="shared" si="42"/>
        <v>70653.802231260997</v>
      </c>
      <c r="U158">
        <f t="shared" si="43"/>
        <v>44725.593619398285</v>
      </c>
      <c r="V158">
        <f t="shared" si="44"/>
        <v>73208.958892420007</v>
      </c>
      <c r="W158">
        <f t="shared" si="45"/>
        <v>546.81393783333601</v>
      </c>
      <c r="X158">
        <f t="shared" si="46"/>
        <v>22.621243743367355</v>
      </c>
      <c r="Y158">
        <f t="shared" si="47"/>
        <v>34.637199905435224</v>
      </c>
      <c r="Z158">
        <f t="shared" si="48"/>
        <v>-509.63979350270569</v>
      </c>
      <c r="AA158">
        <f t="shared" si="49"/>
        <v>-83.572152038624012</v>
      </c>
      <c r="AB158">
        <f t="shared" si="50"/>
        <v>-88.48490602726315</v>
      </c>
    </row>
    <row r="159" spans="12:28" x14ac:dyDescent="0.25">
      <c r="L159">
        <v>155</v>
      </c>
      <c r="M159">
        <f t="shared" si="55"/>
        <v>77.5</v>
      </c>
      <c r="N159">
        <f t="shared" si="51"/>
        <v>-32510.262688797502</v>
      </c>
      <c r="O159">
        <f t="shared" si="52"/>
        <v>56469.753198228114</v>
      </c>
      <c r="P159">
        <f t="shared" si="53"/>
        <v>-1497.9814004491568</v>
      </c>
      <c r="Q159">
        <f t="shared" si="54"/>
        <v>6425.0802124500096</v>
      </c>
      <c r="R159">
        <f t="shared" si="40"/>
        <v>547.92870713376146</v>
      </c>
      <c r="S159">
        <f t="shared" si="41"/>
        <v>-641.0728851666471</v>
      </c>
      <c r="T159">
        <f t="shared" si="42"/>
        <v>73528.655515608552</v>
      </c>
      <c r="U159">
        <f t="shared" si="43"/>
        <v>48124.262434316341</v>
      </c>
      <c r="V159">
        <f t="shared" si="44"/>
        <v>76581.591622414591</v>
      </c>
      <c r="W159">
        <f t="shared" si="45"/>
        <v>497.12463524672461</v>
      </c>
      <c r="X159">
        <f t="shared" si="46"/>
        <v>19.535642734869608</v>
      </c>
      <c r="Y159">
        <f t="shared" si="47"/>
        <v>31.268429152167279</v>
      </c>
      <c r="Z159">
        <f t="shared" si="48"/>
        <v>-487.27393417452419</v>
      </c>
      <c r="AA159">
        <f t="shared" si="49"/>
        <v>-72.565742146331303</v>
      </c>
      <c r="AB159">
        <f t="shared" si="50"/>
        <v>-81.233208845791609</v>
      </c>
    </row>
    <row r="160" spans="12:28" x14ac:dyDescent="0.25">
      <c r="L160">
        <v>156</v>
      </c>
      <c r="M160">
        <f t="shared" si="55"/>
        <v>78</v>
      </c>
      <c r="N160">
        <f t="shared" si="51"/>
        <v>-33190.762300630362</v>
      </c>
      <c r="O160">
        <f t="shared" si="52"/>
        <v>59602.159193807289</v>
      </c>
      <c r="P160">
        <f t="shared" si="53"/>
        <v>-1224.0170468822762</v>
      </c>
      <c r="Q160">
        <f t="shared" si="54"/>
        <v>6104.5437698666865</v>
      </c>
      <c r="R160">
        <f t="shared" si="40"/>
        <v>500.68765660879569</v>
      </c>
      <c r="S160">
        <f t="shared" si="41"/>
        <v>-606.6121111157056</v>
      </c>
      <c r="T160">
        <f t="shared" si="42"/>
        <v>76227.639231108507</v>
      </c>
      <c r="U160">
        <f t="shared" si="43"/>
        <v>51326.118173494593</v>
      </c>
      <c r="V160">
        <f t="shared" si="44"/>
        <v>79750.869810108066</v>
      </c>
      <c r="W160">
        <f t="shared" si="45"/>
        <v>455.21747744686746</v>
      </c>
      <c r="X160">
        <f t="shared" si="46"/>
        <v>17.042829445884013</v>
      </c>
      <c r="Y160">
        <f t="shared" si="47"/>
        <v>28.427349716044233</v>
      </c>
      <c r="Z160">
        <f t="shared" si="48"/>
        <v>-467.29650217971539</v>
      </c>
      <c r="AA160">
        <f t="shared" si="49"/>
        <v>-64.087360534671078</v>
      </c>
      <c r="AB160">
        <f t="shared" si="50"/>
        <v>-75.228248401319149</v>
      </c>
    </row>
    <row r="161" spans="12:28" x14ac:dyDescent="0.25">
      <c r="L161">
        <v>157</v>
      </c>
      <c r="M161">
        <f t="shared" si="55"/>
        <v>78.5</v>
      </c>
      <c r="N161">
        <f t="shared" si="51"/>
        <v>-33740.184866995398</v>
      </c>
      <c r="O161">
        <f t="shared" si="52"/>
        <v>62578.604564851164</v>
      </c>
      <c r="P161">
        <f t="shared" si="53"/>
        <v>-973.67321857787829</v>
      </c>
      <c r="Q161">
        <f t="shared" si="54"/>
        <v>5801.2377143088333</v>
      </c>
      <c r="R161">
        <f t="shared" si="40"/>
        <v>460.51744087168856</v>
      </c>
      <c r="S161">
        <f t="shared" si="41"/>
        <v>-577.07008655445259</v>
      </c>
      <c r="T161">
        <f t="shared" si="42"/>
        <v>78761.051117759605</v>
      </c>
      <c r="U161">
        <f t="shared" si="43"/>
        <v>54344.294439859987</v>
      </c>
      <c r="V161">
        <f t="shared" si="44"/>
        <v>82731.119371241541</v>
      </c>
      <c r="W161">
        <f t="shared" si="45"/>
        <v>419.51346959184667</v>
      </c>
      <c r="X161">
        <f t="shared" si="46"/>
        <v>15.000429065750154</v>
      </c>
      <c r="Y161">
        <f t="shared" si="47"/>
        <v>26.003542214091727</v>
      </c>
      <c r="Z161">
        <f t="shared" si="48"/>
        <v>-449.4774298793393</v>
      </c>
      <c r="AA161">
        <f t="shared" si="49"/>
        <v>-57.401092910014427</v>
      </c>
      <c r="AB161">
        <f t="shared" si="50"/>
        <v>-70.191563765098849</v>
      </c>
    </row>
    <row r="162" spans="12:28" x14ac:dyDescent="0.25">
      <c r="L162">
        <v>158</v>
      </c>
      <c r="M162">
        <f t="shared" si="55"/>
        <v>79</v>
      </c>
      <c r="N162">
        <f t="shared" si="51"/>
        <v>-34169.456796175378</v>
      </c>
      <c r="O162">
        <f t="shared" si="52"/>
        <v>65407.089661186277</v>
      </c>
      <c r="P162">
        <f t="shared" si="53"/>
        <v>-743.41449814203406</v>
      </c>
      <c r="Q162">
        <f t="shared" si="54"/>
        <v>5512.7026710316068</v>
      </c>
      <c r="R162">
        <f t="shared" si="40"/>
        <v>426.0379054833702</v>
      </c>
      <c r="S162">
        <f t="shared" si="41"/>
        <v>-551.53726976885002</v>
      </c>
      <c r="T162">
        <f t="shared" si="42"/>
        <v>81137.824292541321</v>
      </c>
      <c r="U162">
        <f t="shared" si="43"/>
        <v>57190.201001757428</v>
      </c>
      <c r="V162">
        <f t="shared" si="44"/>
        <v>85534.53850676924</v>
      </c>
      <c r="W162">
        <f t="shared" si="45"/>
        <v>388.8191977505856</v>
      </c>
      <c r="X162">
        <f t="shared" si="46"/>
        <v>13.304358527127649</v>
      </c>
      <c r="Y162">
        <f t="shared" si="47"/>
        <v>23.914349205656936</v>
      </c>
      <c r="Z162">
        <f t="shared" si="48"/>
        <v>-433.59187131757375</v>
      </c>
      <c r="AA162">
        <f t="shared" si="49"/>
        <v>-52.024279857792642</v>
      </c>
      <c r="AB162">
        <f t="shared" si="50"/>
        <v>-65.921118593483683</v>
      </c>
    </row>
    <row r="163" spans="12:28" x14ac:dyDescent="0.25">
      <c r="L163">
        <v>159</v>
      </c>
      <c r="M163">
        <f t="shared" si="55"/>
        <v>79.5</v>
      </c>
      <c r="N163">
        <f t="shared" si="51"/>
        <v>-34487.909307060974</v>
      </c>
      <c r="O163">
        <f t="shared" si="52"/>
        <v>68094.498837980966</v>
      </c>
      <c r="P163">
        <f t="shared" si="53"/>
        <v>-530.39554540034896</v>
      </c>
      <c r="Q163">
        <f t="shared" si="54"/>
        <v>5236.9340361471814</v>
      </c>
      <c r="R163">
        <f t="shared" si="40"/>
        <v>396.19385988996817</v>
      </c>
      <c r="S163">
        <f t="shared" si="41"/>
        <v>-529.32929041275122</v>
      </c>
      <c r="T163">
        <f t="shared" si="42"/>
        <v>83365.748627781679</v>
      </c>
      <c r="U163">
        <f t="shared" si="43"/>
        <v>59873.786512344413</v>
      </c>
      <c r="V163">
        <f t="shared" si="44"/>
        <v>88171.60842604989</v>
      </c>
      <c r="W163">
        <f t="shared" si="45"/>
        <v>362.21898835471404</v>
      </c>
      <c r="X163">
        <f t="shared" si="46"/>
        <v>11.878027471063888</v>
      </c>
      <c r="Y163">
        <f t="shared" si="47"/>
        <v>22.09684406419025</v>
      </c>
      <c r="Z163">
        <f t="shared" si="48"/>
        <v>-419.4329683499077</v>
      </c>
      <c r="AA163">
        <f t="shared" si="49"/>
        <v>-47.629236109237532</v>
      </c>
      <c r="AB163">
        <f t="shared" si="50"/>
        <v>-62.267085953605985</v>
      </c>
    </row>
    <row r="164" spans="12:28" x14ac:dyDescent="0.25">
      <c r="L164">
        <v>160</v>
      </c>
      <c r="M164">
        <f t="shared" si="55"/>
        <v>80</v>
      </c>
      <c r="N164">
        <f t="shared" si="51"/>
        <v>-34703.582847274898</v>
      </c>
      <c r="O164">
        <f t="shared" si="52"/>
        <v>70646.799694752961</v>
      </c>
      <c r="P164">
        <f t="shared" si="53"/>
        <v>-332.29861545536488</v>
      </c>
      <c r="Q164">
        <f t="shared" si="54"/>
        <v>4972.2693909408054</v>
      </c>
      <c r="R164">
        <f t="shared" si="40"/>
        <v>370.16739625689797</v>
      </c>
      <c r="S164">
        <f t="shared" si="41"/>
        <v>-509.91922588552859</v>
      </c>
      <c r="T164">
        <f t="shared" si="42"/>
        <v>85451.648822545758</v>
      </c>
      <c r="U164">
        <f t="shared" si="43"/>
        <v>62403.763201926893</v>
      </c>
      <c r="V164">
        <f t="shared" si="44"/>
        <v>90651.4044674326</v>
      </c>
      <c r="W164">
        <f t="shared" si="45"/>
        <v>339.00057794027117</v>
      </c>
      <c r="X164">
        <f t="shared" si="46"/>
        <v>10.664433912677035</v>
      </c>
      <c r="Y164">
        <f t="shared" si="47"/>
        <v>20.502384403949719</v>
      </c>
      <c r="Z164">
        <f t="shared" si="48"/>
        <v>-406.81618786435826</v>
      </c>
      <c r="AA164">
        <f t="shared" si="49"/>
        <v>-43.986815599840234</v>
      </c>
      <c r="AB164">
        <f t="shared" si="50"/>
        <v>-59.1162224213301</v>
      </c>
    </row>
    <row r="165" spans="12:28" x14ac:dyDescent="0.25">
      <c r="L165">
        <v>161</v>
      </c>
      <c r="M165">
        <f t="shared" si="55"/>
        <v>80.5</v>
      </c>
      <c r="N165">
        <f t="shared" si="51"/>
        <v>-34823.461230470471</v>
      </c>
      <c r="O165">
        <f t="shared" si="52"/>
        <v>73069.194486987675</v>
      </c>
      <c r="P165">
        <f t="shared" si="53"/>
        <v>-147.2149173269159</v>
      </c>
      <c r="Q165">
        <f t="shared" si="54"/>
        <v>4717.3097779980408</v>
      </c>
      <c r="R165">
        <f t="shared" si="40"/>
        <v>347.31641055363576</v>
      </c>
      <c r="S165">
        <f t="shared" si="41"/>
        <v>-492.89381803988636</v>
      </c>
      <c r="T165">
        <f t="shared" si="42"/>
        <v>87401.528244054469</v>
      </c>
      <c r="U165">
        <f t="shared" si="43"/>
        <v>64787.79434499015</v>
      </c>
      <c r="V165">
        <f t="shared" si="44"/>
        <v>92981.836168964932</v>
      </c>
      <c r="W165">
        <f t="shared" si="45"/>
        <v>318.60296851658762</v>
      </c>
      <c r="X165">
        <f t="shared" si="46"/>
        <v>9.6205980305530652</v>
      </c>
      <c r="Y165">
        <f t="shared" si="47"/>
        <v>19.092844006495081</v>
      </c>
      <c r="Z165">
        <f t="shared" si="48"/>
        <v>-395.57968324761146</v>
      </c>
      <c r="AA165">
        <f t="shared" si="49"/>
        <v>-40.93263771775819</v>
      </c>
      <c r="AB165">
        <f t="shared" si="50"/>
        <v>-56.38149707451668</v>
      </c>
    </row>
    <row r="166" spans="12:28" x14ac:dyDescent="0.25">
      <c r="L166">
        <v>162</v>
      </c>
      <c r="M166">
        <f t="shared" si="55"/>
        <v>81</v>
      </c>
      <c r="N166">
        <f t="shared" si="51"/>
        <v>-34853.654137814723</v>
      </c>
      <c r="O166">
        <f t="shared" si="52"/>
        <v>75366.237648731709</v>
      </c>
      <c r="P166">
        <f t="shared" si="53"/>
        <v>26.443287949901986</v>
      </c>
      <c r="Q166">
        <f t="shared" si="54"/>
        <v>4470.862868978098</v>
      </c>
      <c r="R166">
        <f t="shared" si="40"/>
        <v>327.13087422499194</v>
      </c>
      <c r="S166">
        <f t="shared" si="41"/>
        <v>-477.9240568019784</v>
      </c>
      <c r="T166">
        <f t="shared" si="42"/>
        <v>89220.685791518015</v>
      </c>
      <c r="U166">
        <f t="shared" si="43"/>
        <v>67032.649250915711</v>
      </c>
      <c r="V166">
        <f t="shared" si="44"/>
        <v>95169.835411055101</v>
      </c>
      <c r="W166">
        <f t="shared" si="45"/>
        <v>300.57924032632246</v>
      </c>
      <c r="X166">
        <f t="shared" si="46"/>
        <v>8.7136762377491426</v>
      </c>
      <c r="Y166">
        <f t="shared" si="47"/>
        <v>17.837957660920345</v>
      </c>
      <c r="Z166">
        <f t="shared" si="48"/>
        <v>-385.58288576250999</v>
      </c>
      <c r="AA166">
        <f t="shared" si="49"/>
        <v>-38.346135332501674</v>
      </c>
      <c r="AB166">
        <f t="shared" si="50"/>
        <v>-53.995035706966775</v>
      </c>
    </row>
    <row r="167" spans="12:28" x14ac:dyDescent="0.25">
      <c r="L167">
        <v>163</v>
      </c>
      <c r="M167">
        <f t="shared" si="55"/>
        <v>81.5</v>
      </c>
      <c r="N167">
        <f t="shared" si="51"/>
        <v>-34799.541134561645</v>
      </c>
      <c r="O167">
        <f t="shared" si="52"/>
        <v>77541.92857612051</v>
      </c>
      <c r="P167">
        <f t="shared" si="53"/>
        <v>190.00872506239796</v>
      </c>
      <c r="Q167">
        <f t="shared" si="54"/>
        <v>4231.9008405771092</v>
      </c>
      <c r="R167">
        <f t="shared" si="40"/>
        <v>309.20128077078073</v>
      </c>
      <c r="S167">
        <f t="shared" si="41"/>
        <v>-464.74477475461731</v>
      </c>
      <c r="T167">
        <f t="shared" si="42"/>
        <v>90913.81143754498</v>
      </c>
      <c r="U167">
        <f t="shared" si="43"/>
        <v>69144.331174546372</v>
      </c>
      <c r="V167">
        <f t="shared" si="44"/>
        <v>97221.505832908282</v>
      </c>
      <c r="W167">
        <f t="shared" si="45"/>
        <v>284.56962382669138</v>
      </c>
      <c r="X167">
        <f t="shared" si="46"/>
        <v>7.9182386446470501</v>
      </c>
      <c r="Y167">
        <f t="shared" si="47"/>
        <v>16.713418299442324</v>
      </c>
      <c r="Z167">
        <f t="shared" si="48"/>
        <v>-376.70441940160339</v>
      </c>
      <c r="AA167">
        <f t="shared" si="49"/>
        <v>-36.137141288554503</v>
      </c>
      <c r="AB167">
        <f t="shared" si="50"/>
        <v>-51.903214064459426</v>
      </c>
    </row>
    <row r="168" spans="12:28" x14ac:dyDescent="0.25">
      <c r="L168">
        <v>164</v>
      </c>
      <c r="M168">
        <f t="shared" si="55"/>
        <v>82</v>
      </c>
      <c r="N168">
        <f t="shared" si="51"/>
        <v>-34665.886611934104</v>
      </c>
      <c r="O168">
        <f t="shared" si="52"/>
        <v>79599.78589956474</v>
      </c>
      <c r="P168">
        <f t="shared" si="53"/>
        <v>344.60936544778832</v>
      </c>
      <c r="Q168">
        <f t="shared" si="54"/>
        <v>3999.5284531998004</v>
      </c>
      <c r="R168">
        <f t="shared" si="40"/>
        <v>293.19555931072529</v>
      </c>
      <c r="S168">
        <f t="shared" si="41"/>
        <v>-453.14011046288817</v>
      </c>
      <c r="T168">
        <f t="shared" si="42"/>
        <v>92485.064823082299</v>
      </c>
      <c r="U168">
        <f t="shared" si="43"/>
        <v>71128.18307379543</v>
      </c>
      <c r="V168">
        <f t="shared" si="44"/>
        <v>99142.24286708275</v>
      </c>
      <c r="W168">
        <f t="shared" si="45"/>
        <v>270.28172297907128</v>
      </c>
      <c r="X168">
        <f t="shared" si="46"/>
        <v>7.2143444874433609</v>
      </c>
      <c r="Y168">
        <f t="shared" si="47"/>
        <v>15.699491844210643</v>
      </c>
      <c r="Z168">
        <f t="shared" si="48"/>
        <v>-368.83987284315646</v>
      </c>
      <c r="AA168">
        <f t="shared" si="49"/>
        <v>-34.237059444000778</v>
      </c>
      <c r="AB168">
        <f t="shared" si="50"/>
        <v>-50.063178175730982</v>
      </c>
    </row>
    <row r="169" spans="12:28" x14ac:dyDescent="0.25">
      <c r="L169">
        <v>165</v>
      </c>
      <c r="M169">
        <f t="shared" si="55"/>
        <v>82.5</v>
      </c>
      <c r="N169">
        <f t="shared" si="51"/>
        <v>-34456.932484296369</v>
      </c>
      <c r="O169">
        <f t="shared" si="52"/>
        <v>81542.907612356779</v>
      </c>
      <c r="P169">
        <f t="shared" si="53"/>
        <v>491.20714510315099</v>
      </c>
      <c r="Q169">
        <f t="shared" si="54"/>
        <v>3772.9583979683562</v>
      </c>
      <c r="R169">
        <f t="shared" si="40"/>
        <v>278.84195961498602</v>
      </c>
      <c r="S169">
        <f t="shared" si="41"/>
        <v>-442.93291922673558</v>
      </c>
      <c r="T169">
        <f t="shared" si="42"/>
        <v>93938.140291113916</v>
      </c>
      <c r="U169">
        <f t="shared" si="43"/>
        <v>72988.975376324626</v>
      </c>
      <c r="V169">
        <f t="shared" si="44"/>
        <v>100936.83114518927</v>
      </c>
      <c r="W169">
        <f t="shared" si="45"/>
        <v>257.47579916421029</v>
      </c>
      <c r="X169">
        <f t="shared" si="46"/>
        <v>6.5861661788352244</v>
      </c>
      <c r="Y169">
        <f t="shared" si="47"/>
        <v>14.77999427194052</v>
      </c>
      <c r="Z169">
        <f t="shared" si="48"/>
        <v>-361.89967757598203</v>
      </c>
      <c r="AA169">
        <f t="shared" si="49"/>
        <v>-32.592908555384369</v>
      </c>
      <c r="AB169">
        <f t="shared" si="50"/>
        <v>-48.440333095369155</v>
      </c>
    </row>
    <row r="170" spans="12:28" x14ac:dyDescent="0.25">
      <c r="L170">
        <v>166</v>
      </c>
      <c r="M170">
        <f t="shared" si="55"/>
        <v>83</v>
      </c>
      <c r="N170">
        <f t="shared" si="51"/>
        <v>-34176.473666792917</v>
      </c>
      <c r="O170">
        <f t="shared" si="52"/>
        <v>83374.020196437617</v>
      </c>
      <c r="P170">
        <f t="shared" si="53"/>
        <v>630.62812491064403</v>
      </c>
      <c r="Q170">
        <f t="shared" si="54"/>
        <v>3551.4919383549882</v>
      </c>
      <c r="R170">
        <f t="shared" si="40"/>
        <v>265.91620638833763</v>
      </c>
      <c r="S170">
        <f t="shared" si="41"/>
        <v>-433.97691355197065</v>
      </c>
      <c r="T170">
        <f t="shared" si="42"/>
        <v>95276.320986488121</v>
      </c>
      <c r="U170">
        <f t="shared" si="43"/>
        <v>74730.979154648492</v>
      </c>
      <c r="V170">
        <f t="shared" si="44"/>
        <v>102609.52424233423</v>
      </c>
      <c r="W170">
        <f t="shared" si="45"/>
        <v>245.95368689886749</v>
      </c>
      <c r="X170">
        <f t="shared" si="46"/>
        <v>6.0209934875812019</v>
      </c>
      <c r="Y170">
        <f t="shared" si="47"/>
        <v>13.941526001888974</v>
      </c>
      <c r="Z170">
        <f t="shared" si="48"/>
        <v>-355.80719673557223</v>
      </c>
      <c r="AA170">
        <f t="shared" si="49"/>
        <v>-31.16321506632795</v>
      </c>
      <c r="AB170">
        <f t="shared" si="50"/>
        <v>-47.006501750070463</v>
      </c>
    </row>
    <row r="171" spans="12:28" x14ac:dyDescent="0.25">
      <c r="L171">
        <v>167</v>
      </c>
      <c r="M171">
        <f t="shared" si="55"/>
        <v>83.5</v>
      </c>
      <c r="N171">
        <f t="shared" si="51"/>
        <v>-33827.920078539057</v>
      </c>
      <c r="O171">
        <f t="shared" si="52"/>
        <v>85095.519051421128</v>
      </c>
      <c r="P171">
        <f t="shared" si="53"/>
        <v>763.58622810481279</v>
      </c>
      <c r="Q171">
        <f t="shared" si="54"/>
        <v>3334.5034815790027</v>
      </c>
      <c r="R171">
        <f t="shared" si="40"/>
        <v>254.23174570928006</v>
      </c>
      <c r="S171">
        <f t="shared" si="41"/>
        <v>-426.15073721592933</v>
      </c>
      <c r="T171">
        <f t="shared" si="42"/>
        <v>96502.524071125474</v>
      </c>
      <c r="U171">
        <f t="shared" si="43"/>
        <v>76358.027445061845</v>
      </c>
      <c r="V171">
        <f t="shared" si="44"/>
        <v>104164.11047106411</v>
      </c>
      <c r="W171">
        <f t="shared" si="45"/>
        <v>235.55035023200588</v>
      </c>
      <c r="X171">
        <f t="shared" si="46"/>
        <v>5.5085038003229965</v>
      </c>
      <c r="Y171">
        <f t="shared" si="47"/>
        <v>13.172891676951206</v>
      </c>
      <c r="Z171">
        <f t="shared" si="48"/>
        <v>-350.49705686284807</v>
      </c>
      <c r="AA171">
        <f t="shared" si="49"/>
        <v>-29.915124598093971</v>
      </c>
      <c r="AB171">
        <f t="shared" si="50"/>
        <v>-45.738555754987289</v>
      </c>
    </row>
    <row r="172" spans="12:28" x14ac:dyDescent="0.25">
      <c r="L172">
        <v>168</v>
      </c>
      <c r="M172">
        <f t="shared" si="55"/>
        <v>84</v>
      </c>
      <c r="N172">
        <f t="shared" si="51"/>
        <v>-33414.347996272991</v>
      </c>
      <c r="O172">
        <f t="shared" si="52"/>
        <v>86709.50195005865</v>
      </c>
      <c r="P172">
        <f t="shared" si="53"/>
        <v>890.70210095945276</v>
      </c>
      <c r="Q172">
        <f t="shared" si="54"/>
        <v>3121.428112971038</v>
      </c>
      <c r="R172">
        <f t="shared" si="40"/>
        <v>243.63225863420433</v>
      </c>
      <c r="S172">
        <f t="shared" si="41"/>
        <v>-419.35343825441561</v>
      </c>
      <c r="T172">
        <f t="shared" si="42"/>
        <v>97619.338661935166</v>
      </c>
      <c r="U172">
        <f t="shared" si="43"/>
        <v>77873.566899116457</v>
      </c>
      <c r="V172">
        <f t="shared" si="44"/>
        <v>105603.96753428483</v>
      </c>
      <c r="W172">
        <f t="shared" si="45"/>
        <v>226.12738265871945</v>
      </c>
      <c r="X172">
        <f t="shared" si="46"/>
        <v>5.0402207237544072</v>
      </c>
      <c r="Y172">
        <f t="shared" si="47"/>
        <v>12.464655251730473</v>
      </c>
      <c r="Z172">
        <f t="shared" si="48"/>
        <v>-345.91371995411276</v>
      </c>
      <c r="AA172">
        <f t="shared" si="49"/>
        <v>-28.822334230853844</v>
      </c>
      <c r="AB172">
        <f t="shared" si="50"/>
        <v>-44.61738406944896</v>
      </c>
    </row>
    <row r="173" spans="12:28" x14ac:dyDescent="0.25">
      <c r="L173">
        <v>169</v>
      </c>
      <c r="M173">
        <f t="shared" si="55"/>
        <v>84.5</v>
      </c>
      <c r="N173">
        <f t="shared" si="51"/>
        <v>-32938.542913463993</v>
      </c>
      <c r="O173">
        <f t="shared" si="52"/>
        <v>88217.796826762366</v>
      </c>
      <c r="P173">
        <f t="shared" si="53"/>
        <v>1012.518230276555</v>
      </c>
      <c r="Q173">
        <f t="shared" si="54"/>
        <v>2911.7513938438301</v>
      </c>
      <c r="R173">
        <f t="shared" si="40"/>
        <v>233.985856227455</v>
      </c>
      <c r="S173">
        <f t="shared" si="41"/>
        <v>-413.50097335483417</v>
      </c>
      <c r="T173">
        <f t="shared" si="42"/>
        <v>98629.057759369112</v>
      </c>
      <c r="U173">
        <f t="shared" si="43"/>
        <v>79280.701517810914</v>
      </c>
      <c r="V173">
        <f t="shared" si="44"/>
        <v>106932.10818972132</v>
      </c>
      <c r="W173">
        <f t="shared" si="45"/>
        <v>217.5679537047086</v>
      </c>
      <c r="X173">
        <f t="shared" si="46"/>
        <v>4.60910751432659</v>
      </c>
      <c r="Y173">
        <f t="shared" si="47"/>
        <v>11.808795008419828</v>
      </c>
      <c r="Z173">
        <f t="shared" si="48"/>
        <v>-342.01027778586734</v>
      </c>
      <c r="AA173">
        <f t="shared" si="49"/>
        <v>-27.863588467380339</v>
      </c>
      <c r="AB173">
        <f t="shared" si="50"/>
        <v>-43.627107101586475</v>
      </c>
    </row>
    <row r="174" spans="12:28" x14ac:dyDescent="0.25">
      <c r="L174">
        <v>170</v>
      </c>
      <c r="M174">
        <f t="shared" si="55"/>
        <v>85</v>
      </c>
      <c r="N174">
        <f t="shared" si="51"/>
        <v>-32403.035566297283</v>
      </c>
      <c r="O174">
        <f t="shared" si="52"/>
        <v>89621.984902014927</v>
      </c>
      <c r="P174">
        <f t="shared" si="53"/>
        <v>1129.5111583902824</v>
      </c>
      <c r="Q174">
        <f t="shared" si="54"/>
        <v>2705.0009071664131</v>
      </c>
      <c r="R174">
        <f t="shared" si="40"/>
        <v>225.18053497659102</v>
      </c>
      <c r="S174">
        <f t="shared" si="41"/>
        <v>-408.52348594515155</v>
      </c>
      <c r="T174">
        <f t="shared" si="42"/>
        <v>99533.705172265443</v>
      </c>
      <c r="U174">
        <f t="shared" si="43"/>
        <v>80582.229871079704</v>
      </c>
      <c r="V174">
        <f t="shared" si="44"/>
        <v>108151.21859269636</v>
      </c>
      <c r="W174">
        <f t="shared" si="45"/>
        <v>209.77284371325862</v>
      </c>
      <c r="X174">
        <f t="shared" si="46"/>
        <v>4.2092580926155332</v>
      </c>
      <c r="Y174">
        <f t="shared" si="47"/>
        <v>11.198433170716871</v>
      </c>
      <c r="Z174">
        <f t="shared" si="48"/>
        <v>-338.74744509978001</v>
      </c>
      <c r="AA174">
        <f t="shared" si="49"/>
        <v>-27.021569236616433</v>
      </c>
      <c r="AB174">
        <f t="shared" si="50"/>
        <v>-42.754471608755104</v>
      </c>
    </row>
    <row r="175" spans="12:28" x14ac:dyDescent="0.25">
      <c r="L175">
        <v>171</v>
      </c>
      <c r="M175">
        <f t="shared" si="55"/>
        <v>85.5</v>
      </c>
      <c r="N175">
        <f t="shared" si="51"/>
        <v>-31810.132420230068</v>
      </c>
      <c r="O175">
        <f t="shared" si="52"/>
        <v>90923.41991985499</v>
      </c>
      <c r="P175">
        <f t="shared" si="53"/>
        <v>1242.1014258785779</v>
      </c>
      <c r="Q175">
        <f t="shared" si="54"/>
        <v>2500.7391641938375</v>
      </c>
      <c r="R175">
        <f t="shared" si="40"/>
        <v>217.12058636222312</v>
      </c>
      <c r="S175">
        <f t="shared" si="41"/>
        <v>-404.36317416819139</v>
      </c>
      <c r="T175">
        <f t="shared" si="42"/>
        <v>100335.05824050489</v>
      </c>
      <c r="U175">
        <f t="shared" si="43"/>
        <v>81780.676931097565</v>
      </c>
      <c r="V175">
        <f t="shared" si="44"/>
        <v>109263.69062002347</v>
      </c>
      <c r="W175">
        <f t="shared" si="45"/>
        <v>202.65730519349151</v>
      </c>
      <c r="X175">
        <f t="shared" si="46"/>
        <v>3.8356594209481756</v>
      </c>
      <c r="Y175">
        <f t="shared" si="47"/>
        <v>10.627621747783424</v>
      </c>
      <c r="Z175">
        <f t="shared" si="48"/>
        <v>-336.0927278226257</v>
      </c>
      <c r="AA175">
        <f t="shared" si="49"/>
        <v>-26.282065852136348</v>
      </c>
      <c r="AB175">
        <f t="shared" si="50"/>
        <v>-41.988380493429382</v>
      </c>
    </row>
    <row r="176" spans="12:28" x14ac:dyDescent="0.25">
      <c r="L176">
        <v>172</v>
      </c>
      <c r="M176">
        <f t="shared" si="55"/>
        <v>86</v>
      </c>
      <c r="N176">
        <f t="shared" si="51"/>
        <v>-31161.941633995499</v>
      </c>
      <c r="O176">
        <f t="shared" si="52"/>
        <v>92123.244105180886</v>
      </c>
      <c r="P176">
        <f t="shared" si="53"/>
        <v>1350.6617190596894</v>
      </c>
      <c r="Q176">
        <f t="shared" si="54"/>
        <v>2298.5575771097419</v>
      </c>
      <c r="R176">
        <f t="shared" si="40"/>
        <v>209.72373534512477</v>
      </c>
      <c r="S176">
        <f t="shared" si="41"/>
        <v>-400.97261577129376</v>
      </c>
      <c r="T176">
        <f t="shared" si="42"/>
        <v>101034.66699688429</v>
      </c>
      <c r="U176">
        <f t="shared" si="43"/>
        <v>82878.321432084093</v>
      </c>
      <c r="V176">
        <f t="shared" si="44"/>
        <v>110271.64920177244</v>
      </c>
      <c r="W176">
        <f t="shared" si="45"/>
        <v>196.14855765692516</v>
      </c>
      <c r="X176">
        <f t="shared" si="46"/>
        <v>3.4840065635781019</v>
      </c>
      <c r="Y176">
        <f t="shared" si="47"/>
        <v>10.091171124621495</v>
      </c>
      <c r="Z176">
        <f t="shared" si="48"/>
        <v>-334.01974443964951</v>
      </c>
      <c r="AA176">
        <f t="shared" si="49"/>
        <v>-25.633346855475256</v>
      </c>
      <c r="AB176">
        <f t="shared" si="50"/>
        <v>-41.319524476168972</v>
      </c>
    </row>
    <row r="177" spans="12:28" x14ac:dyDescent="0.25">
      <c r="L177">
        <v>173</v>
      </c>
      <c r="M177">
        <f t="shared" si="55"/>
        <v>86.5</v>
      </c>
      <c r="N177">
        <f t="shared" si="51"/>
        <v>-30460.395307547515</v>
      </c>
      <c r="O177">
        <f t="shared" si="52"/>
        <v>93222.401316764342</v>
      </c>
      <c r="P177">
        <f t="shared" si="53"/>
        <v>1455.5235867322517</v>
      </c>
      <c r="Q177">
        <f t="shared" si="54"/>
        <v>2098.071269224095</v>
      </c>
      <c r="R177">
        <f t="shared" si="40"/>
        <v>202.91884031472557</v>
      </c>
      <c r="S177">
        <f t="shared" si="41"/>
        <v>-398.31345263786199</v>
      </c>
      <c r="T177">
        <f t="shared" si="42"/>
        <v>101633.87028294349</v>
      </c>
      <c r="U177">
        <f t="shared" si="43"/>
        <v>83877.219499210521</v>
      </c>
      <c r="V177">
        <f t="shared" si="44"/>
        <v>111176.97547596527</v>
      </c>
      <c r="W177">
        <f t="shared" si="45"/>
        <v>190.18377197137838</v>
      </c>
      <c r="X177">
        <f t="shared" si="46"/>
        <v>3.1505569612874256</v>
      </c>
      <c r="Y177">
        <f t="shared" si="47"/>
        <v>9.5845113820597483</v>
      </c>
      <c r="Z177">
        <f t="shared" si="48"/>
        <v>-332.50768156953643</v>
      </c>
      <c r="AA177">
        <f t="shared" si="49"/>
        <v>-25.065679459972618</v>
      </c>
      <c r="AB177">
        <f t="shared" si="50"/>
        <v>-40.740091608352962</v>
      </c>
    </row>
    <row r="178" spans="12:28" x14ac:dyDescent="0.25">
      <c r="L178">
        <v>174</v>
      </c>
      <c r="M178">
        <f t="shared" si="55"/>
        <v>87</v>
      </c>
      <c r="N178">
        <f t="shared" si="51"/>
        <v>-29707.26865914205</v>
      </c>
      <c r="O178">
        <f t="shared" si="52"/>
        <v>94221.647769796662</v>
      </c>
      <c r="P178">
        <f t="shared" si="53"/>
        <v>1556.9830068896144</v>
      </c>
      <c r="Q178">
        <f t="shared" si="54"/>
        <v>1898.9145429051639</v>
      </c>
      <c r="R178">
        <f t="shared" si="40"/>
        <v>196.64402869601201</v>
      </c>
      <c r="S178">
        <f t="shared" si="41"/>
        <v>-396.35536324385907</v>
      </c>
      <c r="T178">
        <f t="shared" si="42"/>
        <v>102133.80923234866</v>
      </c>
      <c r="U178">
        <f t="shared" si="43"/>
        <v>84779.225154989806</v>
      </c>
      <c r="V178">
        <f t="shared" si="44"/>
        <v>111981.32641715114</v>
      </c>
      <c r="W178">
        <f t="shared" si="45"/>
        <v>184.70843578798682</v>
      </c>
      <c r="X178">
        <f t="shared" si="46"/>
        <v>2.8320140920932255</v>
      </c>
      <c r="Y178">
        <f t="shared" si="47"/>
        <v>9.1035788159319786</v>
      </c>
      <c r="Z178">
        <f t="shared" si="48"/>
        <v>-331.54086801659145</v>
      </c>
      <c r="AA178">
        <f t="shared" si="49"/>
        <v>-24.570958291006733</v>
      </c>
      <c r="AB178">
        <f t="shared" si="50"/>
        <v>-40.243536936260924</v>
      </c>
    </row>
    <row r="179" spans="12:28" x14ac:dyDescent="0.25">
      <c r="L179">
        <v>175</v>
      </c>
      <c r="M179">
        <f t="shared" si="55"/>
        <v>87.5</v>
      </c>
      <c r="N179">
        <f t="shared" si="51"/>
        <v>-28904.196652110244</v>
      </c>
      <c r="O179">
        <f t="shared" si="52"/>
        <v>95121.560620843768</v>
      </c>
      <c r="P179">
        <f t="shared" si="53"/>
        <v>1655.3050212376204</v>
      </c>
      <c r="Q179">
        <f t="shared" si="54"/>
        <v>1700.7368612832342</v>
      </c>
      <c r="R179">
        <f t="shared" si="40"/>
        <v>190.84517272388902</v>
      </c>
      <c r="S179">
        <f t="shared" si="41"/>
        <v>-395.07526997924305</v>
      </c>
      <c r="T179">
        <f t="shared" si="42"/>
        <v>102535.43845385696</v>
      </c>
      <c r="U179">
        <f t="shared" si="43"/>
        <v>85586.008205473816</v>
      </c>
      <c r="V179">
        <f t="shared" si="44"/>
        <v>112686.15146127286</v>
      </c>
      <c r="W179">
        <f t="shared" si="45"/>
        <v>179.67501754404677</v>
      </c>
      <c r="X179">
        <f t="shared" si="46"/>
        <v>2.5254332554447085</v>
      </c>
      <c r="Y179">
        <f t="shared" si="47"/>
        <v>8.6447219243975404</v>
      </c>
      <c r="Z179">
        <f t="shared" si="48"/>
        <v>-331.10845477814956</v>
      </c>
      <c r="AA179">
        <f t="shared" si="49"/>
        <v>-24.142416025401371</v>
      </c>
      <c r="AB179">
        <f t="shared" si="50"/>
        <v>-39.824399175692101</v>
      </c>
    </row>
    <row r="180" spans="12:28" x14ac:dyDescent="0.25">
      <c r="L180">
        <v>176</v>
      </c>
      <c r="M180">
        <f t="shared" si="55"/>
        <v>88</v>
      </c>
      <c r="N180">
        <f t="shared" si="51"/>
        <v>-28052.688494900947</v>
      </c>
      <c r="O180">
        <f t="shared" si="52"/>
        <v>95922.544642737979</v>
      </c>
      <c r="P180">
        <f t="shared" si="53"/>
        <v>1750.7276075995649</v>
      </c>
      <c r="Q180">
        <f t="shared" si="54"/>
        <v>1503.1992262936128</v>
      </c>
      <c r="R180">
        <f t="shared" si="40"/>
        <v>185.47463213803377</v>
      </c>
      <c r="S180">
        <f t="shared" si="41"/>
        <v>-394.45674217938114</v>
      </c>
      <c r="T180">
        <f t="shared" si="42"/>
        <v>102839.53517932034</v>
      </c>
      <c r="U180">
        <f t="shared" si="43"/>
        <v>86299.069924763447</v>
      </c>
      <c r="V180">
        <f t="shared" si="44"/>
        <v>113292.7065475229</v>
      </c>
      <c r="W180">
        <f t="shared" si="45"/>
        <v>175.04186565309075</v>
      </c>
      <c r="X180">
        <f t="shared" si="46"/>
        <v>2.2281440410263222</v>
      </c>
      <c r="Y180">
        <f t="shared" si="47"/>
        <v>8.2046224439166995</v>
      </c>
      <c r="Z180">
        <f t="shared" si="48"/>
        <v>-331.20419153821359</v>
      </c>
      <c r="AA180">
        <f t="shared" si="49"/>
        <v>-23.774396086072581</v>
      </c>
      <c r="AB180">
        <f t="shared" si="50"/>
        <v>-39.47815455509501</v>
      </c>
    </row>
    <row r="181" spans="12:28" x14ac:dyDescent="0.25">
      <c r="L181">
        <v>177</v>
      </c>
      <c r="M181">
        <f t="shared" si="55"/>
        <v>88.5</v>
      </c>
      <c r="N181">
        <f t="shared" si="51"/>
        <v>-27154.140362083912</v>
      </c>
      <c r="O181">
        <f t="shared" si="52"/>
        <v>96624.837163112374</v>
      </c>
      <c r="P181">
        <f t="shared" si="53"/>
        <v>1843.4649236685818</v>
      </c>
      <c r="Q181">
        <f t="shared" si="54"/>
        <v>1305.9708552039222</v>
      </c>
      <c r="R181">
        <f t="shared" si="40"/>
        <v>180.49020698671805</v>
      </c>
      <c r="S181">
        <f t="shared" si="41"/>
        <v>-394.489566319998</v>
      </c>
      <c r="T181">
        <f t="shared" si="42"/>
        <v>103046.70658712956</v>
      </c>
      <c r="U181">
        <f t="shared" si="43"/>
        <v>86919.756890226825</v>
      </c>
      <c r="V181">
        <f t="shared" si="44"/>
        <v>113802.0659165477</v>
      </c>
      <c r="W181">
        <f t="shared" si="45"/>
        <v>170.77229366358588</v>
      </c>
      <c r="X181">
        <f t="shared" si="46"/>
        <v>1.9376853482340275</v>
      </c>
      <c r="Y181">
        <f t="shared" si="47"/>
        <v>7.7802279748981267</v>
      </c>
      <c r="Z181">
        <f t="shared" si="48"/>
        <v>-331.82629306246076</v>
      </c>
      <c r="AA181">
        <f t="shared" si="49"/>
        <v>-23.462172849405516</v>
      </c>
      <c r="AB181">
        <f t="shared" si="50"/>
        <v>-39.201100408131715</v>
      </c>
    </row>
    <row r="182" spans="12:28" x14ac:dyDescent="0.25">
      <c r="L182">
        <v>178</v>
      </c>
      <c r="M182">
        <f t="shared" si="55"/>
        <v>89</v>
      </c>
      <c r="N182">
        <f t="shared" si="51"/>
        <v>-26209.846624376281</v>
      </c>
      <c r="O182">
        <f t="shared" si="52"/>
        <v>97228.511394924339</v>
      </c>
      <c r="P182">
        <f t="shared" si="53"/>
        <v>1933.7100271619408</v>
      </c>
      <c r="Q182">
        <f t="shared" si="54"/>
        <v>1108.7260720439231</v>
      </c>
      <c r="R182">
        <f t="shared" si="40"/>
        <v>175.85425592932307</v>
      </c>
      <c r="S182">
        <f t="shared" si="41"/>
        <v>-395.16946315280609</v>
      </c>
      <c r="T182">
        <f t="shared" si="42"/>
        <v>103157.39546524074</v>
      </c>
      <c r="U182">
        <f t="shared" si="43"/>
        <v>87449.273268979901</v>
      </c>
      <c r="V182">
        <f t="shared" si="44"/>
        <v>114215.13193859308</v>
      </c>
      <c r="W182">
        <f t="shared" si="45"/>
        <v>166.83381272737657</v>
      </c>
      <c r="X182">
        <f t="shared" si="46"/>
        <v>1.6517497598717901</v>
      </c>
      <c r="Y182">
        <f t="shared" si="47"/>
        <v>7.3686934420747017</v>
      </c>
      <c r="Z182">
        <f t="shared" si="48"/>
        <v>-332.97739166415607</v>
      </c>
      <c r="AA182">
        <f t="shared" si="49"/>
        <v>-23.201808589759072</v>
      </c>
      <c r="AB182">
        <f t="shared" si="50"/>
        <v>-38.990262898890904</v>
      </c>
    </row>
    <row r="183" spans="12:28" x14ac:dyDescent="0.25">
      <c r="L183">
        <v>179</v>
      </c>
      <c r="M183">
        <f t="shared" si="55"/>
        <v>89.5</v>
      </c>
      <c r="N183">
        <f t="shared" si="51"/>
        <v>-25221.009828804144</v>
      </c>
      <c r="O183">
        <f t="shared" si="52"/>
        <v>97733.478248052212</v>
      </c>
      <c r="P183">
        <f t="shared" si="53"/>
        <v>2021.6371551266025</v>
      </c>
      <c r="Q183">
        <f t="shared" si="54"/>
        <v>911.14134046751997</v>
      </c>
      <c r="R183">
        <f t="shared" si="40"/>
        <v>171.53294449812603</v>
      </c>
      <c r="S183">
        <f t="shared" si="41"/>
        <v>-396.49793832038279</v>
      </c>
      <c r="T183">
        <f t="shared" si="42"/>
        <v>103171.88433831562</v>
      </c>
      <c r="U183">
        <f t="shared" si="43"/>
        <v>87888.691816034669</v>
      </c>
      <c r="V183">
        <f t="shared" si="44"/>
        <v>114532.64319136555</v>
      </c>
      <c r="W183">
        <f t="shared" si="45"/>
        <v>163.19748060311457</v>
      </c>
      <c r="X183">
        <f t="shared" si="46"/>
        <v>1.3681347469697593</v>
      </c>
      <c r="Y183">
        <f t="shared" si="47"/>
        <v>6.9673291480417072</v>
      </c>
      <c r="Z183">
        <f t="shared" si="48"/>
        <v>-334.66457460678197</v>
      </c>
      <c r="AA183">
        <f t="shared" si="49"/>
        <v>-22.990039091952553</v>
      </c>
      <c r="AB183">
        <f t="shared" si="50"/>
        <v>-38.843324621648286</v>
      </c>
    </row>
    <row r="184" spans="12:28" x14ac:dyDescent="0.25">
      <c r="L184">
        <v>180</v>
      </c>
      <c r="M184">
        <f t="shared" si="55"/>
        <v>90</v>
      </c>
      <c r="N184">
        <f t="shared" si="51"/>
        <v>-24188.749633178577</v>
      </c>
      <c r="O184">
        <f t="shared" si="52"/>
        <v>98139.486675995926</v>
      </c>
      <c r="P184">
        <f t="shared" si="53"/>
        <v>2107.4036273756656</v>
      </c>
      <c r="Q184">
        <f t="shared" si="54"/>
        <v>712.89237130732863</v>
      </c>
      <c r="R184">
        <f t="shared" si="40"/>
        <v>167.49559449724151</v>
      </c>
      <c r="S184">
        <f t="shared" si="41"/>
        <v>-398.48225872479441</v>
      </c>
      <c r="T184">
        <f t="shared" si="42"/>
        <v>103090.29814881594</v>
      </c>
      <c r="U184">
        <f t="shared" si="43"/>
        <v>88238.963814164978</v>
      </c>
      <c r="V184">
        <f t="shared" si="44"/>
        <v>114755.1809627464</v>
      </c>
      <c r="W184">
        <f t="shared" si="45"/>
        <v>159.83734228853058</v>
      </c>
      <c r="X184">
        <f t="shared" si="46"/>
        <v>1.0846986618276522</v>
      </c>
      <c r="Y184">
        <f t="shared" si="47"/>
        <v>6.5735535468832786</v>
      </c>
      <c r="Z184">
        <f t="shared" si="48"/>
        <v>-336.89950804200504</v>
      </c>
      <c r="AA184">
        <f t="shared" si="49"/>
        <v>-22.82418182608841</v>
      </c>
      <c r="AB184">
        <f t="shared" si="50"/>
        <v>-38.758568856700926</v>
      </c>
    </row>
    <row r="185" spans="12:28" x14ac:dyDescent="0.25">
      <c r="L185">
        <v>181</v>
      </c>
      <c r="M185">
        <f t="shared" si="55"/>
        <v>90.5</v>
      </c>
      <c r="N185">
        <f t="shared" si="51"/>
        <v>-23114.110870178589</v>
      </c>
      <c r="O185">
        <f t="shared" si="52"/>
        <v>98446.122579308998</v>
      </c>
      <c r="P185">
        <f t="shared" si="53"/>
        <v>2191.1514246242864</v>
      </c>
      <c r="Q185">
        <f t="shared" si="54"/>
        <v>513.65124194493137</v>
      </c>
      <c r="R185">
        <f t="shared" si="40"/>
        <v>163.7141106243871</v>
      </c>
      <c r="S185">
        <f t="shared" si="41"/>
        <v>-401.13555205172577</v>
      </c>
      <c r="T185">
        <f t="shared" si="42"/>
        <v>102912.60555069672</v>
      </c>
      <c r="U185">
        <f t="shared" si="43"/>
        <v>88500.928163640841</v>
      </c>
      <c r="V185">
        <f t="shared" si="44"/>
        <v>114883.17431589677</v>
      </c>
      <c r="W185">
        <f t="shared" si="45"/>
        <v>156.72994169217034</v>
      </c>
      <c r="X185">
        <f t="shared" si="46"/>
        <v>0.79931981226562465</v>
      </c>
      <c r="Y185">
        <f t="shared" si="47"/>
        <v>6.1848491199511377</v>
      </c>
      <c r="Z185">
        <f t="shared" si="48"/>
        <v>-339.69865196373087</v>
      </c>
      <c r="AA185">
        <f t="shared" si="49"/>
        <v>-22.702062014786698</v>
      </c>
      <c r="AB185">
        <f t="shared" si="50"/>
        <v>-38.734838073208202</v>
      </c>
    </row>
    <row r="186" spans="12:28" x14ac:dyDescent="0.25">
      <c r="L186">
        <v>182</v>
      </c>
      <c r="M186">
        <f t="shared" si="55"/>
        <v>91</v>
      </c>
      <c r="N186">
        <f t="shared" si="51"/>
        <v>-21998.070894038396</v>
      </c>
      <c r="O186">
        <f t="shared" si="52"/>
        <v>98652.806256274998</v>
      </c>
      <c r="P186">
        <f t="shared" si="53"/>
        <v>2273.0084799364799</v>
      </c>
      <c r="Q186">
        <f t="shared" si="54"/>
        <v>313.08346591906849</v>
      </c>
      <c r="R186">
        <f t="shared" si="40"/>
        <v>160.16246387518137</v>
      </c>
      <c r="S186">
        <f t="shared" si="41"/>
        <v>-404.47703171766233</v>
      </c>
      <c r="T186">
        <f t="shared" si="42"/>
        <v>102638.61884542316</v>
      </c>
      <c r="U186">
        <f t="shared" si="43"/>
        <v>88675.319815663679</v>
      </c>
      <c r="V186">
        <f t="shared" si="44"/>
        <v>114916.90382204499</v>
      </c>
      <c r="W186">
        <f t="shared" si="45"/>
        <v>153.85388684135722</v>
      </c>
      <c r="X186">
        <f t="shared" si="46"/>
        <v>0.50985713504505015</v>
      </c>
      <c r="Y186">
        <f t="shared" si="47"/>
        <v>5.7987198987791038</v>
      </c>
      <c r="Z186">
        <f t="shared" si="48"/>
        <v>-343.08357382609722</v>
      </c>
      <c r="AA186">
        <f t="shared" si="49"/>
        <v>-22.621952977940573</v>
      </c>
      <c r="AB186">
        <f t="shared" si="50"/>
        <v>-38.771504913624547</v>
      </c>
    </row>
    <row r="187" spans="12:28" x14ac:dyDescent="0.25">
      <c r="L187">
        <v>183</v>
      </c>
      <c r="M187">
        <f t="shared" si="55"/>
        <v>91.5</v>
      </c>
      <c r="N187">
        <f t="shared" si="51"/>
        <v>-20841.546346085761</v>
      </c>
      <c r="O187">
        <f t="shared" si="52"/>
        <v>98758.788360269828</v>
      </c>
      <c r="P187">
        <f t="shared" si="53"/>
        <v>2353.0897118740704</v>
      </c>
      <c r="Q187">
        <f t="shared" si="54"/>
        <v>110.84495006023732</v>
      </c>
      <c r="R187">
        <f t="shared" si="40"/>
        <v>156.81621357797604</v>
      </c>
      <c r="S187">
        <f t="shared" si="41"/>
        <v>-408.53235442447556</v>
      </c>
      <c r="T187">
        <f t="shared" si="42"/>
        <v>102267.99256231316</v>
      </c>
      <c r="U187">
        <f t="shared" si="43"/>
        <v>88762.77773614219</v>
      </c>
      <c r="V187">
        <f t="shared" si="44"/>
        <v>114856.5040380032</v>
      </c>
      <c r="W187">
        <f t="shared" si="45"/>
        <v>151.18945319095334</v>
      </c>
      <c r="X187">
        <f t="shared" si="46"/>
        <v>0.21411112300923063</v>
      </c>
      <c r="Y187">
        <f t="shared" si="47"/>
        <v>5.4126492640134911</v>
      </c>
      <c r="Z187">
        <f t="shared" si="48"/>
        <v>-347.08137208898989</v>
      </c>
      <c r="AA187">
        <f t="shared" si="49"/>
        <v>-22.58252791560372</v>
      </c>
      <c r="AB187">
        <f t="shared" si="50"/>
        <v>-38.868454419881893</v>
      </c>
    </row>
    <row r="188" spans="12:28" x14ac:dyDescent="0.25">
      <c r="L188">
        <v>184</v>
      </c>
      <c r="M188">
        <f t="shared" si="55"/>
        <v>92</v>
      </c>
      <c r="N188">
        <f t="shared" si="51"/>
        <v>-19645.399463451478</v>
      </c>
      <c r="O188">
        <f t="shared" si="52"/>
        <v>98763.14429099689</v>
      </c>
      <c r="P188">
        <f t="shared" si="53"/>
        <v>2431.4978186630583</v>
      </c>
      <c r="Q188">
        <f t="shared" si="54"/>
        <v>-93.421227152000455</v>
      </c>
      <c r="R188">
        <f t="shared" si="40"/>
        <v>153.65205115596819</v>
      </c>
      <c r="S188">
        <f t="shared" si="41"/>
        <v>-413.33412278205907</v>
      </c>
      <c r="T188">
        <f t="shared" si="42"/>
        <v>101800.22065767316</v>
      </c>
      <c r="U188">
        <f t="shared" si="43"/>
        <v>88763.852586313835</v>
      </c>
      <c r="V188">
        <f t="shared" si="44"/>
        <v>114701.96478011283</v>
      </c>
      <c r="W188">
        <f t="shared" si="45"/>
        <v>148.71821077185862</v>
      </c>
      <c r="X188">
        <f t="shared" si="46"/>
        <v>-9.0216276765521908E-2</v>
      </c>
      <c r="Y188">
        <f t="shared" si="47"/>
        <v>5.0240566608750816</v>
      </c>
      <c r="Z188">
        <f t="shared" si="48"/>
        <v>-351.72522522205139</v>
      </c>
      <c r="AA188">
        <f t="shared" si="49"/>
        <v>-22.582820854922129</v>
      </c>
      <c r="AB188">
        <f t="shared" si="50"/>
        <v>-39.026076705085529</v>
      </c>
    </row>
    <row r="189" spans="12:28" x14ac:dyDescent="0.25">
      <c r="L189">
        <v>185</v>
      </c>
      <c r="M189">
        <f t="shared" si="55"/>
        <v>92.5</v>
      </c>
      <c r="N189">
        <f t="shared" si="51"/>
        <v>-18410.44404772545</v>
      </c>
      <c r="O189">
        <f t="shared" si="52"/>
        <v>98664.76691207313</v>
      </c>
      <c r="P189">
        <f t="shared" si="53"/>
        <v>2508.3238442410425</v>
      </c>
      <c r="Q189">
        <f t="shared" si="54"/>
        <v>-300.08828854302999</v>
      </c>
      <c r="R189">
        <f t="shared" si="40"/>
        <v>150.64734898075403</v>
      </c>
      <c r="S189">
        <f t="shared" si="41"/>
        <v>-418.92255142947675</v>
      </c>
      <c r="T189">
        <f t="shared" si="42"/>
        <v>101234.63227886215</v>
      </c>
      <c r="U189">
        <f t="shared" si="43"/>
        <v>88679.014313972104</v>
      </c>
      <c r="V189">
        <f t="shared" si="44"/>
        <v>114453.13122292937</v>
      </c>
      <c r="W189">
        <f t="shared" si="45"/>
        <v>146.4226612476653</v>
      </c>
      <c r="X189">
        <f t="shared" si="46"/>
        <v>-0.40556407907608061</v>
      </c>
      <c r="Y189">
        <f t="shared" si="47"/>
        <v>4.630251812164798</v>
      </c>
      <c r="Z189">
        <f t="shared" si="48"/>
        <v>-357.05508687604333</v>
      </c>
      <c r="AA189">
        <f t="shared" si="49"/>
        <v>-22.622194888915345</v>
      </c>
      <c r="AB189">
        <f t="shared" si="50"/>
        <v>-39.245269664518027</v>
      </c>
    </row>
    <row r="190" spans="12:28" x14ac:dyDescent="0.25">
      <c r="L190">
        <v>186</v>
      </c>
      <c r="M190">
        <f t="shared" si="55"/>
        <v>93</v>
      </c>
      <c r="N190">
        <f t="shared" si="51"/>
        <v>-17137.451206982332</v>
      </c>
      <c r="O190">
        <f t="shared" si="52"/>
        <v>98462.357448872935</v>
      </c>
      <c r="P190">
        <f t="shared" si="53"/>
        <v>2583.6475187314195</v>
      </c>
      <c r="Q190">
        <f t="shared" si="54"/>
        <v>-509.54956425776834</v>
      </c>
      <c r="R190">
        <f t="shared" si="40"/>
        <v>147.77969694051623</v>
      </c>
      <c r="S190">
        <f t="shared" si="41"/>
        <v>-425.3463221377192</v>
      </c>
      <c r="T190">
        <f t="shared" si="42"/>
        <v>100570.38600926162</v>
      </c>
      <c r="U190">
        <f t="shared" si="43"/>
        <v>88508.659864470726</v>
      </c>
      <c r="V190">
        <f t="shared" si="44"/>
        <v>114109.70282871518</v>
      </c>
      <c r="W190">
        <f t="shared" si="45"/>
        <v>144.28587040598532</v>
      </c>
      <c r="X190">
        <f t="shared" si="46"/>
        <v>-0.73455834025820821</v>
      </c>
      <c r="Y190">
        <f t="shared" si="47"/>
        <v>4.2283848747891346</v>
      </c>
      <c r="Z190">
        <f t="shared" si="48"/>
        <v>-363.11855435492413</v>
      </c>
      <c r="AA190">
        <f t="shared" si="49"/>
        <v>-22.700316103422796</v>
      </c>
      <c r="AB190">
        <f t="shared" si="50"/>
        <v>-39.527451679372263</v>
      </c>
    </row>
    <row r="191" spans="12:28" x14ac:dyDescent="0.25">
      <c r="L191">
        <v>187</v>
      </c>
      <c r="M191">
        <f t="shared" si="55"/>
        <v>93.5</v>
      </c>
      <c r="N191">
        <f t="shared" si="51"/>
        <v>-15827.154985499057</v>
      </c>
      <c r="O191">
        <f t="shared" si="52"/>
        <v>98154.414376476838</v>
      </c>
      <c r="P191">
        <f t="shared" si="53"/>
        <v>2657.5373672016776</v>
      </c>
      <c r="Q191">
        <f t="shared" si="54"/>
        <v>-722.22272532662794</v>
      </c>
      <c r="R191">
        <f t="shared" si="40"/>
        <v>145.02640747725403</v>
      </c>
      <c r="S191">
        <f t="shared" si="41"/>
        <v>-432.66366199437908</v>
      </c>
      <c r="T191">
        <f t="shared" si="42"/>
        <v>99806.462477032648</v>
      </c>
      <c r="U191">
        <f t="shared" si="43"/>
        <v>88253.121245509683</v>
      </c>
      <c r="V191">
        <f t="shared" si="44"/>
        <v>113671.23109196735</v>
      </c>
      <c r="W191">
        <f t="shared" si="45"/>
        <v>142.29108008866359</v>
      </c>
      <c r="X191">
        <f t="shared" si="46"/>
        <v>-1.080063376313066</v>
      </c>
      <c r="Y191">
        <f t="shared" si="47"/>
        <v>3.8153907649034857</v>
      </c>
      <c r="Z191">
        <f t="shared" si="48"/>
        <v>-369.97194563790401</v>
      </c>
      <c r="AA191">
        <f t="shared" si="49"/>
        <v>-22.817131740452556</v>
      </c>
      <c r="AB191">
        <f t="shared" si="50"/>
        <v>-39.874584616022496</v>
      </c>
    </row>
    <row r="192" spans="12:28" x14ac:dyDescent="0.25">
      <c r="L192">
        <v>188</v>
      </c>
      <c r="M192">
        <f t="shared" si="55"/>
        <v>94</v>
      </c>
      <c r="N192">
        <f t="shared" si="51"/>
        <v>-14480.258000963562</v>
      </c>
      <c r="O192">
        <f t="shared" si="52"/>
        <v>97739.220056064223</v>
      </c>
      <c r="P192">
        <f t="shared" si="53"/>
        <v>2730.0505709403046</v>
      </c>
      <c r="Q192">
        <f t="shared" si="54"/>
        <v>-938.55455632381745</v>
      </c>
      <c r="R192">
        <f t="shared" si="40"/>
        <v>142.36396662038371</v>
      </c>
      <c r="S192">
        <f t="shared" si="41"/>
        <v>-440.94368957515763</v>
      </c>
      <c r="T192">
        <f t="shared" si="42"/>
        <v>98941.65517323892</v>
      </c>
      <c r="U192">
        <f t="shared" si="43"/>
        <v>87912.674215851206</v>
      </c>
      <c r="V192">
        <f t="shared" si="44"/>
        <v>113137.11606106331</v>
      </c>
      <c r="W192">
        <f t="shared" si="45"/>
        <v>140.42128085269943</v>
      </c>
      <c r="X192">
        <f t="shared" si="46"/>
        <v>-1.4452397850393799</v>
      </c>
      <c r="Y192">
        <f t="shared" si="47"/>
        <v>3.3879255527236616</v>
      </c>
      <c r="Z192">
        <f t="shared" si="48"/>
        <v>-377.68163060696844</v>
      </c>
      <c r="AA192">
        <f t="shared" si="49"/>
        <v>-22.972851186791864</v>
      </c>
      <c r="AB192">
        <f t="shared" si="50"/>
        <v>-40.289207781397373</v>
      </c>
    </row>
    <row r="193" spans="12:28" x14ac:dyDescent="0.25">
      <c r="L193">
        <v>189</v>
      </c>
      <c r="M193">
        <f t="shared" si="55"/>
        <v>94.5</v>
      </c>
      <c r="N193">
        <f t="shared" si="51"/>
        <v>-13097.437219665862</v>
      </c>
      <c r="O193">
        <f t="shared" si="52"/>
        <v>97214.824816705412</v>
      </c>
      <c r="P193">
        <f t="shared" si="53"/>
        <v>2801.2325542504964</v>
      </c>
      <c r="Q193">
        <f t="shared" si="54"/>
        <v>-1159.0264011113964</v>
      </c>
      <c r="R193">
        <f t="shared" si="40"/>
        <v>139.76740358122154</v>
      </c>
      <c r="S193">
        <f t="shared" si="41"/>
        <v>-450.26808782534852</v>
      </c>
      <c r="T193">
        <f t="shared" si="42"/>
        <v>97974.559281914568</v>
      </c>
      <c r="U193">
        <f t="shared" si="43"/>
        <v>87487.547918232725</v>
      </c>
      <c r="V193">
        <f t="shared" si="44"/>
        <v>112506.60157595338</v>
      </c>
      <c r="W193">
        <f t="shared" si="45"/>
        <v>138.65872240648534</v>
      </c>
      <c r="X193">
        <f t="shared" si="46"/>
        <v>-1.833611199908016</v>
      </c>
      <c r="Y193">
        <f t="shared" si="47"/>
        <v>2.9422923746441971</v>
      </c>
      <c r="Z193">
        <f t="shared" si="48"/>
        <v>-386.32567564550891</v>
      </c>
      <c r="AA193">
        <f t="shared" si="49"/>
        <v>-23.167928300129905</v>
      </c>
      <c r="AB193">
        <f t="shared" si="50"/>
        <v>-40.774483879709663</v>
      </c>
    </row>
    <row r="194" spans="12:28" x14ac:dyDescent="0.25">
      <c r="L194">
        <v>190</v>
      </c>
      <c r="M194">
        <f t="shared" si="55"/>
        <v>95</v>
      </c>
      <c r="N194">
        <f t="shared" si="51"/>
        <v>-11679.350017092962</v>
      </c>
      <c r="O194">
        <f t="shared" si="52"/>
        <v>96579.028105171543</v>
      </c>
      <c r="P194">
        <f t="shared" si="53"/>
        <v>2871.1162560411071</v>
      </c>
      <c r="Q194">
        <f t="shared" si="54"/>
        <v>-1384.1604450240707</v>
      </c>
      <c r="R194">
        <f t="shared" si="40"/>
        <v>137.20954419423032</v>
      </c>
      <c r="S194">
        <f t="shared" si="41"/>
        <v>-460.73318033025157</v>
      </c>
      <c r="T194">
        <f t="shared" si="42"/>
        <v>96903.558274158786</v>
      </c>
      <c r="U194">
        <f t="shared" si="43"/>
        <v>86977.935844524007</v>
      </c>
      <c r="V194">
        <f t="shared" si="44"/>
        <v>111778.76913593878</v>
      </c>
      <c r="W194">
        <f t="shared" si="45"/>
        <v>136.98433255102293</v>
      </c>
      <c r="X194">
        <f t="shared" si="46"/>
        <v>-2.24914204630835</v>
      </c>
      <c r="Y194">
        <f t="shared" si="47"/>
        <v>2.4743536895157283</v>
      </c>
      <c r="Z194">
        <f t="shared" si="48"/>
        <v>-395.99587851043509</v>
      </c>
      <c r="AA194">
        <f t="shared" si="49"/>
        <v>-23.403043372799125</v>
      </c>
      <c r="AB194">
        <f t="shared" si="50"/>
        <v>-41.334258447017369</v>
      </c>
    </row>
    <row r="195" spans="12:28" x14ac:dyDescent="0.25">
      <c r="L195">
        <v>191</v>
      </c>
      <c r="M195">
        <f t="shared" si="55"/>
        <v>95.5</v>
      </c>
      <c r="N195">
        <f t="shared" si="51"/>
        <v>-10226.640696048129</v>
      </c>
      <c r="O195">
        <f t="shared" si="52"/>
        <v>95829.356235118219</v>
      </c>
      <c r="P195">
        <f t="shared" si="53"/>
        <v>2939.7210281382222</v>
      </c>
      <c r="Q195">
        <f t="shared" si="54"/>
        <v>-1614.5270351891963</v>
      </c>
      <c r="R195">
        <f t="shared" si="40"/>
        <v>134.66010302117689</v>
      </c>
      <c r="S195">
        <f t="shared" si="41"/>
        <v>-472.4525112947054</v>
      </c>
      <c r="T195">
        <f t="shared" si="42"/>
        <v>95726.807958136793</v>
      </c>
      <c r="U195">
        <f t="shared" si="43"/>
        <v>86384.008611657802</v>
      </c>
      <c r="V195">
        <f t="shared" si="44"/>
        <v>110952.53028415496</v>
      </c>
      <c r="W195">
        <f t="shared" si="45"/>
        <v>135.37700616321956</v>
      </c>
      <c r="X195">
        <f t="shared" si="46"/>
        <v>-2.6963290055890821</v>
      </c>
      <c r="Y195">
        <f t="shared" si="47"/>
        <v>1.9794258635464363</v>
      </c>
      <c r="Z195">
        <f t="shared" si="48"/>
        <v>-406.80029390267265</v>
      </c>
      <c r="AA195">
        <f t="shared" si="49"/>
        <v>-23.679082652186001</v>
      </c>
      <c r="AB195">
        <f t="shared" si="50"/>
        <v>-41.973134739846742</v>
      </c>
    </row>
    <row r="196" spans="12:28" x14ac:dyDescent="0.25">
      <c r="L196">
        <v>192</v>
      </c>
      <c r="M196">
        <f t="shared" si="55"/>
        <v>96</v>
      </c>
      <c r="N196">
        <f t="shared" si="51"/>
        <v>-8739.9476691013715</v>
      </c>
      <c r="O196">
        <f t="shared" si="52"/>
        <v>94963.036153611771</v>
      </c>
      <c r="P196">
        <f t="shared" si="53"/>
        <v>3007.0510796488106</v>
      </c>
      <c r="Q196">
        <f t="shared" si="54"/>
        <v>-1850.753290836549</v>
      </c>
      <c r="R196">
        <f t="shared" si="40"/>
        <v>132.08455396173011</v>
      </c>
      <c r="S196">
        <f t="shared" si="41"/>
        <v>-485.56006104499045</v>
      </c>
      <c r="T196">
        <f t="shared" si="42"/>
        <v>94442.217604198304</v>
      </c>
      <c r="U196">
        <f t="shared" si="43"/>
        <v>85705.929146906259</v>
      </c>
      <c r="V196">
        <f t="shared" si="44"/>
        <v>110026.61736456386</v>
      </c>
      <c r="W196">
        <f t="shared" si="45"/>
        <v>133.81271246555431</v>
      </c>
      <c r="X196">
        <f t="shared" si="46"/>
        <v>-3.1803094310723341</v>
      </c>
      <c r="Y196">
        <f t="shared" si="47"/>
        <v>1.452150927248135</v>
      </c>
      <c r="Z196">
        <f t="shared" si="48"/>
        <v>-418.8663816633848</v>
      </c>
      <c r="AA196">
        <f t="shared" si="49"/>
        <v>-23.997112733694259</v>
      </c>
      <c r="AB196">
        <f t="shared" si="50"/>
        <v>-42.696566647911375</v>
      </c>
    </row>
    <row r="197" spans="12:28" x14ac:dyDescent="0.25">
      <c r="L197">
        <v>193</v>
      </c>
      <c r="M197">
        <f t="shared" si="55"/>
        <v>96.5</v>
      </c>
      <c r="N197">
        <f t="shared" si="51"/>
        <v>-7219.91156003175</v>
      </c>
      <c r="O197">
        <f t="shared" si="52"/>
        <v>93976.96450056287</v>
      </c>
      <c r="P197">
        <f t="shared" si="53"/>
        <v>3073.0933566296758</v>
      </c>
      <c r="Q197">
        <f t="shared" si="54"/>
        <v>-2093.5333213590443</v>
      </c>
      <c r="R197">
        <f t="shared" ref="R197:R260" si="56">SUM(W197:Y197)</f>
        <v>129.44269776180701</v>
      </c>
      <c r="S197">
        <f t="shared" ref="S197:S260" si="57">SUM(Z197:AB197)</f>
        <v>-500.21427127187314</v>
      </c>
      <c r="T197">
        <f t="shared" ref="T197:T260" si="58">SQRT(($D$18-N197)^2 + ($E$18 - O197) ^2)</f>
        <v>93047.427675730913</v>
      </c>
      <c r="U197">
        <f t="shared" ref="U197:U260" si="59">SQRT(($D$26-N197)^2 + ($E$26- O197) ^2)</f>
        <v>84943.871040012105</v>
      </c>
      <c r="V197">
        <f t="shared" ref="V197:V260" si="60">SQRT(($D$34-N197)^2 + ($E$34 - O197) ^2)</f>
        <v>108999.57247205745</v>
      </c>
      <c r="W197">
        <f t="shared" ref="W197:W260" si="61">$D$22*(($D$18-N197)/(T197^2+($D$23^2))^(3/2))</f>
        <v>132.26334957689991</v>
      </c>
      <c r="X197">
        <f t="shared" ref="X197:X260" si="62">$D$30*(($D$26-N197)/(U197^2+($D$31^2))^(3/2))</f>
        <v>-3.7069906135162158</v>
      </c>
      <c r="Y197">
        <f t="shared" ref="Y197:Y260" si="63">$D$38*(($D$34-N197)/(V197^2+($D$39^2))^(3/2))</f>
        <v>0.88633879842332253</v>
      </c>
      <c r="Z197">
        <f t="shared" ref="Z197:Z260" si="64">$D$22*(($E$18-O197)/(T197^2+($D$23^2))^(3/2))</f>
        <v>-432.34495211620867</v>
      </c>
      <c r="AA197">
        <f t="shared" ref="AA197:AA260" si="65">$D$30*(($E$26-O197)/(U197^2+($D$31^2))^(3/2))</f>
        <v>-24.358346236604326</v>
      </c>
      <c r="AB197">
        <f t="shared" ref="AB197:AB260" si="66">$D$38*(($E$34-O197)/(V197^2+($D$39^2))^(3/2))</f>
        <v>-43.510972919060116</v>
      </c>
    </row>
    <row r="198" spans="12:28" x14ac:dyDescent="0.25">
      <c r="L198">
        <v>194</v>
      </c>
      <c r="M198">
        <f t="shared" si="55"/>
        <v>97</v>
      </c>
      <c r="N198">
        <f t="shared" ref="N198:N261" si="67">(N197)+(P197)*(M198-M197)+((1/2*(R197))*((M198-M197)^2))</f>
        <v>-5667.1845444966866</v>
      </c>
      <c r="O198">
        <f t="shared" ref="O198:O261" si="68">(O197)+(Q197)*(M198-M197)+((1/2*(S197))*((M198-M197)^2))</f>
        <v>92867.671055974366</v>
      </c>
      <c r="P198">
        <f t="shared" ref="P198:P261" si="69">P197+(R197*(M198-M197))</f>
        <v>3137.8147055105792</v>
      </c>
      <c r="Q198">
        <f t="shared" ref="Q198:Q261" si="70">Q197+(S197*(M198-M197))</f>
        <v>-2343.6404569949809</v>
      </c>
      <c r="R198">
        <f t="shared" si="56"/>
        <v>126.68681387655593</v>
      </c>
      <c r="S198">
        <f t="shared" si="57"/>
        <v>-516.60311192813879</v>
      </c>
      <c r="T198">
        <f t="shared" si="58"/>
        <v>91539.783587477228</v>
      </c>
      <c r="U198">
        <f t="shared" si="59"/>
        <v>84098.041030232605</v>
      </c>
      <c r="V198">
        <f t="shared" si="60"/>
        <v>107869.73437557129</v>
      </c>
      <c r="W198">
        <f t="shared" si="61"/>
        <v>130.69524729217648</v>
      </c>
      <c r="X198">
        <f t="shared" si="62"/>
        <v>-4.2832045658603271</v>
      </c>
      <c r="Y198">
        <f t="shared" si="63"/>
        <v>0.27477115023978288</v>
      </c>
      <c r="Z198">
        <f t="shared" si="64"/>
        <v>-447.41514121814555</v>
      </c>
      <c r="AA198">
        <f t="shared" si="65"/>
        <v>-24.76409384681476</v>
      </c>
      <c r="AB198">
        <f t="shared" si="66"/>
        <v>-44.423876863178457</v>
      </c>
    </row>
    <row r="199" spans="12:28" x14ac:dyDescent="0.25">
      <c r="L199">
        <v>195</v>
      </c>
      <c r="M199">
        <f t="shared" si="55"/>
        <v>97.5</v>
      </c>
      <c r="N199">
        <f t="shared" si="67"/>
        <v>-4082.4413400068279</v>
      </c>
      <c r="O199">
        <f t="shared" si="68"/>
        <v>91631.275438485871</v>
      </c>
      <c r="P199">
        <f t="shared" si="69"/>
        <v>3201.1581124488571</v>
      </c>
      <c r="Q199">
        <f t="shared" si="70"/>
        <v>-2601.9420129590503</v>
      </c>
      <c r="R199">
        <f t="shared" si="56"/>
        <v>123.75923911155174</v>
      </c>
      <c r="S199">
        <f t="shared" si="57"/>
        <v>-534.95050099659522</v>
      </c>
      <c r="T199">
        <f t="shared" si="58"/>
        <v>89916.304778353049</v>
      </c>
      <c r="U199">
        <f t="shared" si="59"/>
        <v>83168.706875893346</v>
      </c>
      <c r="V199">
        <f t="shared" si="60"/>
        <v>106635.2231466356</v>
      </c>
      <c r="W199">
        <f t="shared" si="61"/>
        <v>129.06717779391525</v>
      </c>
      <c r="X199">
        <f t="shared" si="62"/>
        <v>-4.9168938784188496</v>
      </c>
      <c r="Y199">
        <f t="shared" si="63"/>
        <v>-0.39104480394466667</v>
      </c>
      <c r="Z199">
        <f t="shared" si="64"/>
        <v>-464.29072832237733</v>
      </c>
      <c r="AA199">
        <f t="shared" si="65"/>
        <v>-25.215695890589945</v>
      </c>
      <c r="AB199">
        <f t="shared" si="66"/>
        <v>-45.444076783627921</v>
      </c>
    </row>
    <row r="200" spans="12:28" x14ac:dyDescent="0.25">
      <c r="L200">
        <v>196</v>
      </c>
      <c r="M200">
        <f t="shared" si="55"/>
        <v>98</v>
      </c>
      <c r="N200">
        <f t="shared" si="67"/>
        <v>-2466.3923788934558</v>
      </c>
      <c r="O200">
        <f t="shared" si="68"/>
        <v>90263.43561938178</v>
      </c>
      <c r="P200">
        <f t="shared" si="69"/>
        <v>3263.0377320046327</v>
      </c>
      <c r="Q200">
        <f t="shared" si="70"/>
        <v>-2869.4172634573479</v>
      </c>
      <c r="R200">
        <f t="shared" si="56"/>
        <v>120.58914913706913</v>
      </c>
      <c r="S200">
        <f t="shared" si="57"/>
        <v>-555.5244984728248</v>
      </c>
      <c r="T200">
        <f t="shared" si="58"/>
        <v>88173.648218404021</v>
      </c>
      <c r="U200">
        <f t="shared" si="59"/>
        <v>82156.232226396372</v>
      </c>
      <c r="V200">
        <f t="shared" si="60"/>
        <v>105293.92217014931</v>
      </c>
      <c r="W200">
        <f t="shared" si="61"/>
        <v>127.32767265059745</v>
      </c>
      <c r="X200">
        <f t="shared" si="62"/>
        <v>-5.6173351455701361</v>
      </c>
      <c r="Y200">
        <f t="shared" si="63"/>
        <v>-1.1211883679581884</v>
      </c>
      <c r="Z200">
        <f t="shared" si="64"/>
        <v>-483.22822091406238</v>
      </c>
      <c r="AA200">
        <f t="shared" si="65"/>
        <v>-25.714423839747418</v>
      </c>
      <c r="AB200">
        <f t="shared" si="66"/>
        <v>-46.581853719014958</v>
      </c>
    </row>
    <row r="201" spans="12:28" x14ac:dyDescent="0.25">
      <c r="L201">
        <v>197</v>
      </c>
      <c r="M201">
        <f t="shared" si="55"/>
        <v>98.5</v>
      </c>
      <c r="N201">
        <f t="shared" si="67"/>
        <v>-819.79986924900572</v>
      </c>
      <c r="O201">
        <f t="shared" si="68"/>
        <v>88759.286425344006</v>
      </c>
      <c r="P201">
        <f t="shared" si="69"/>
        <v>3323.3323065731674</v>
      </c>
      <c r="Q201">
        <f t="shared" si="70"/>
        <v>-3147.1795126937604</v>
      </c>
      <c r="R201">
        <f t="shared" si="56"/>
        <v>117.08821995283604</v>
      </c>
      <c r="S201">
        <f t="shared" si="57"/>
        <v>-578.64785043675079</v>
      </c>
      <c r="T201">
        <f t="shared" si="58"/>
        <v>86308.065260892035</v>
      </c>
      <c r="U201">
        <f t="shared" si="59"/>
        <v>81061.120614540225</v>
      </c>
      <c r="V201">
        <f t="shared" si="60"/>
        <v>103843.45714887245</v>
      </c>
      <c r="W201">
        <f t="shared" si="61"/>
        <v>125.41135199984028</v>
      </c>
      <c r="X201">
        <f t="shared" si="62"/>
        <v>-6.3954073843631223</v>
      </c>
      <c r="Y201">
        <f t="shared" si="63"/>
        <v>-1.9277246626411071</v>
      </c>
      <c r="Z201">
        <f t="shared" si="64"/>
        <v>-504.53728753941022</v>
      </c>
      <c r="AA201">
        <f t="shared" si="65"/>
        <v>-26.261338179900065</v>
      </c>
      <c r="AB201">
        <f t="shared" si="66"/>
        <v>-47.84922471744045</v>
      </c>
    </row>
    <row r="202" spans="12:28" x14ac:dyDescent="0.25">
      <c r="L202">
        <v>198</v>
      </c>
      <c r="M202">
        <f t="shared" si="55"/>
        <v>99</v>
      </c>
      <c r="N202">
        <f t="shared" si="67"/>
        <v>856.50231153168249</v>
      </c>
      <c r="O202">
        <f t="shared" si="68"/>
        <v>87113.365687692538</v>
      </c>
      <c r="P202">
        <f t="shared" si="69"/>
        <v>3381.8764165495854</v>
      </c>
      <c r="Q202">
        <f t="shared" si="70"/>
        <v>-3436.5034379121357</v>
      </c>
      <c r="R202">
        <f t="shared" si="56"/>
        <v>113.1446963286799</v>
      </c>
      <c r="S202">
        <f t="shared" si="57"/>
        <v>-604.71167819596099</v>
      </c>
      <c r="T202">
        <f t="shared" si="58"/>
        <v>84315.3504903414</v>
      </c>
      <c r="U202">
        <f t="shared" si="59"/>
        <v>79884.071355650885</v>
      </c>
      <c r="V202">
        <f t="shared" si="60"/>
        <v>102281.17163678465</v>
      </c>
      <c r="W202">
        <f t="shared" si="61"/>
        <v>123.23383042197263</v>
      </c>
      <c r="X202">
        <f t="shared" si="62"/>
        <v>-7.263913546192895</v>
      </c>
      <c r="Y202">
        <f t="shared" si="63"/>
        <v>-2.825220547099828</v>
      </c>
      <c r="Z202">
        <f t="shared" si="64"/>
        <v>-528.59434295698793</v>
      </c>
      <c r="AA202">
        <f t="shared" si="65"/>
        <v>-26.857083380737755</v>
      </c>
      <c r="AB202">
        <f t="shared" si="66"/>
        <v>-49.260251858235236</v>
      </c>
    </row>
    <row r="203" spans="12:28" x14ac:dyDescent="0.25">
      <c r="L203">
        <v>199</v>
      </c>
      <c r="M203">
        <f t="shared" si="55"/>
        <v>99.5</v>
      </c>
      <c r="N203">
        <f t="shared" si="67"/>
        <v>2561.5836068475601</v>
      </c>
      <c r="O203">
        <f t="shared" si="68"/>
        <v>85319.525008961966</v>
      </c>
      <c r="P203">
        <f t="shared" si="69"/>
        <v>3438.4487647139254</v>
      </c>
      <c r="Q203">
        <f t="shared" si="70"/>
        <v>-3738.8592770101163</v>
      </c>
      <c r="R203">
        <f t="shared" si="56"/>
        <v>108.61516307236801</v>
      </c>
      <c r="S203">
        <f t="shared" si="57"/>
        <v>-634.19342140440006</v>
      </c>
      <c r="T203">
        <f t="shared" si="58"/>
        <v>82190.780894004376</v>
      </c>
      <c r="U203">
        <f t="shared" si="59"/>
        <v>78626.05104177889</v>
      </c>
      <c r="V203">
        <f t="shared" si="60"/>
        <v>100604.09854805663</v>
      </c>
      <c r="W203">
        <f t="shared" si="61"/>
        <v>120.68454428471027</v>
      </c>
      <c r="X203">
        <f t="shared" si="62"/>
        <v>-8.2379632587024183</v>
      </c>
      <c r="Y203">
        <f t="shared" si="63"/>
        <v>-3.8314179536398374</v>
      </c>
      <c r="Z203">
        <f t="shared" si="64"/>
        <v>-555.86040924434246</v>
      </c>
      <c r="AA203">
        <f t="shared" si="65"/>
        <v>-27.501592552148146</v>
      </c>
      <c r="AB203">
        <f t="shared" si="66"/>
        <v>-50.831419607909417</v>
      </c>
    </row>
    <row r="204" spans="12:28" x14ac:dyDescent="0.25">
      <c r="L204">
        <v>200</v>
      </c>
      <c r="M204">
        <f t="shared" si="55"/>
        <v>100</v>
      </c>
      <c r="N204">
        <f t="shared" si="67"/>
        <v>4294.3848845885686</v>
      </c>
      <c r="O204">
        <f t="shared" si="68"/>
        <v>83370.821192781368</v>
      </c>
      <c r="P204">
        <f t="shared" si="69"/>
        <v>3492.7563462501093</v>
      </c>
      <c r="Q204">
        <f t="shared" si="70"/>
        <v>-4055.9559877123165</v>
      </c>
      <c r="R204">
        <f t="shared" si="56"/>
        <v>103.31295235055197</v>
      </c>
      <c r="S204">
        <f t="shared" si="57"/>
        <v>-667.68059837288365</v>
      </c>
      <c r="T204">
        <f t="shared" si="58"/>
        <v>79929.04328580662</v>
      </c>
      <c r="U204">
        <f t="shared" si="59"/>
        <v>77288.38554028426</v>
      </c>
      <c r="V204">
        <f t="shared" si="60"/>
        <v>98808.926988025894</v>
      </c>
      <c r="W204">
        <f t="shared" si="61"/>
        <v>117.61649787217796</v>
      </c>
      <c r="X204">
        <f t="shared" si="62"/>
        <v>-9.3354235667796637</v>
      </c>
      <c r="Y204">
        <f t="shared" si="63"/>
        <v>-4.9681219548463229</v>
      </c>
      <c r="Z204">
        <f t="shared" si="64"/>
        <v>-586.90483985033904</v>
      </c>
      <c r="AA204">
        <f t="shared" si="65"/>
        <v>-28.193662713871493</v>
      </c>
      <c r="AB204">
        <f t="shared" si="66"/>
        <v>-52.582095808673081</v>
      </c>
    </row>
    <row r="205" spans="12:28" x14ac:dyDescent="0.25">
      <c r="L205">
        <v>201</v>
      </c>
      <c r="M205">
        <f t="shared" si="55"/>
        <v>100.5</v>
      </c>
      <c r="N205">
        <f t="shared" si="67"/>
        <v>6053.6771767574419</v>
      </c>
      <c r="O205">
        <f t="shared" si="68"/>
        <v>81259.38312412861</v>
      </c>
      <c r="P205">
        <f t="shared" si="69"/>
        <v>3544.4128224253855</v>
      </c>
      <c r="Q205">
        <f t="shared" si="70"/>
        <v>-4389.7962868987579</v>
      </c>
      <c r="R205">
        <f t="shared" si="56"/>
        <v>96.991540216623079</v>
      </c>
      <c r="S205">
        <f t="shared" si="57"/>
        <v>-705.90261040621954</v>
      </c>
      <c r="T205">
        <f t="shared" si="58"/>
        <v>77524.147430092562</v>
      </c>
      <c r="U205">
        <f t="shared" si="59"/>
        <v>75872.879065328976</v>
      </c>
      <c r="V205">
        <f t="shared" si="60"/>
        <v>96891.963642841627</v>
      </c>
      <c r="W205">
        <f t="shared" si="61"/>
        <v>113.8313656270947</v>
      </c>
      <c r="X205">
        <f t="shared" si="62"/>
        <v>-10.577440286073911</v>
      </c>
      <c r="Y205">
        <f t="shared" si="63"/>
        <v>-6.2623851243977136</v>
      </c>
      <c r="Z205">
        <f t="shared" si="64"/>
        <v>-622.43717092453562</v>
      </c>
      <c r="AA205">
        <f t="shared" si="65"/>
        <v>-28.930345022097242</v>
      </c>
      <c r="AB205">
        <f t="shared" si="66"/>
        <v>-54.535094459586567</v>
      </c>
    </row>
    <row r="206" spans="12:28" x14ac:dyDescent="0.25">
      <c r="L206">
        <v>202</v>
      </c>
      <c r="M206">
        <f t="shared" si="55"/>
        <v>101</v>
      </c>
      <c r="N206">
        <f t="shared" si="67"/>
        <v>7838.0075304972124</v>
      </c>
      <c r="O206">
        <f t="shared" si="68"/>
        <v>78976.247154378463</v>
      </c>
      <c r="P206">
        <f t="shared" si="69"/>
        <v>3592.9085925336972</v>
      </c>
      <c r="Q206">
        <f t="shared" si="70"/>
        <v>-4742.7475921018677</v>
      </c>
      <c r="R206">
        <f t="shared" si="56"/>
        <v>89.32033766106548</v>
      </c>
      <c r="S206">
        <f t="shared" si="57"/>
        <v>-749.77379377578427</v>
      </c>
      <c r="T206">
        <f t="shared" si="58"/>
        <v>74969.321751459982</v>
      </c>
      <c r="U206">
        <f t="shared" si="59"/>
        <v>74381.969150930134</v>
      </c>
      <c r="V206">
        <f t="shared" si="60"/>
        <v>94849.087853146644</v>
      </c>
      <c r="W206">
        <f t="shared" si="61"/>
        <v>109.05746664443053</v>
      </c>
      <c r="X206">
        <f t="shared" si="62"/>
        <v>-11.989023170078545</v>
      </c>
      <c r="Y206">
        <f t="shared" si="63"/>
        <v>-7.7481058132865197</v>
      </c>
      <c r="Z206">
        <f t="shared" si="64"/>
        <v>-663.35036193692065</v>
      </c>
      <c r="AA206">
        <f t="shared" si="65"/>
        <v>-29.706070896523581</v>
      </c>
      <c r="AB206">
        <f t="shared" si="66"/>
        <v>-56.717360942340086</v>
      </c>
    </row>
    <row r="207" spans="12:28" x14ac:dyDescent="0.25">
      <c r="L207">
        <v>203</v>
      </c>
      <c r="M207">
        <f t="shared" si="55"/>
        <v>101.5</v>
      </c>
      <c r="N207">
        <f t="shared" si="67"/>
        <v>9645.6268689716944</v>
      </c>
      <c r="O207">
        <f t="shared" si="68"/>
        <v>76511.151634105554</v>
      </c>
      <c r="P207">
        <f t="shared" si="69"/>
        <v>3637.5687613642299</v>
      </c>
      <c r="Q207">
        <f t="shared" si="70"/>
        <v>-5117.63448898976</v>
      </c>
      <c r="R207">
        <f t="shared" si="56"/>
        <v>79.848696668420644</v>
      </c>
      <c r="S207">
        <f t="shared" si="57"/>
        <v>-800.45236704554475</v>
      </c>
      <c r="T207">
        <f t="shared" si="58"/>
        <v>72256.887913697181</v>
      </c>
      <c r="U207">
        <f t="shared" si="59"/>
        <v>72818.929435616388</v>
      </c>
      <c r="V207">
        <f t="shared" si="60"/>
        <v>92675.699402731276</v>
      </c>
      <c r="W207">
        <f t="shared" si="61"/>
        <v>102.9165781453617</v>
      </c>
      <c r="X207">
        <f t="shared" si="62"/>
        <v>-13.59966908040094</v>
      </c>
      <c r="Y207">
        <f t="shared" si="63"/>
        <v>-9.4682123965401033</v>
      </c>
      <c r="Z207">
        <f t="shared" si="64"/>
        <v>-710.78016334585516</v>
      </c>
      <c r="AA207">
        <f t="shared" si="65"/>
        <v>-30.511402453321736</v>
      </c>
      <c r="AB207">
        <f t="shared" si="66"/>
        <v>-59.160801246367861</v>
      </c>
    </row>
    <row r="208" spans="12:28" x14ac:dyDescent="0.25">
      <c r="L208">
        <v>204</v>
      </c>
      <c r="M208">
        <f t="shared" si="55"/>
        <v>102</v>
      </c>
      <c r="N208">
        <f t="shared" si="67"/>
        <v>11474.392336737361</v>
      </c>
      <c r="O208">
        <f t="shared" si="68"/>
        <v>73852.277843729971</v>
      </c>
      <c r="P208">
        <f t="shared" si="69"/>
        <v>3677.4931096984401</v>
      </c>
      <c r="Q208">
        <f t="shared" si="70"/>
        <v>-5517.8606725125328</v>
      </c>
      <c r="R208">
        <f t="shared" si="56"/>
        <v>67.95123510804352</v>
      </c>
      <c r="S208">
        <f t="shared" si="57"/>
        <v>-859.42205300185435</v>
      </c>
      <c r="T208">
        <f t="shared" si="58"/>
        <v>69378.110022528519</v>
      </c>
      <c r="U208">
        <f t="shared" si="59"/>
        <v>71188.13636273786</v>
      </c>
      <c r="V208">
        <f t="shared" si="60"/>
        <v>90366.658015465742</v>
      </c>
      <c r="W208">
        <f t="shared" si="61"/>
        <v>94.872885336565361</v>
      </c>
      <c r="X208">
        <f t="shared" si="62"/>
        <v>-15.443961222584935</v>
      </c>
      <c r="Y208">
        <f t="shared" si="63"/>
        <v>-11.477689005936909</v>
      </c>
      <c r="Z208">
        <f t="shared" si="64"/>
        <v>-766.18752809576745</v>
      </c>
      <c r="AA208">
        <f t="shared" si="65"/>
        <v>-31.331251527968572</v>
      </c>
      <c r="AB208">
        <f t="shared" si="66"/>
        <v>-61.903273378118371</v>
      </c>
    </row>
    <row r="209" spans="12:28" x14ac:dyDescent="0.25">
      <c r="L209">
        <v>205</v>
      </c>
      <c r="M209">
        <f t="shared" ref="M209:M272" si="71">L209*$D$5</f>
        <v>102.5</v>
      </c>
      <c r="N209">
        <f t="shared" si="67"/>
        <v>13321.632795975087</v>
      </c>
      <c r="O209">
        <f t="shared" si="68"/>
        <v>70985.919750848479</v>
      </c>
      <c r="P209">
        <f t="shared" si="69"/>
        <v>3711.468727252462</v>
      </c>
      <c r="Q209">
        <f t="shared" si="70"/>
        <v>-5947.5716990134597</v>
      </c>
      <c r="R209">
        <f t="shared" si="56"/>
        <v>52.74280115771441</v>
      </c>
      <c r="S209">
        <f t="shared" si="57"/>
        <v>-928.60625777789778</v>
      </c>
      <c r="T209">
        <f t="shared" si="58"/>
        <v>66323.014059052017</v>
      </c>
      <c r="U209">
        <f t="shared" si="59"/>
        <v>69495.421576149412</v>
      </c>
      <c r="V209">
        <f t="shared" si="60"/>
        <v>87916.213656582739</v>
      </c>
      <c r="W209">
        <f t="shared" si="61"/>
        <v>84.152645998850474</v>
      </c>
      <c r="X209">
        <f t="shared" si="62"/>
        <v>-17.562016491817868</v>
      </c>
      <c r="Y209">
        <f t="shared" si="63"/>
        <v>-13.847828349318194</v>
      </c>
      <c r="Z209">
        <f t="shared" si="64"/>
        <v>-831.47415768858843</v>
      </c>
      <c r="AA209">
        <f t="shared" si="65"/>
        <v>-32.142354337523713</v>
      </c>
      <c r="AB209">
        <f t="shared" si="66"/>
        <v>-64.989745751785676</v>
      </c>
    </row>
    <row r="210" spans="12:28" x14ac:dyDescent="0.25">
      <c r="L210">
        <v>206</v>
      </c>
      <c r="M210">
        <f t="shared" si="71"/>
        <v>103</v>
      </c>
      <c r="N210">
        <f t="shared" si="67"/>
        <v>15183.960009746032</v>
      </c>
      <c r="O210">
        <f t="shared" si="68"/>
        <v>67896.058119119509</v>
      </c>
      <c r="P210">
        <f t="shared" si="69"/>
        <v>3737.840127831319</v>
      </c>
      <c r="Q210">
        <f t="shared" si="70"/>
        <v>-6411.8748279024085</v>
      </c>
      <c r="R210">
        <f t="shared" si="56"/>
        <v>32.942732207189309</v>
      </c>
      <c r="S210">
        <f t="shared" si="57"/>
        <v>-1010.5290314808132</v>
      </c>
      <c r="T210">
        <f t="shared" si="58"/>
        <v>63080.174128733859</v>
      </c>
      <c r="U210">
        <f t="shared" si="59"/>
        <v>67748.539376874192</v>
      </c>
      <c r="V210">
        <f t="shared" si="60"/>
        <v>85317.927151117925</v>
      </c>
      <c r="W210">
        <f t="shared" si="61"/>
        <v>69.614571584735174</v>
      </c>
      <c r="X210">
        <f t="shared" si="62"/>
        <v>-19.999535903378856</v>
      </c>
      <c r="Y210">
        <f t="shared" si="63"/>
        <v>-16.672303474167006</v>
      </c>
      <c r="Z210">
        <f t="shared" si="64"/>
        <v>-909.14571913681607</v>
      </c>
      <c r="AA210">
        <f t="shared" si="65"/>
        <v>-32.909720585650398</v>
      </c>
      <c r="AB210">
        <f t="shared" si="66"/>
        <v>-68.473591758346743</v>
      </c>
    </row>
    <row r="211" spans="12:28" x14ac:dyDescent="0.25">
      <c r="L211">
        <v>207</v>
      </c>
      <c r="M211">
        <f t="shared" si="71"/>
        <v>103.5</v>
      </c>
      <c r="N211">
        <f t="shared" si="67"/>
        <v>17056.997915187589</v>
      </c>
      <c r="O211">
        <f t="shared" si="68"/>
        <v>64563.804576233197</v>
      </c>
      <c r="P211">
        <f t="shared" si="69"/>
        <v>3754.3114939349139</v>
      </c>
      <c r="Q211">
        <f t="shared" si="70"/>
        <v>-6917.1393436428152</v>
      </c>
      <c r="R211">
        <f t="shared" si="56"/>
        <v>6.6518831476362692</v>
      </c>
      <c r="S211">
        <f t="shared" si="57"/>
        <v>-1108.5424886052922</v>
      </c>
      <c r="T211">
        <f t="shared" si="58"/>
        <v>59636.465999142747</v>
      </c>
      <c r="U211">
        <f t="shared" si="59"/>
        <v>65957.788503857402</v>
      </c>
      <c r="V211">
        <f t="shared" si="60"/>
        <v>82564.581726522534</v>
      </c>
      <c r="W211">
        <f t="shared" si="61"/>
        <v>49.534877588867992</v>
      </c>
      <c r="X211">
        <f t="shared" si="62"/>
        <v>-22.807011290969697</v>
      </c>
      <c r="Y211">
        <f t="shared" si="63"/>
        <v>-20.075983150262026</v>
      </c>
      <c r="Z211">
        <f t="shared" si="64"/>
        <v>-1002.5428740391234</v>
      </c>
      <c r="AA211">
        <f t="shared" si="65"/>
        <v>-33.581708639662615</v>
      </c>
      <c r="AB211">
        <f t="shared" si="66"/>
        <v>-72.417905926506222</v>
      </c>
    </row>
    <row r="212" spans="12:28" x14ac:dyDescent="0.25">
      <c r="L212">
        <v>208</v>
      </c>
      <c r="M212">
        <f t="shared" si="71"/>
        <v>104</v>
      </c>
      <c r="N212">
        <f t="shared" si="67"/>
        <v>18934.985147548497</v>
      </c>
      <c r="O212">
        <f t="shared" si="68"/>
        <v>60966.667093336124</v>
      </c>
      <c r="P212">
        <f t="shared" si="69"/>
        <v>3757.6374355087319</v>
      </c>
      <c r="Q212">
        <f t="shared" si="70"/>
        <v>-7471.410587945461</v>
      </c>
      <c r="R212">
        <f t="shared" si="56"/>
        <v>-29.025258640449827</v>
      </c>
      <c r="S212">
        <f t="shared" si="57"/>
        <v>-1227.1450493551056</v>
      </c>
      <c r="T212">
        <f t="shared" si="58"/>
        <v>55976.799499187655</v>
      </c>
      <c r="U212">
        <f t="shared" si="59"/>
        <v>64136.839827378259</v>
      </c>
      <c r="V212">
        <f t="shared" si="60"/>
        <v>79648.088635466469</v>
      </c>
      <c r="W212">
        <f t="shared" si="61"/>
        <v>21.240008330918691</v>
      </c>
      <c r="X212">
        <f t="shared" si="62"/>
        <v>-26.037304972902422</v>
      </c>
      <c r="Y212">
        <f t="shared" si="63"/>
        <v>-24.227961998466096</v>
      </c>
      <c r="Z212">
        <f t="shared" si="64"/>
        <v>-1116.1651619974411</v>
      </c>
      <c r="AA212">
        <f t="shared" si="65"/>
        <v>-34.083348164449944</v>
      </c>
      <c r="AB212">
        <f t="shared" si="66"/>
        <v>-76.896539193214593</v>
      </c>
    </row>
    <row r="213" spans="12:28" x14ac:dyDescent="0.25">
      <c r="L213">
        <v>209</v>
      </c>
      <c r="M213">
        <f t="shared" si="71"/>
        <v>104.5</v>
      </c>
      <c r="N213">
        <f t="shared" si="67"/>
        <v>20810.175707972809</v>
      </c>
      <c r="O213">
        <f t="shared" si="68"/>
        <v>57077.568668194006</v>
      </c>
      <c r="P213">
        <f t="shared" si="69"/>
        <v>3743.1248061885071</v>
      </c>
      <c r="Q213">
        <f t="shared" si="70"/>
        <v>-8084.9831126230138</v>
      </c>
      <c r="R213">
        <f t="shared" si="56"/>
        <v>-78.642874904158958</v>
      </c>
      <c r="S213">
        <f t="shared" si="57"/>
        <v>-1372.4104750922768</v>
      </c>
      <c r="T213">
        <f t="shared" si="58"/>
        <v>52083.870277354115</v>
      </c>
      <c r="U213">
        <f t="shared" si="59"/>
        <v>62303.835459978996</v>
      </c>
      <c r="V213">
        <f t="shared" si="60"/>
        <v>76559.39573425753</v>
      </c>
      <c r="W213">
        <f t="shared" si="61"/>
        <v>-19.541403178464542</v>
      </c>
      <c r="X213">
        <f t="shared" si="62"/>
        <v>-29.740283465810226</v>
      </c>
      <c r="Y213">
        <f t="shared" si="63"/>
        <v>-29.361188259884191</v>
      </c>
      <c r="Z213">
        <f t="shared" si="64"/>
        <v>-1256.10871306636</v>
      </c>
      <c r="AA213">
        <f t="shared" si="65"/>
        <v>-34.307625801270625</v>
      </c>
      <c r="AB213">
        <f t="shared" si="66"/>
        <v>-81.994136224646113</v>
      </c>
    </row>
    <row r="214" spans="12:28" x14ac:dyDescent="0.25">
      <c r="L214">
        <v>210</v>
      </c>
      <c r="M214">
        <f t="shared" si="71"/>
        <v>105</v>
      </c>
      <c r="N214">
        <f t="shared" si="67"/>
        <v>22671.907751704042</v>
      </c>
      <c r="O214">
        <f t="shared" si="68"/>
        <v>52863.525802495962</v>
      </c>
      <c r="P214">
        <f t="shared" si="69"/>
        <v>3703.8033687364277</v>
      </c>
      <c r="Q214">
        <f t="shared" si="70"/>
        <v>-8771.1883501691518</v>
      </c>
      <c r="R214">
        <f t="shared" si="56"/>
        <v>-149.6157947011049</v>
      </c>
      <c r="S214">
        <f t="shared" si="57"/>
        <v>-1552.5037555560077</v>
      </c>
      <c r="T214">
        <f t="shared" si="58"/>
        <v>47938.045363571226</v>
      </c>
      <c r="U214">
        <f t="shared" si="59"/>
        <v>60482.836866264603</v>
      </c>
      <c r="V214">
        <f t="shared" si="60"/>
        <v>73288.420729095073</v>
      </c>
      <c r="W214">
        <f t="shared" si="61"/>
        <v>-79.86078656010784</v>
      </c>
      <c r="X214">
        <f t="shared" si="62"/>
        <v>-33.952395728578004</v>
      </c>
      <c r="Y214">
        <f t="shared" si="63"/>
        <v>-35.802612412419066</v>
      </c>
      <c r="Z214">
        <f t="shared" si="64"/>
        <v>-1430.5953548319735</v>
      </c>
      <c r="AA214">
        <f t="shared" si="65"/>
        <v>-34.104858841478467</v>
      </c>
      <c r="AB214">
        <f t="shared" si="66"/>
        <v>-87.803541882555692</v>
      </c>
    </row>
    <row r="215" spans="12:28" x14ac:dyDescent="0.25">
      <c r="L215">
        <v>211</v>
      </c>
      <c r="M215">
        <f t="shared" si="71"/>
        <v>105.5</v>
      </c>
      <c r="N215">
        <f t="shared" si="67"/>
        <v>24505.10746173462</v>
      </c>
      <c r="O215">
        <f t="shared" si="68"/>
        <v>48283.868657966887</v>
      </c>
      <c r="P215">
        <f t="shared" si="69"/>
        <v>3628.9954713858751</v>
      </c>
      <c r="Q215">
        <f t="shared" si="70"/>
        <v>-9547.440227947156</v>
      </c>
      <c r="R215">
        <f t="shared" si="56"/>
        <v>-254.47486466918818</v>
      </c>
      <c r="S215">
        <f t="shared" si="57"/>
        <v>-1778.0699879315873</v>
      </c>
      <c r="T215">
        <f t="shared" si="58"/>
        <v>43517.689268180417</v>
      </c>
      <c r="U215">
        <f t="shared" si="59"/>
        <v>58705.699805053046</v>
      </c>
      <c r="V215">
        <f t="shared" si="60"/>
        <v>69824.06031338562</v>
      </c>
      <c r="W215">
        <f t="shared" si="61"/>
        <v>-171.77639581894908</v>
      </c>
      <c r="X215">
        <f t="shared" si="62"/>
        <v>-38.678077515764173</v>
      </c>
      <c r="Y215">
        <f t="shared" si="63"/>
        <v>-44.020391334474915</v>
      </c>
      <c r="Z215">
        <f t="shared" si="64"/>
        <v>-1650.3817097192036</v>
      </c>
      <c r="AA215">
        <f t="shared" si="65"/>
        <v>-33.2713821852766</v>
      </c>
      <c r="AB215">
        <f t="shared" si="66"/>
        <v>-94.416896027106915</v>
      </c>
    </row>
    <row r="216" spans="12:28" x14ac:dyDescent="0.25">
      <c r="L216">
        <v>212</v>
      </c>
      <c r="M216">
        <f t="shared" si="71"/>
        <v>106</v>
      </c>
      <c r="N216">
        <f t="shared" si="67"/>
        <v>26287.795839343908</v>
      </c>
      <c r="O216">
        <f t="shared" si="68"/>
        <v>43287.889795501862</v>
      </c>
      <c r="P216">
        <f t="shared" si="69"/>
        <v>3501.7580390512812</v>
      </c>
      <c r="Q216">
        <f t="shared" si="70"/>
        <v>-10436.47522191295</v>
      </c>
      <c r="R216">
        <f t="shared" si="56"/>
        <v>-415.20401872214381</v>
      </c>
      <c r="S216">
        <f t="shared" si="57"/>
        <v>-2061.5763114119277</v>
      </c>
      <c r="T216">
        <f t="shared" si="58"/>
        <v>38800.758774923022</v>
      </c>
      <c r="U216">
        <f t="shared" si="59"/>
        <v>57014.416165582719</v>
      </c>
      <c r="V216">
        <f t="shared" si="60"/>
        <v>66154.397172803539</v>
      </c>
      <c r="W216">
        <f t="shared" si="61"/>
        <v>-316.64599111109561</v>
      </c>
      <c r="X216">
        <f t="shared" si="62"/>
        <v>-43.858995699120655</v>
      </c>
      <c r="Y216">
        <f t="shared" si="63"/>
        <v>-54.699031911927527</v>
      </c>
      <c r="Z216">
        <f t="shared" si="64"/>
        <v>-1928.1330249288317</v>
      </c>
      <c r="AA216">
        <f t="shared" si="65"/>
        <v>-31.541217050840078</v>
      </c>
      <c r="AB216">
        <f t="shared" si="66"/>
        <v>-101.90206943225593</v>
      </c>
    </row>
    <row r="217" spans="12:28" x14ac:dyDescent="0.25">
      <c r="L217">
        <v>213</v>
      </c>
      <c r="M217">
        <f t="shared" si="71"/>
        <v>106.5</v>
      </c>
      <c r="N217">
        <f t="shared" si="67"/>
        <v>27986.77435652928</v>
      </c>
      <c r="O217">
        <f t="shared" si="68"/>
        <v>37811.9551456189</v>
      </c>
      <c r="P217">
        <f t="shared" si="69"/>
        <v>3294.1560296902094</v>
      </c>
      <c r="Q217">
        <f t="shared" si="70"/>
        <v>-11467.263377618914</v>
      </c>
      <c r="R217">
        <f t="shared" si="56"/>
        <v>-671.54324808277681</v>
      </c>
      <c r="S217">
        <f t="shared" si="57"/>
        <v>-2412.1773346312289</v>
      </c>
      <c r="T217">
        <f t="shared" si="58"/>
        <v>33770.000963876504</v>
      </c>
      <c r="U217">
        <f t="shared" si="59"/>
        <v>55463.820299059575</v>
      </c>
      <c r="V217">
        <f t="shared" si="60"/>
        <v>62267.406311419785</v>
      </c>
      <c r="W217">
        <f t="shared" si="61"/>
        <v>-553.35555777871366</v>
      </c>
      <c r="X217">
        <f t="shared" si="62"/>
        <v>-49.327624984641879</v>
      </c>
      <c r="Y217">
        <f t="shared" si="63"/>
        <v>-68.860065319421352</v>
      </c>
      <c r="Z217">
        <f t="shared" si="64"/>
        <v>-2273.3430207115825</v>
      </c>
      <c r="AA217">
        <f t="shared" si="65"/>
        <v>-28.589079218368092</v>
      </c>
      <c r="AB217">
        <f t="shared" si="66"/>
        <v>-110.24523470127799</v>
      </c>
    </row>
    <row r="218" spans="12:28" x14ac:dyDescent="0.25">
      <c r="L218">
        <v>214</v>
      </c>
      <c r="M218">
        <f t="shared" si="71"/>
        <v>107</v>
      </c>
      <c r="N218">
        <f t="shared" si="67"/>
        <v>29549.909465364039</v>
      </c>
      <c r="O218">
        <f t="shared" si="68"/>
        <v>31776.801289980536</v>
      </c>
      <c r="P218">
        <f t="shared" si="69"/>
        <v>2958.384405648821</v>
      </c>
      <c r="Q218">
        <f t="shared" si="70"/>
        <v>-12673.352044934529</v>
      </c>
      <c r="R218">
        <f t="shared" si="56"/>
        <v>-1095.3345268812725</v>
      </c>
      <c r="S218">
        <f t="shared" si="57"/>
        <v>-2814.0682696652193</v>
      </c>
      <c r="T218">
        <f t="shared" si="58"/>
        <v>28428.82090625204</v>
      </c>
      <c r="U218">
        <f t="shared" si="59"/>
        <v>54124.140662453668</v>
      </c>
      <c r="V218">
        <f t="shared" si="60"/>
        <v>58152.948188266222</v>
      </c>
      <c r="W218">
        <f t="shared" si="61"/>
        <v>-952.53462521434278</v>
      </c>
      <c r="X218">
        <f t="shared" si="62"/>
        <v>-54.746470968826664</v>
      </c>
      <c r="Y218">
        <f t="shared" si="63"/>
        <v>-88.053430698103099</v>
      </c>
      <c r="Z218">
        <f t="shared" si="64"/>
        <v>-2670.7928984767882</v>
      </c>
      <c r="AA218">
        <f t="shared" si="65"/>
        <v>-24.060649807023164</v>
      </c>
      <c r="AB218">
        <f t="shared" si="66"/>
        <v>-119.2147213814079</v>
      </c>
    </row>
    <row r="219" spans="12:28" x14ac:dyDescent="0.25">
      <c r="L219">
        <v>215</v>
      </c>
      <c r="M219">
        <f t="shared" si="71"/>
        <v>107.5</v>
      </c>
      <c r="N219">
        <f t="shared" si="67"/>
        <v>30892.18485232829</v>
      </c>
      <c r="O219">
        <f t="shared" si="68"/>
        <v>25088.36673380512</v>
      </c>
      <c r="P219">
        <f t="shared" si="69"/>
        <v>2410.7171422081847</v>
      </c>
      <c r="Q219">
        <f t="shared" si="70"/>
        <v>-14080.386179767138</v>
      </c>
      <c r="R219">
        <f t="shared" si="56"/>
        <v>-1803.4037687535213</v>
      </c>
      <c r="S219">
        <f t="shared" si="57"/>
        <v>-3150.4452242226771</v>
      </c>
      <c r="T219">
        <f t="shared" si="58"/>
        <v>22851.305627669026</v>
      </c>
      <c r="U219">
        <f t="shared" si="59"/>
        <v>53081.760424248838</v>
      </c>
      <c r="V219">
        <f t="shared" si="60"/>
        <v>53808.234322060387</v>
      </c>
      <c r="W219">
        <f t="shared" si="61"/>
        <v>-1629.2154942113491</v>
      </c>
      <c r="X219">
        <f t="shared" si="62"/>
        <v>-59.54928323507206</v>
      </c>
      <c r="Y219">
        <f t="shared" si="63"/>
        <v>-114.63899130710011</v>
      </c>
      <c r="Z219">
        <f t="shared" si="64"/>
        <v>-3004.7487055931856</v>
      </c>
      <c r="AA219">
        <f t="shared" si="65"/>
        <v>-17.654998047207915</v>
      </c>
      <c r="AB219">
        <f t="shared" si="66"/>
        <v>-128.04152058228377</v>
      </c>
    </row>
    <row r="220" spans="12:28" x14ac:dyDescent="0.25">
      <c r="L220">
        <v>216</v>
      </c>
      <c r="M220">
        <f t="shared" si="71"/>
        <v>108</v>
      </c>
      <c r="N220">
        <f t="shared" si="67"/>
        <v>31872.117952338194</v>
      </c>
      <c r="O220">
        <f t="shared" si="68"/>
        <v>17654.367990893719</v>
      </c>
      <c r="P220">
        <f t="shared" si="69"/>
        <v>1509.0152578314242</v>
      </c>
      <c r="Q220">
        <f t="shared" si="70"/>
        <v>-15655.608791878476</v>
      </c>
      <c r="R220">
        <f t="shared" si="56"/>
        <v>-2893.9714012555351</v>
      </c>
      <c r="S220">
        <f t="shared" si="57"/>
        <v>-2999.4430366357228</v>
      </c>
      <c r="T220">
        <f t="shared" si="58"/>
        <v>17351.663145738694</v>
      </c>
      <c r="U220">
        <f t="shared" si="59"/>
        <v>52433.824676455792</v>
      </c>
      <c r="V220">
        <f t="shared" si="60"/>
        <v>49253.028649777923</v>
      </c>
      <c r="W220">
        <f t="shared" si="61"/>
        <v>-2678.9539374742271</v>
      </c>
      <c r="X220">
        <f t="shared" si="62"/>
        <v>-62.933795488868768</v>
      </c>
      <c r="Y220">
        <f t="shared" si="63"/>
        <v>-152.0836682924392</v>
      </c>
      <c r="Z220">
        <f t="shared" si="64"/>
        <v>-2855.4693519344551</v>
      </c>
      <c r="AA220">
        <f t="shared" si="65"/>
        <v>-9.2866543482582955</v>
      </c>
      <c r="AB220">
        <f t="shared" si="66"/>
        <v>-134.68703035300959</v>
      </c>
    </row>
    <row r="221" spans="12:28" x14ac:dyDescent="0.25">
      <c r="L221">
        <v>217</v>
      </c>
      <c r="M221">
        <f t="shared" si="71"/>
        <v>108.5</v>
      </c>
      <c r="N221">
        <f t="shared" si="67"/>
        <v>32264.879156096962</v>
      </c>
      <c r="O221">
        <f t="shared" si="68"/>
        <v>9451.6332153750154</v>
      </c>
      <c r="P221">
        <f t="shared" si="69"/>
        <v>62.029557203656623</v>
      </c>
      <c r="Q221">
        <f t="shared" si="70"/>
        <v>-17155.330310196339</v>
      </c>
      <c r="R221">
        <f t="shared" si="56"/>
        <v>-4041.4940877597046</v>
      </c>
      <c r="S221">
        <f t="shared" si="57"/>
        <v>-1503.011681526109</v>
      </c>
      <c r="T221">
        <f t="shared" si="58"/>
        <v>13047.769885995531</v>
      </c>
      <c r="U221">
        <f t="shared" si="59"/>
        <v>52267.755828348883</v>
      </c>
      <c r="V221">
        <f t="shared" si="60"/>
        <v>44570.77052753004</v>
      </c>
      <c r="W221">
        <f t="shared" si="61"/>
        <v>-3772.7710824613332</v>
      </c>
      <c r="X221">
        <f t="shared" si="62"/>
        <v>-64.00595002329942</v>
      </c>
      <c r="Y221">
        <f t="shared" si="63"/>
        <v>-204.7170552750722</v>
      </c>
      <c r="Z221">
        <f t="shared" si="64"/>
        <v>-1369.3565872878828</v>
      </c>
      <c r="AA221">
        <f t="shared" si="65"/>
        <v>0.67155492517865534</v>
      </c>
      <c r="AB221">
        <f t="shared" si="66"/>
        <v>-134.32664916340497</v>
      </c>
    </row>
    <row r="222" spans="12:28" x14ac:dyDescent="0.25">
      <c r="L222">
        <v>218</v>
      </c>
      <c r="M222">
        <f t="shared" si="71"/>
        <v>109</v>
      </c>
      <c r="N222">
        <f t="shared" si="67"/>
        <v>31790.707173728828</v>
      </c>
      <c r="O222">
        <f t="shared" si="68"/>
        <v>686.09160008608217</v>
      </c>
      <c r="P222">
        <f t="shared" si="69"/>
        <v>-1958.7174866761957</v>
      </c>
      <c r="Q222">
        <f t="shared" si="70"/>
        <v>-17906.836150959392</v>
      </c>
      <c r="R222">
        <f t="shared" si="56"/>
        <v>-4087.7685224647607</v>
      </c>
      <c r="S222">
        <f t="shared" si="57"/>
        <v>1266.2352194693833</v>
      </c>
      <c r="T222">
        <f t="shared" si="58"/>
        <v>12555.101805221188</v>
      </c>
      <c r="U222">
        <f t="shared" si="59"/>
        <v>52621.537788598631</v>
      </c>
      <c r="V222">
        <f t="shared" si="60"/>
        <v>39995.119752656741</v>
      </c>
      <c r="W222">
        <f t="shared" si="61"/>
        <v>-3750.6676984544329</v>
      </c>
      <c r="X222">
        <f t="shared" si="62"/>
        <v>-62.176609264740044</v>
      </c>
      <c r="Y222">
        <f t="shared" si="63"/>
        <v>-274.92421474558779</v>
      </c>
      <c r="Z222">
        <f t="shared" si="64"/>
        <v>1372.2702676985759</v>
      </c>
      <c r="AA222">
        <f t="shared" si="65"/>
        <v>11.181682485362622</v>
      </c>
      <c r="AB222">
        <f t="shared" si="66"/>
        <v>-117.2167307145552</v>
      </c>
    </row>
    <row r="223" spans="12:28" x14ac:dyDescent="0.25">
      <c r="L223">
        <v>219</v>
      </c>
      <c r="M223">
        <f t="shared" si="71"/>
        <v>109.5</v>
      </c>
      <c r="N223">
        <f t="shared" si="67"/>
        <v>30300.377365082637</v>
      </c>
      <c r="O223">
        <f t="shared" si="68"/>
        <v>-8109.0470729599419</v>
      </c>
      <c r="P223">
        <f t="shared" si="69"/>
        <v>-4002.6017479085758</v>
      </c>
      <c r="Q223">
        <f t="shared" si="70"/>
        <v>-17273.718541224702</v>
      </c>
      <c r="R223">
        <f t="shared" si="56"/>
        <v>-2857.1892051857212</v>
      </c>
      <c r="S223">
        <f t="shared" si="57"/>
        <v>3062.1674432253467</v>
      </c>
      <c r="T223">
        <f t="shared" si="58"/>
        <v>16671.679250279089</v>
      </c>
      <c r="U223">
        <f t="shared" si="59"/>
        <v>53460.878677406683</v>
      </c>
      <c r="V223">
        <f t="shared" si="60"/>
        <v>35966.677277167546</v>
      </c>
      <c r="W223">
        <f t="shared" si="61"/>
        <v>-2444.2755225359119</v>
      </c>
      <c r="X223">
        <f t="shared" si="62"/>
        <v>-57.63439637059394</v>
      </c>
      <c r="Y223">
        <f t="shared" si="63"/>
        <v>-355.27928627921534</v>
      </c>
      <c r="Z223">
        <f t="shared" si="64"/>
        <v>3110.7717463660092</v>
      </c>
      <c r="AA223">
        <f t="shared" si="65"/>
        <v>20.749426775100748</v>
      </c>
      <c r="AB223">
        <f t="shared" si="66"/>
        <v>-69.353729915763211</v>
      </c>
    </row>
    <row r="224" spans="12:28" x14ac:dyDescent="0.25">
      <c r="L224">
        <v>220</v>
      </c>
      <c r="M224">
        <f t="shared" si="71"/>
        <v>110</v>
      </c>
      <c r="N224">
        <f t="shared" si="67"/>
        <v>27941.927840480133</v>
      </c>
      <c r="O224">
        <f t="shared" si="68"/>
        <v>-16363.135413169124</v>
      </c>
      <c r="P224">
        <f t="shared" si="69"/>
        <v>-5431.1963505014364</v>
      </c>
      <c r="Q224">
        <f t="shared" si="70"/>
        <v>-15742.634819612029</v>
      </c>
      <c r="R224">
        <f t="shared" si="56"/>
        <v>-1666.2673572761628</v>
      </c>
      <c r="S224">
        <f t="shared" si="57"/>
        <v>3255.3024796128029</v>
      </c>
      <c r="T224">
        <f t="shared" si="58"/>
        <v>22791.616276710043</v>
      </c>
      <c r="U224">
        <f t="shared" si="59"/>
        <v>54712.369295022276</v>
      </c>
      <c r="V224">
        <f t="shared" si="60"/>
        <v>32970.119017104495</v>
      </c>
      <c r="W224">
        <f t="shared" si="61"/>
        <v>-1193.2099425130377</v>
      </c>
      <c r="X224">
        <f t="shared" si="62"/>
        <v>-51.306747562961462</v>
      </c>
      <c r="Y224">
        <f t="shared" si="63"/>
        <v>-421.75066720016372</v>
      </c>
      <c r="Z224">
        <f t="shared" si="64"/>
        <v>3209.6370163827523</v>
      </c>
      <c r="AA224">
        <f t="shared" si="65"/>
        <v>28.213440604896878</v>
      </c>
      <c r="AB224">
        <f t="shared" si="66"/>
        <v>17.45202262515398</v>
      </c>
    </row>
    <row r="225" spans="12:28" x14ac:dyDescent="0.25">
      <c r="L225">
        <v>221</v>
      </c>
      <c r="M225">
        <f t="shared" si="71"/>
        <v>110.5</v>
      </c>
      <c r="N225">
        <f t="shared" si="67"/>
        <v>25018.046245569894</v>
      </c>
      <c r="O225">
        <f t="shared" si="68"/>
        <v>-23827.540013023536</v>
      </c>
      <c r="P225">
        <f t="shared" si="69"/>
        <v>-6264.330029139518</v>
      </c>
      <c r="Q225">
        <f t="shared" si="70"/>
        <v>-14114.983579805627</v>
      </c>
      <c r="R225">
        <f t="shared" si="56"/>
        <v>-959.79548419118623</v>
      </c>
      <c r="S225">
        <f t="shared" si="57"/>
        <v>2875.7462160465525</v>
      </c>
      <c r="T225">
        <f t="shared" si="58"/>
        <v>29261.029567073529</v>
      </c>
      <c r="U225">
        <f t="shared" si="59"/>
        <v>56310.984284604529</v>
      </c>
      <c r="V225">
        <f t="shared" si="60"/>
        <v>31289.112532679868</v>
      </c>
      <c r="W225">
        <f t="shared" si="61"/>
        <v>-472.09675312487434</v>
      </c>
      <c r="X225">
        <f t="shared" si="62"/>
        <v>-44.249702638502157</v>
      </c>
      <c r="Y225">
        <f t="shared" si="63"/>
        <v>-443.44902842780976</v>
      </c>
      <c r="Z225">
        <f t="shared" si="64"/>
        <v>2712.0890033129226</v>
      </c>
      <c r="AA225">
        <f t="shared" si="65"/>
        <v>33.25018989947008</v>
      </c>
      <c r="AB225">
        <f t="shared" si="66"/>
        <v>130.40702283415993</v>
      </c>
    </row>
    <row r="226" spans="12:28" x14ac:dyDescent="0.25">
      <c r="L226">
        <v>222</v>
      </c>
      <c r="M226">
        <f t="shared" si="71"/>
        <v>111</v>
      </c>
      <c r="N226">
        <f t="shared" si="67"/>
        <v>21765.906795476236</v>
      </c>
      <c r="O226">
        <f t="shared" si="68"/>
        <v>-30525.56352592053</v>
      </c>
      <c r="P226">
        <f t="shared" si="69"/>
        <v>-6744.2277712351115</v>
      </c>
      <c r="Q226">
        <f t="shared" si="70"/>
        <v>-12677.110471782351</v>
      </c>
      <c r="R226">
        <f t="shared" si="56"/>
        <v>-553.66083973413402</v>
      </c>
      <c r="S226">
        <f t="shared" si="57"/>
        <v>2462.5032803949484</v>
      </c>
      <c r="T226">
        <f t="shared" si="58"/>
        <v>35569.426346857552</v>
      </c>
      <c r="U226">
        <f t="shared" si="59"/>
        <v>58195.466056573758</v>
      </c>
      <c r="V226">
        <f t="shared" si="60"/>
        <v>30942.80028345067</v>
      </c>
      <c r="W226">
        <f t="shared" si="61"/>
        <v>-108.85866592597272</v>
      </c>
      <c r="X226">
        <f t="shared" si="62"/>
        <v>-37.24684387757069</v>
      </c>
      <c r="Y226">
        <f t="shared" si="63"/>
        <v>-407.55532993059063</v>
      </c>
      <c r="Z226">
        <f t="shared" si="64"/>
        <v>2189.9601165854097</v>
      </c>
      <c r="AA226">
        <f t="shared" si="65"/>
        <v>36.140705506339614</v>
      </c>
      <c r="AB226">
        <f t="shared" si="66"/>
        <v>236.40245830319913</v>
      </c>
    </row>
    <row r="227" spans="12:28" x14ac:dyDescent="0.25">
      <c r="L227">
        <v>223</v>
      </c>
      <c r="M227">
        <f t="shared" si="71"/>
        <v>111.5</v>
      </c>
      <c r="N227">
        <f t="shared" si="67"/>
        <v>18324.585304891913</v>
      </c>
      <c r="O227">
        <f t="shared" si="68"/>
        <v>-36556.305851762336</v>
      </c>
      <c r="P227">
        <f t="shared" si="69"/>
        <v>-7021.0581911021782</v>
      </c>
      <c r="Q227">
        <f t="shared" si="70"/>
        <v>-11445.858831584877</v>
      </c>
      <c r="R227">
        <f t="shared" si="56"/>
        <v>-290.17670966360845</v>
      </c>
      <c r="S227">
        <f t="shared" si="57"/>
        <v>2114.1870094362926</v>
      </c>
      <c r="T227">
        <f t="shared" si="58"/>
        <v>41590.065766307715</v>
      </c>
      <c r="U227">
        <f t="shared" si="59"/>
        <v>60301.438236204427</v>
      </c>
      <c r="V227">
        <f t="shared" si="60"/>
        <v>31760.204684792301</v>
      </c>
      <c r="W227">
        <f t="shared" si="61"/>
        <v>71.404077831150175</v>
      </c>
      <c r="X227">
        <f t="shared" si="62"/>
        <v>-30.76574216896352</v>
      </c>
      <c r="Y227">
        <f t="shared" si="63"/>
        <v>-330.8150453257951</v>
      </c>
      <c r="Z227">
        <f t="shared" si="64"/>
        <v>1771.0777553033747</v>
      </c>
      <c r="AA227">
        <f t="shared" si="65"/>
        <v>37.373902177407196</v>
      </c>
      <c r="AB227">
        <f t="shared" si="66"/>
        <v>305.73535195551057</v>
      </c>
    </row>
    <row r="228" spans="12:28" x14ac:dyDescent="0.25">
      <c r="L228">
        <v>224</v>
      </c>
      <c r="M228">
        <f t="shared" si="71"/>
        <v>112</v>
      </c>
      <c r="N228">
        <f t="shared" si="67"/>
        <v>14777.784120632872</v>
      </c>
      <c r="O228">
        <f t="shared" si="68"/>
        <v>-42014.961891375235</v>
      </c>
      <c r="P228">
        <f t="shared" si="69"/>
        <v>-7166.1465459339825</v>
      </c>
      <c r="Q228">
        <f t="shared" si="70"/>
        <v>-10388.765326866731</v>
      </c>
      <c r="R228">
        <f t="shared" si="56"/>
        <v>-106.27636449977857</v>
      </c>
      <c r="S228">
        <f t="shared" si="57"/>
        <v>1822.7346528501075</v>
      </c>
      <c r="T228">
        <f t="shared" si="58"/>
        <v>47304.103208264925</v>
      </c>
      <c r="U228">
        <f t="shared" si="59"/>
        <v>62570.364621780507</v>
      </c>
      <c r="V228">
        <f t="shared" si="60"/>
        <v>33480.87380452927</v>
      </c>
      <c r="W228">
        <f t="shared" si="61"/>
        <v>161.47701781834255</v>
      </c>
      <c r="X228">
        <f t="shared" si="62"/>
        <v>-25.02567942994644</v>
      </c>
      <c r="Y228">
        <f t="shared" si="63"/>
        <v>-242.72770288817466</v>
      </c>
      <c r="Z228">
        <f t="shared" si="64"/>
        <v>1453.7575646877199</v>
      </c>
      <c r="AA228">
        <f t="shared" si="65"/>
        <v>37.429347348273467</v>
      </c>
      <c r="AB228">
        <f t="shared" si="66"/>
        <v>331.54774081411409</v>
      </c>
    </row>
    <row r="229" spans="12:28" x14ac:dyDescent="0.25">
      <c r="L229">
        <v>225</v>
      </c>
      <c r="M229">
        <f t="shared" si="71"/>
        <v>112.5</v>
      </c>
      <c r="N229">
        <f t="shared" si="67"/>
        <v>11181.426302103409</v>
      </c>
      <c r="O229">
        <f t="shared" si="68"/>
        <v>-46981.502723202342</v>
      </c>
      <c r="P229">
        <f t="shared" si="69"/>
        <v>-7219.2847281838722</v>
      </c>
      <c r="Q229">
        <f t="shared" si="70"/>
        <v>-9477.3980004416771</v>
      </c>
      <c r="R229">
        <f t="shared" si="56"/>
        <v>21.484056090626268</v>
      </c>
      <c r="S229">
        <f t="shared" si="57"/>
        <v>1576.0087739296036</v>
      </c>
      <c r="T229">
        <f t="shared" si="58"/>
        <v>52724.224673555189</v>
      </c>
      <c r="U229">
        <f t="shared" si="59"/>
        <v>64955.161448708772</v>
      </c>
      <c r="V229">
        <f t="shared" si="60"/>
        <v>35842.08522958176</v>
      </c>
      <c r="W229">
        <f t="shared" si="61"/>
        <v>206.00523818261598</v>
      </c>
      <c r="X229">
        <f t="shared" si="62"/>
        <v>-20.082866350732068</v>
      </c>
      <c r="Y229">
        <f t="shared" si="63"/>
        <v>-164.43831574125764</v>
      </c>
      <c r="Z229">
        <f t="shared" si="64"/>
        <v>1214.3076892511299</v>
      </c>
      <c r="AA229">
        <f t="shared" si="65"/>
        <v>36.699793414413286</v>
      </c>
      <c r="AB229">
        <f t="shared" si="66"/>
        <v>325.00129126406034</v>
      </c>
    </row>
    <row r="230" spans="12:28" x14ac:dyDescent="0.25">
      <c r="L230">
        <v>226</v>
      </c>
      <c r="M230">
        <f t="shared" si="71"/>
        <v>113</v>
      </c>
      <c r="N230">
        <f t="shared" si="67"/>
        <v>7574.4694450228008</v>
      </c>
      <c r="O230">
        <f t="shared" si="68"/>
        <v>-51523.200626681981</v>
      </c>
      <c r="P230">
        <f t="shared" si="69"/>
        <v>-7208.5427001385588</v>
      </c>
      <c r="Q230">
        <f t="shared" si="70"/>
        <v>-8689.3936134768755</v>
      </c>
      <c r="R230">
        <f t="shared" si="56"/>
        <v>107.17010423996688</v>
      </c>
      <c r="S230">
        <f t="shared" si="57"/>
        <v>1367.8481900137588</v>
      </c>
      <c r="T230">
        <f t="shared" si="58"/>
        <v>57872.843533533189</v>
      </c>
      <c r="U230">
        <f t="shared" si="59"/>
        <v>67419.993922615104</v>
      </c>
      <c r="V230">
        <f t="shared" si="60"/>
        <v>38627.211468609472</v>
      </c>
      <c r="W230">
        <f t="shared" si="61"/>
        <v>226.71704241663664</v>
      </c>
      <c r="X230">
        <f t="shared" si="62"/>
        <v>-15.901892811649956</v>
      </c>
      <c r="Y230">
        <f t="shared" si="63"/>
        <v>-103.64504536501981</v>
      </c>
      <c r="Z230">
        <f t="shared" si="64"/>
        <v>1031.3260119802617</v>
      </c>
      <c r="AA230">
        <f t="shared" si="65"/>
        <v>35.479752157904962</v>
      </c>
      <c r="AB230">
        <f t="shared" si="66"/>
        <v>301.04242587559202</v>
      </c>
    </row>
    <row r="231" spans="12:28" x14ac:dyDescent="0.25">
      <c r="L231">
        <v>227</v>
      </c>
      <c r="M231">
        <f t="shared" si="71"/>
        <v>113.5</v>
      </c>
      <c r="N231">
        <f t="shared" si="67"/>
        <v>3983.5943579835171</v>
      </c>
      <c r="O231">
        <f t="shared" si="68"/>
        <v>-55696.916409668695</v>
      </c>
      <c r="P231">
        <f t="shared" si="69"/>
        <v>-7154.9576480185751</v>
      </c>
      <c r="Q231">
        <f t="shared" si="70"/>
        <v>-8005.4695184699958</v>
      </c>
      <c r="R231">
        <f t="shared" si="56"/>
        <v>162.44732736744882</v>
      </c>
      <c r="S231">
        <f t="shared" si="57"/>
        <v>1193.6803723907115</v>
      </c>
      <c r="T231">
        <f t="shared" si="58"/>
        <v>62774.524381566815</v>
      </c>
      <c r="U231">
        <f t="shared" si="59"/>
        <v>69937.812548486909</v>
      </c>
      <c r="V231">
        <f t="shared" si="60"/>
        <v>41676.659809110832</v>
      </c>
      <c r="W231">
        <f t="shared" si="61"/>
        <v>234.59722990096819</v>
      </c>
      <c r="X231">
        <f t="shared" si="62"/>
        <v>-12.40444513162128</v>
      </c>
      <c r="Y231">
        <f t="shared" si="63"/>
        <v>-59.745457401898086</v>
      </c>
      <c r="Z231">
        <f t="shared" si="64"/>
        <v>889.04644222323452</v>
      </c>
      <c r="AA231">
        <f t="shared" si="65"/>
        <v>33.978801624001555</v>
      </c>
      <c r="AB231">
        <f t="shared" si="66"/>
        <v>270.65512854347531</v>
      </c>
    </row>
    <row r="232" spans="12:28" x14ac:dyDescent="0.25">
      <c r="L232">
        <v>228</v>
      </c>
      <c r="M232">
        <f t="shared" si="71"/>
        <v>114</v>
      </c>
      <c r="N232">
        <f t="shared" si="67"/>
        <v>426.42144989516061</v>
      </c>
      <c r="O232">
        <f t="shared" si="68"/>
        <v>-59550.441122354852</v>
      </c>
      <c r="P232">
        <f t="shared" si="69"/>
        <v>-7073.7339843348509</v>
      </c>
      <c r="Q232">
        <f t="shared" si="70"/>
        <v>-7408.6293322746405</v>
      </c>
      <c r="R232">
        <f t="shared" si="56"/>
        <v>196.70637891792225</v>
      </c>
      <c r="S232">
        <f t="shared" si="57"/>
        <v>1048.716006166092</v>
      </c>
      <c r="T232">
        <f t="shared" si="58"/>
        <v>67452.831121812269</v>
      </c>
      <c r="U232">
        <f t="shared" si="59"/>
        <v>72487.947643473017</v>
      </c>
      <c r="V232">
        <f t="shared" si="60"/>
        <v>44879.704254242679</v>
      </c>
      <c r="W232">
        <f t="shared" si="61"/>
        <v>235.43241315967603</v>
      </c>
      <c r="X232">
        <f t="shared" si="62"/>
        <v>-9.4981900943947188</v>
      </c>
      <c r="Y232">
        <f t="shared" si="63"/>
        <v>-29.227844147359061</v>
      </c>
      <c r="Z232">
        <f t="shared" si="64"/>
        <v>776.41735695163379</v>
      </c>
      <c r="AA232">
        <f t="shared" si="65"/>
        <v>32.340628658306883</v>
      </c>
      <c r="AB232">
        <f t="shared" si="66"/>
        <v>239.95802055615138</v>
      </c>
    </row>
    <row r="233" spans="12:28" x14ac:dyDescent="0.25">
      <c r="L233">
        <v>229</v>
      </c>
      <c r="M233">
        <f t="shared" si="71"/>
        <v>114.5</v>
      </c>
      <c r="N233">
        <f t="shared" si="67"/>
        <v>-3085.8572449075245</v>
      </c>
      <c r="O233">
        <f t="shared" si="68"/>
        <v>-63123.666287721411</v>
      </c>
      <c r="P233">
        <f t="shared" si="69"/>
        <v>-6975.3807948758895</v>
      </c>
      <c r="Q233">
        <f t="shared" si="70"/>
        <v>-6884.2713291915943</v>
      </c>
      <c r="R233">
        <f t="shared" si="56"/>
        <v>216.87208588414828</v>
      </c>
      <c r="S233">
        <f t="shared" si="57"/>
        <v>928.11911412639051</v>
      </c>
      <c r="T233">
        <f t="shared" si="58"/>
        <v>71929.067234415605</v>
      </c>
      <c r="U233">
        <f t="shared" si="59"/>
        <v>75054.372267694649</v>
      </c>
      <c r="V233">
        <f t="shared" si="60"/>
        <v>48161.719232797819</v>
      </c>
      <c r="W233">
        <f t="shared" si="61"/>
        <v>232.38528728741201</v>
      </c>
      <c r="X233">
        <f t="shared" si="62"/>
        <v>-7.0920646223690866</v>
      </c>
      <c r="Y233">
        <f t="shared" si="63"/>
        <v>-8.4211367808946402</v>
      </c>
      <c r="Z233">
        <f t="shared" si="64"/>
        <v>685.74181991167109</v>
      </c>
      <c r="AA233">
        <f t="shared" si="65"/>
        <v>30.660600081605303</v>
      </c>
      <c r="AB233">
        <f t="shared" si="66"/>
        <v>211.71669413311423</v>
      </c>
    </row>
    <row r="234" spans="12:28" x14ac:dyDescent="0.25">
      <c r="L234">
        <v>230</v>
      </c>
      <c r="M234">
        <f t="shared" si="71"/>
        <v>115</v>
      </c>
      <c r="N234">
        <f t="shared" si="67"/>
        <v>-6546.4386316099508</v>
      </c>
      <c r="O234">
        <f t="shared" si="68"/>
        <v>-66449.787063051408</v>
      </c>
      <c r="P234">
        <f t="shared" si="69"/>
        <v>-6866.9447519338155</v>
      </c>
      <c r="Q234">
        <f t="shared" si="70"/>
        <v>-6420.2117721283994</v>
      </c>
      <c r="R234">
        <f t="shared" si="56"/>
        <v>227.75051110341187</v>
      </c>
      <c r="S234">
        <f t="shared" si="57"/>
        <v>827.46647688688643</v>
      </c>
      <c r="T234">
        <f t="shared" si="58"/>
        <v>76221.948777089274</v>
      </c>
      <c r="U234">
        <f t="shared" si="59"/>
        <v>77624.533850316555</v>
      </c>
      <c r="V234">
        <f t="shared" si="60"/>
        <v>51473.022655315937</v>
      </c>
      <c r="W234">
        <f t="shared" si="61"/>
        <v>227.23748790829868</v>
      </c>
      <c r="X234">
        <f t="shared" si="62"/>
        <v>-5.1033679523244793</v>
      </c>
      <c r="Y234">
        <f t="shared" si="63"/>
        <v>5.6163911474376675</v>
      </c>
      <c r="Z234">
        <f t="shared" si="64"/>
        <v>611.61010518592479</v>
      </c>
      <c r="AA234">
        <f t="shared" si="65"/>
        <v>28.999859782577072</v>
      </c>
      <c r="AB234">
        <f t="shared" si="66"/>
        <v>186.85651191838448</v>
      </c>
    </row>
    <row r="235" spans="12:28" x14ac:dyDescent="0.25">
      <c r="L235">
        <v>231</v>
      </c>
      <c r="M235">
        <f t="shared" si="71"/>
        <v>115.5</v>
      </c>
      <c r="N235">
        <f t="shared" si="67"/>
        <v>-9951.4421936889321</v>
      </c>
      <c r="O235">
        <f t="shared" si="68"/>
        <v>-69556.459639504741</v>
      </c>
      <c r="P235">
        <f t="shared" si="69"/>
        <v>-6753.0694963821097</v>
      </c>
      <c r="Q235">
        <f t="shared" si="70"/>
        <v>-6006.4785336849563</v>
      </c>
      <c r="R235">
        <f t="shared" si="56"/>
        <v>232.56947041967879</v>
      </c>
      <c r="S235">
        <f t="shared" si="57"/>
        <v>742.98607343123422</v>
      </c>
      <c r="T235">
        <f t="shared" si="58"/>
        <v>80347.710380937366</v>
      </c>
      <c r="U235">
        <f t="shared" si="59"/>
        <v>80188.551454424727</v>
      </c>
      <c r="V235">
        <f t="shared" si="60"/>
        <v>54780.690650943354</v>
      </c>
      <c r="W235">
        <f t="shared" si="61"/>
        <v>221.01586842850807</v>
      </c>
      <c r="X235">
        <f t="shared" si="62"/>
        <v>-3.4603021145387021</v>
      </c>
      <c r="Y235">
        <f t="shared" si="63"/>
        <v>15.013904105709418</v>
      </c>
      <c r="Z235">
        <f t="shared" si="64"/>
        <v>550.16251196252119</v>
      </c>
      <c r="AA235">
        <f t="shared" si="65"/>
        <v>27.395910022321186</v>
      </c>
      <c r="AB235">
        <f t="shared" si="66"/>
        <v>165.42765144639185</v>
      </c>
    </row>
    <row r="236" spans="12:28" x14ac:dyDescent="0.25">
      <c r="L236">
        <v>232</v>
      </c>
      <c r="M236">
        <f t="shared" si="71"/>
        <v>116</v>
      </c>
      <c r="N236">
        <f t="shared" si="67"/>
        <v>-13298.905758077528</v>
      </c>
      <c r="O236">
        <f t="shared" si="68"/>
        <v>-72466.825647168313</v>
      </c>
      <c r="P236">
        <f t="shared" si="69"/>
        <v>-6636.78476117227</v>
      </c>
      <c r="Q236">
        <f t="shared" si="70"/>
        <v>-5634.9854969693388</v>
      </c>
      <c r="R236">
        <f t="shared" si="56"/>
        <v>233.46512766750047</v>
      </c>
      <c r="S236">
        <f t="shared" si="57"/>
        <v>671.59012958453411</v>
      </c>
      <c r="T236">
        <f t="shared" si="58"/>
        <v>84320.378323001511</v>
      </c>
      <c r="U236">
        <f t="shared" si="59"/>
        <v>82738.636660024698</v>
      </c>
      <c r="V236">
        <f t="shared" si="60"/>
        <v>58062.964846307099</v>
      </c>
      <c r="W236">
        <f t="shared" si="61"/>
        <v>214.32116816130443</v>
      </c>
      <c r="X236">
        <f t="shared" si="62"/>
        <v>-2.1021664864183851</v>
      </c>
      <c r="Y236">
        <f t="shared" si="63"/>
        <v>21.246125992614417</v>
      </c>
      <c r="Z236">
        <f t="shared" si="64"/>
        <v>498.59838299406482</v>
      </c>
      <c r="AA236">
        <f t="shared" si="65"/>
        <v>25.870252060065127</v>
      </c>
      <c r="AB236">
        <f t="shared" si="66"/>
        <v>147.12149453040425</v>
      </c>
    </row>
    <row r="237" spans="12:28" x14ac:dyDescent="0.25">
      <c r="L237">
        <v>233</v>
      </c>
      <c r="M237">
        <f t="shared" si="71"/>
        <v>116.5</v>
      </c>
      <c r="N237">
        <f t="shared" si="67"/>
        <v>-16588.114997705226</v>
      </c>
      <c r="O237">
        <f t="shared" si="68"/>
        <v>-75200.369629454915</v>
      </c>
      <c r="P237">
        <f t="shared" si="69"/>
        <v>-6520.0521973385194</v>
      </c>
      <c r="Q237">
        <f t="shared" si="70"/>
        <v>-5299.1904321770717</v>
      </c>
      <c r="R237">
        <f t="shared" si="56"/>
        <v>231.84509866892355</v>
      </c>
      <c r="S237">
        <f t="shared" si="57"/>
        <v>610.80465896800251</v>
      </c>
      <c r="T237">
        <f t="shared" si="58"/>
        <v>88152.081358221476</v>
      </c>
      <c r="U237">
        <f t="shared" si="59"/>
        <v>85268.657455507229</v>
      </c>
      <c r="V237">
        <f t="shared" si="60"/>
        <v>61305.537374066291</v>
      </c>
      <c r="W237">
        <f t="shared" si="61"/>
        <v>207.50693501390634</v>
      </c>
      <c r="X237">
        <f t="shared" si="62"/>
        <v>-0.97846048994581114</v>
      </c>
      <c r="Y237">
        <f t="shared" si="63"/>
        <v>25.316624144963015</v>
      </c>
      <c r="Z237">
        <f t="shared" si="64"/>
        <v>454.85078665119397</v>
      </c>
      <c r="AA237">
        <f t="shared" si="65"/>
        <v>24.433764723937269</v>
      </c>
      <c r="AB237">
        <f t="shared" si="66"/>
        <v>131.52010759287126</v>
      </c>
    </row>
    <row r="238" spans="12:28" x14ac:dyDescent="0.25">
      <c r="L238">
        <v>234</v>
      </c>
      <c r="M238">
        <f t="shared" si="71"/>
        <v>117</v>
      </c>
      <c r="N238">
        <f t="shared" si="67"/>
        <v>-19819.160459040872</v>
      </c>
      <c r="O238">
        <f t="shared" si="68"/>
        <v>-77773.614263172451</v>
      </c>
      <c r="P238">
        <f t="shared" si="69"/>
        <v>-6404.1296480040573</v>
      </c>
      <c r="Q238">
        <f t="shared" si="70"/>
        <v>-4993.78810269307</v>
      </c>
      <c r="R238">
        <f t="shared" si="56"/>
        <v>228.63788941982853</v>
      </c>
      <c r="S238">
        <f t="shared" si="57"/>
        <v>558.66611541618329</v>
      </c>
      <c r="T238">
        <f t="shared" si="58"/>
        <v>91853.343748887608</v>
      </c>
      <c r="U238">
        <f t="shared" si="59"/>
        <v>87773.800554378206</v>
      </c>
      <c r="V238">
        <f t="shared" si="60"/>
        <v>64499.102043147614</v>
      </c>
      <c r="W238">
        <f t="shared" si="61"/>
        <v>200.78012316716044</v>
      </c>
      <c r="X238">
        <f t="shared" si="62"/>
        <v>-4.7573082387703663E-2</v>
      </c>
      <c r="Y238">
        <f t="shared" si="63"/>
        <v>27.905339335055789</v>
      </c>
      <c r="Z238">
        <f t="shared" si="64"/>
        <v>417.36933363640043</v>
      </c>
      <c r="AA238">
        <f t="shared" si="65"/>
        <v>23.090422374784531</v>
      </c>
      <c r="AB238">
        <f t="shared" si="66"/>
        <v>118.20635940499834</v>
      </c>
    </row>
    <row r="239" spans="12:28" x14ac:dyDescent="0.25">
      <c r="L239">
        <v>235</v>
      </c>
      <c r="M239">
        <f t="shared" si="71"/>
        <v>117.5</v>
      </c>
      <c r="N239">
        <f t="shared" si="67"/>
        <v>-22992.64554686542</v>
      </c>
      <c r="O239">
        <f t="shared" si="68"/>
        <v>-80200.675050091959</v>
      </c>
      <c r="P239">
        <f t="shared" si="69"/>
        <v>-6289.8107032941434</v>
      </c>
      <c r="Q239">
        <f t="shared" si="70"/>
        <v>-4714.4550449849785</v>
      </c>
      <c r="R239">
        <f t="shared" si="56"/>
        <v>224.45793471839974</v>
      </c>
      <c r="S239">
        <f t="shared" si="57"/>
        <v>513.61953101547056</v>
      </c>
      <c r="T239">
        <f t="shared" si="58"/>
        <v>95433.341134583403</v>
      </c>
      <c r="U239">
        <f t="shared" si="59"/>
        <v>90250.305854669845</v>
      </c>
      <c r="V239">
        <f t="shared" si="60"/>
        <v>67637.735922802894</v>
      </c>
      <c r="W239">
        <f t="shared" si="61"/>
        <v>194.25925991748133</v>
      </c>
      <c r="X239">
        <f t="shared" si="62"/>
        <v>0.72459398820552956</v>
      </c>
      <c r="Y239">
        <f t="shared" si="63"/>
        <v>29.474080812712891</v>
      </c>
      <c r="Z239">
        <f t="shared" si="64"/>
        <v>384.9732871557938</v>
      </c>
      <c r="AA239">
        <f t="shared" si="65"/>
        <v>21.83982895730362</v>
      </c>
      <c r="AB239">
        <f t="shared" si="66"/>
        <v>106.80641490237309</v>
      </c>
    </row>
    <row r="240" spans="12:28" x14ac:dyDescent="0.25">
      <c r="L240">
        <v>236</v>
      </c>
      <c r="M240">
        <f t="shared" si="71"/>
        <v>118</v>
      </c>
      <c r="N240">
        <f t="shared" si="67"/>
        <v>-26109.49365667269</v>
      </c>
      <c r="O240">
        <f t="shared" si="68"/>
        <v>-82493.700131207515</v>
      </c>
      <c r="P240">
        <f t="shared" si="69"/>
        <v>-6177.5817359349439</v>
      </c>
      <c r="Q240">
        <f t="shared" si="70"/>
        <v>-4457.6452794772431</v>
      </c>
      <c r="R240">
        <f t="shared" si="56"/>
        <v>219.71316562533946</v>
      </c>
      <c r="S240">
        <f t="shared" si="57"/>
        <v>474.43092261156971</v>
      </c>
      <c r="T240">
        <f t="shared" si="58"/>
        <v>98900.116116839825</v>
      </c>
      <c r="U240">
        <f t="shared" si="59"/>
        <v>92695.255955753528</v>
      </c>
      <c r="V240">
        <f t="shared" si="60"/>
        <v>70717.821515106552</v>
      </c>
      <c r="W240">
        <f t="shared" si="61"/>
        <v>188.00889621930816</v>
      </c>
      <c r="X240">
        <f t="shared" si="62"/>
        <v>1.3659066138470002</v>
      </c>
      <c r="Y240">
        <f t="shared" si="63"/>
        <v>30.338362792184306</v>
      </c>
      <c r="Z240">
        <f t="shared" si="64"/>
        <v>356.75069672839436</v>
      </c>
      <c r="AA240">
        <f t="shared" si="65"/>
        <v>20.678924285388764</v>
      </c>
      <c r="AB240">
        <f t="shared" si="66"/>
        <v>97.001301597786622</v>
      </c>
    </row>
    <row r="241" spans="12:28" x14ac:dyDescent="0.25">
      <c r="L241">
        <v>237</v>
      </c>
      <c r="M241">
        <f t="shared" si="71"/>
        <v>118.5</v>
      </c>
      <c r="N241">
        <f t="shared" si="67"/>
        <v>-29170.820378936995</v>
      </c>
      <c r="O241">
        <f t="shared" si="68"/>
        <v>-84663.21890561968</v>
      </c>
      <c r="P241">
        <f t="shared" si="69"/>
        <v>-6067.7251531222746</v>
      </c>
      <c r="Q241">
        <f t="shared" si="70"/>
        <v>-4220.4298181714585</v>
      </c>
      <c r="R241">
        <f t="shared" si="56"/>
        <v>214.67490480157193</v>
      </c>
      <c r="S241">
        <f t="shared" si="57"/>
        <v>440.11651833322423</v>
      </c>
      <c r="T241">
        <f t="shared" si="58"/>
        <v>102260.75689752527</v>
      </c>
      <c r="U241">
        <f t="shared" si="59"/>
        <v>95106.40861685398</v>
      </c>
      <c r="V241">
        <f t="shared" si="60"/>
        <v>73737.321798958248</v>
      </c>
      <c r="W241">
        <f t="shared" si="61"/>
        <v>182.06042926584746</v>
      </c>
      <c r="X241">
        <f t="shared" si="62"/>
        <v>1.8991186720220274</v>
      </c>
      <c r="Y241">
        <f t="shared" si="63"/>
        <v>30.715356863702421</v>
      </c>
      <c r="Z241">
        <f t="shared" si="64"/>
        <v>331.98803675660116</v>
      </c>
      <c r="AA241">
        <f t="shared" si="65"/>
        <v>19.603119366536887</v>
      </c>
      <c r="AB241">
        <f t="shared" si="66"/>
        <v>88.525362210086172</v>
      </c>
    </row>
    <row r="242" spans="12:28" x14ac:dyDescent="0.25">
      <c r="L242">
        <v>238</v>
      </c>
      <c r="M242">
        <f t="shared" si="71"/>
        <v>119</v>
      </c>
      <c r="N242">
        <f t="shared" si="67"/>
        <v>-32177.848592397935</v>
      </c>
      <c r="O242">
        <f t="shared" si="68"/>
        <v>-86718.419249913757</v>
      </c>
      <c r="P242">
        <f t="shared" si="69"/>
        <v>-5960.3877007214887</v>
      </c>
      <c r="Q242">
        <f t="shared" si="70"/>
        <v>-4000.3715590048464</v>
      </c>
      <c r="R242">
        <f t="shared" si="56"/>
        <v>209.52343903437159</v>
      </c>
      <c r="S242">
        <f t="shared" si="57"/>
        <v>409.88730200365353</v>
      </c>
      <c r="T242">
        <f t="shared" si="58"/>
        <v>105521.54430936913</v>
      </c>
      <c r="U242">
        <f t="shared" si="59"/>
        <v>97482.0630605521</v>
      </c>
      <c r="V242">
        <f t="shared" si="60"/>
        <v>76695.287429005082</v>
      </c>
      <c r="W242">
        <f t="shared" si="61"/>
        <v>176.42490107090728</v>
      </c>
      <c r="X242">
        <f t="shared" si="62"/>
        <v>2.3428188699506181</v>
      </c>
      <c r="Y242">
        <f t="shared" si="63"/>
        <v>30.755719093513694</v>
      </c>
      <c r="Z242">
        <f t="shared" si="64"/>
        <v>310.1203571835959</v>
      </c>
      <c r="AA242">
        <f t="shared" si="65"/>
        <v>18.607041791597325</v>
      </c>
      <c r="AB242">
        <f t="shared" si="66"/>
        <v>81.159903028460306</v>
      </c>
    </row>
    <row r="243" spans="12:28" x14ac:dyDescent="0.25">
      <c r="L243">
        <v>239</v>
      </c>
      <c r="M243">
        <f t="shared" si="71"/>
        <v>119.5</v>
      </c>
      <c r="N243">
        <f t="shared" si="67"/>
        <v>-35131.852012879383</v>
      </c>
      <c r="O243">
        <f t="shared" si="68"/>
        <v>-88667.369116665723</v>
      </c>
      <c r="P243">
        <f t="shared" si="69"/>
        <v>-5855.6259812043027</v>
      </c>
      <c r="Q243">
        <f t="shared" si="70"/>
        <v>-3795.4279080030196</v>
      </c>
      <c r="R243">
        <f t="shared" si="56"/>
        <v>204.3779373845891</v>
      </c>
      <c r="S243">
        <f t="shared" si="57"/>
        <v>383.10619150975492</v>
      </c>
      <c r="T243">
        <f t="shared" si="58"/>
        <v>108688.07268328818</v>
      </c>
      <c r="U243">
        <f t="shared" si="59"/>
        <v>99820.953079721905</v>
      </c>
      <c r="V243">
        <f t="shared" si="60"/>
        <v>79591.518256012292</v>
      </c>
      <c r="W243">
        <f t="shared" si="61"/>
        <v>171.10097083806536</v>
      </c>
      <c r="X243">
        <f t="shared" si="62"/>
        <v>2.7122143941907764</v>
      </c>
      <c r="Y243">
        <f t="shared" si="63"/>
        <v>30.564752152332968</v>
      </c>
      <c r="Z243">
        <f t="shared" si="64"/>
        <v>290.69543660468634</v>
      </c>
      <c r="AA243">
        <f t="shared" si="65"/>
        <v>17.685016911834929</v>
      </c>
      <c r="AB243">
        <f t="shared" si="66"/>
        <v>74.725737993233693</v>
      </c>
    </row>
    <row r="244" spans="12:28" x14ac:dyDescent="0.25">
      <c r="L244">
        <v>240</v>
      </c>
      <c r="M244">
        <f t="shared" si="71"/>
        <v>120</v>
      </c>
      <c r="N244">
        <f t="shared" si="67"/>
        <v>-38034.117761308458</v>
      </c>
      <c r="O244">
        <f t="shared" si="68"/>
        <v>-90517.194796728509</v>
      </c>
      <c r="P244">
        <f t="shared" si="69"/>
        <v>-5753.4370125120086</v>
      </c>
      <c r="Q244">
        <f t="shared" si="70"/>
        <v>-3603.874812248142</v>
      </c>
      <c r="R244">
        <f t="shared" si="56"/>
        <v>199.31626005942715</v>
      </c>
      <c r="S244">
        <f t="shared" si="57"/>
        <v>359.25516192893207</v>
      </c>
      <c r="T244">
        <f t="shared" si="58"/>
        <v>111765.34939850363</v>
      </c>
      <c r="U244">
        <f t="shared" si="59"/>
        <v>102122.16142068384</v>
      </c>
      <c r="V244">
        <f t="shared" si="60"/>
        <v>82426.328598543274</v>
      </c>
      <c r="W244">
        <f t="shared" si="61"/>
        <v>166.07993025159467</v>
      </c>
      <c r="X244">
        <f t="shared" si="62"/>
        <v>3.0197712120778215</v>
      </c>
      <c r="Y244">
        <f t="shared" si="63"/>
        <v>30.216558595754666</v>
      </c>
      <c r="Z244">
        <f t="shared" si="64"/>
        <v>273.34763862379066</v>
      </c>
      <c r="AA244">
        <f t="shared" si="65"/>
        <v>16.831371247736392</v>
      </c>
      <c r="AB244">
        <f t="shared" si="66"/>
        <v>69.076152057405011</v>
      </c>
    </row>
    <row r="245" spans="12:28" x14ac:dyDescent="0.25">
      <c r="L245">
        <v>241</v>
      </c>
      <c r="M245">
        <f t="shared" si="71"/>
        <v>120.5</v>
      </c>
      <c r="N245">
        <f t="shared" si="67"/>
        <v>-40885.921735057032</v>
      </c>
      <c r="O245">
        <f t="shared" si="68"/>
        <v>-92274.225307611458</v>
      </c>
      <c r="P245">
        <f t="shared" si="69"/>
        <v>-5653.7788824822946</v>
      </c>
      <c r="Q245">
        <f t="shared" si="70"/>
        <v>-3424.2472312836758</v>
      </c>
      <c r="R245">
        <f t="shared" si="56"/>
        <v>194.38819359674494</v>
      </c>
      <c r="S245">
        <f t="shared" si="57"/>
        <v>337.91001761610141</v>
      </c>
      <c r="T245">
        <f t="shared" si="58"/>
        <v>114757.8771794052</v>
      </c>
      <c r="U245">
        <f t="shared" si="59"/>
        <v>104385.05108009958</v>
      </c>
      <c r="V245">
        <f t="shared" si="60"/>
        <v>85200.383072296914</v>
      </c>
      <c r="W245">
        <f t="shared" si="61"/>
        <v>161.3488778828642</v>
      </c>
      <c r="X245">
        <f t="shared" si="62"/>
        <v>3.2757331922531296</v>
      </c>
      <c r="Y245">
        <f t="shared" si="63"/>
        <v>29.763582521627583</v>
      </c>
      <c r="Z245">
        <f t="shared" si="64"/>
        <v>257.77859073242985</v>
      </c>
      <c r="AA245">
        <f t="shared" si="65"/>
        <v>16.040617158388631</v>
      </c>
      <c r="AB245">
        <f t="shared" si="66"/>
        <v>64.090809725282966</v>
      </c>
    </row>
    <row r="246" spans="12:28" x14ac:dyDescent="0.25">
      <c r="L246">
        <v>242</v>
      </c>
      <c r="M246">
        <f t="shared" si="71"/>
        <v>121</v>
      </c>
      <c r="N246">
        <f t="shared" si="67"/>
        <v>-43688.512652098587</v>
      </c>
      <c r="O246">
        <f t="shared" si="68"/>
        <v>-93944.110171051274</v>
      </c>
      <c r="P246">
        <f t="shared" si="69"/>
        <v>-5556.5847856839218</v>
      </c>
      <c r="Q246">
        <f t="shared" si="70"/>
        <v>-3255.2922224756248</v>
      </c>
      <c r="R246">
        <f t="shared" si="56"/>
        <v>189.62437381241051</v>
      </c>
      <c r="S246">
        <f t="shared" si="57"/>
        <v>318.72098416900246</v>
      </c>
      <c r="T246">
        <f t="shared" si="58"/>
        <v>117669.72244964995</v>
      </c>
      <c r="U246">
        <f t="shared" si="59"/>
        <v>106609.21006611145</v>
      </c>
      <c r="V246">
        <f t="shared" si="60"/>
        <v>87914.580940425774</v>
      </c>
      <c r="W246">
        <f t="shared" si="61"/>
        <v>156.89273210134536</v>
      </c>
      <c r="X246">
        <f t="shared" si="62"/>
        <v>3.4885411162823132</v>
      </c>
      <c r="Y246">
        <f t="shared" si="63"/>
        <v>29.243100594782852</v>
      </c>
      <c r="Z246">
        <f t="shared" si="64"/>
        <v>243.74272727754197</v>
      </c>
      <c r="AA246">
        <f t="shared" si="65"/>
        <v>15.307558876853617</v>
      </c>
      <c r="AB246">
        <f t="shared" si="66"/>
        <v>59.670698014606884</v>
      </c>
    </row>
    <row r="247" spans="12:28" x14ac:dyDescent="0.25">
      <c r="L247">
        <v>243</v>
      </c>
      <c r="M247">
        <f t="shared" si="71"/>
        <v>121.5</v>
      </c>
      <c r="N247">
        <f t="shared" si="67"/>
        <v>-46443.101998213999</v>
      </c>
      <c r="O247">
        <f t="shared" si="68"/>
        <v>-95531.916159267959</v>
      </c>
      <c r="P247">
        <f t="shared" si="69"/>
        <v>-5461.7725987777167</v>
      </c>
      <c r="Q247">
        <f t="shared" si="70"/>
        <v>-3095.9317303911234</v>
      </c>
      <c r="R247">
        <f t="shared" si="56"/>
        <v>185.04235276826262</v>
      </c>
      <c r="S247">
        <f t="shared" si="57"/>
        <v>301.3977116673496</v>
      </c>
      <c r="T247">
        <f t="shared" si="58"/>
        <v>120504.5724020427</v>
      </c>
      <c r="U247">
        <f t="shared" si="59"/>
        <v>108794.40689453989</v>
      </c>
      <c r="V247">
        <f t="shared" si="60"/>
        <v>90569.974183046637</v>
      </c>
      <c r="W247">
        <f t="shared" si="61"/>
        <v>152.69550305663569</v>
      </c>
      <c r="X247">
        <f t="shared" si="62"/>
        <v>3.6651701594508705</v>
      </c>
      <c r="Y247">
        <f t="shared" si="63"/>
        <v>28.681679552176057</v>
      </c>
      <c r="Z247">
        <f t="shared" si="64"/>
        <v>231.03634612964902</v>
      </c>
      <c r="AA247">
        <f t="shared" si="65"/>
        <v>14.627347048872878</v>
      </c>
      <c r="AB247">
        <f t="shared" si="66"/>
        <v>55.734018488827722</v>
      </c>
    </row>
    <row r="248" spans="12:28" x14ac:dyDescent="0.25">
      <c r="L248">
        <v>244</v>
      </c>
      <c r="M248">
        <f t="shared" si="71"/>
        <v>122</v>
      </c>
      <c r="N248">
        <f t="shared" si="67"/>
        <v>-49150.85800350683</v>
      </c>
      <c r="O248">
        <f t="shared" si="68"/>
        <v>-97042.207310505109</v>
      </c>
      <c r="P248">
        <f t="shared" si="69"/>
        <v>-5369.251422393585</v>
      </c>
      <c r="Q248">
        <f t="shared" si="70"/>
        <v>-2945.2328745574487</v>
      </c>
      <c r="R248">
        <f t="shared" si="56"/>
        <v>180.6507556767541</v>
      </c>
      <c r="S248">
        <f t="shared" si="57"/>
        <v>285.69762261315407</v>
      </c>
      <c r="T248">
        <f t="shared" si="58"/>
        <v>123265.78290596814</v>
      </c>
      <c r="U248">
        <f t="shared" si="59"/>
        <v>110940.5546598978</v>
      </c>
      <c r="V248">
        <f t="shared" si="60"/>
        <v>93167.709228174761</v>
      </c>
      <c r="W248">
        <f t="shared" si="61"/>
        <v>148.74108797997326</v>
      </c>
      <c r="X248">
        <f t="shared" si="62"/>
        <v>3.8114015524529004</v>
      </c>
      <c r="Y248">
        <f t="shared" si="63"/>
        <v>28.098266144327933</v>
      </c>
      <c r="Z248">
        <f t="shared" si="64"/>
        <v>219.48923518017372</v>
      </c>
      <c r="AA248">
        <f t="shared" si="65"/>
        <v>13.995500066315872</v>
      </c>
      <c r="AB248">
        <f t="shared" si="66"/>
        <v>52.212887366664489</v>
      </c>
    </row>
    <row r="249" spans="12:28" x14ac:dyDescent="0.25">
      <c r="L249">
        <v>245</v>
      </c>
      <c r="M249">
        <f t="shared" si="71"/>
        <v>122.5</v>
      </c>
      <c r="N249">
        <f t="shared" si="67"/>
        <v>-51812.902370244032</v>
      </c>
      <c r="O249">
        <f t="shared" si="68"/>
        <v>-98479.111544957195</v>
      </c>
      <c r="P249">
        <f t="shared" si="69"/>
        <v>-5278.9260445552081</v>
      </c>
      <c r="Q249">
        <f t="shared" si="70"/>
        <v>-2802.3840632508718</v>
      </c>
      <c r="R249">
        <f t="shared" si="56"/>
        <v>176.45214810031683</v>
      </c>
      <c r="S249">
        <f t="shared" si="57"/>
        <v>271.41680313887178</v>
      </c>
      <c r="T249">
        <f t="shared" si="58"/>
        <v>125956.41894310863</v>
      </c>
      <c r="U249">
        <f t="shared" si="59"/>
        <v>113047.68197005166</v>
      </c>
      <c r="V249">
        <f t="shared" si="60"/>
        <v>95708.985433246562</v>
      </c>
      <c r="W249">
        <f t="shared" si="61"/>
        <v>145.01375800580868</v>
      </c>
      <c r="X249">
        <f t="shared" si="62"/>
        <v>3.9320413842551667</v>
      </c>
      <c r="Y249">
        <f t="shared" si="63"/>
        <v>27.506348710252986</v>
      </c>
      <c r="Z249">
        <f t="shared" si="64"/>
        <v>208.95820033663281</v>
      </c>
      <c r="AA249">
        <f t="shared" si="65"/>
        <v>13.407904470890694</v>
      </c>
      <c r="AB249">
        <f t="shared" si="66"/>
        <v>49.050698331348272</v>
      </c>
    </row>
    <row r="250" spans="12:28" x14ac:dyDescent="0.25">
      <c r="L250">
        <v>246</v>
      </c>
      <c r="M250">
        <f t="shared" si="71"/>
        <v>123</v>
      </c>
      <c r="N250">
        <f t="shared" si="67"/>
        <v>-54430.308874009097</v>
      </c>
      <c r="O250">
        <f t="shared" si="68"/>
        <v>-99846.376476190271</v>
      </c>
      <c r="P250">
        <f t="shared" si="69"/>
        <v>-5190.6999705050494</v>
      </c>
      <c r="Q250">
        <f t="shared" si="70"/>
        <v>-2666.6756616814359</v>
      </c>
      <c r="R250">
        <f t="shared" si="56"/>
        <v>172.44502436480346</v>
      </c>
      <c r="S250">
        <f t="shared" si="57"/>
        <v>258.38283661912169</v>
      </c>
      <c r="T250">
        <f t="shared" si="58"/>
        <v>128579.28892036782</v>
      </c>
      <c r="U250">
        <f t="shared" si="59"/>
        <v>115115.90938748908</v>
      </c>
      <c r="V250">
        <f t="shared" si="60"/>
        <v>98195.025518196984</v>
      </c>
      <c r="W250">
        <f t="shared" si="61"/>
        <v>141.49844477772959</v>
      </c>
      <c r="X250">
        <f t="shared" si="62"/>
        <v>4.0310970722498274</v>
      </c>
      <c r="Y250">
        <f t="shared" si="63"/>
        <v>26.915482514824046</v>
      </c>
      <c r="Z250">
        <f t="shared" si="64"/>
        <v>199.32201594210792</v>
      </c>
      <c r="AA250">
        <f t="shared" si="65"/>
        <v>12.860802621050164</v>
      </c>
      <c r="AB250">
        <f t="shared" si="66"/>
        <v>46.200018055963589</v>
      </c>
    </row>
    <row r="251" spans="12:28" x14ac:dyDescent="0.25">
      <c r="L251">
        <v>247</v>
      </c>
      <c r="M251">
        <f t="shared" si="71"/>
        <v>123.5</v>
      </c>
      <c r="N251">
        <f t="shared" si="67"/>
        <v>-57004.103231216024</v>
      </c>
      <c r="O251">
        <f t="shared" si="68"/>
        <v>-101147.41645245359</v>
      </c>
      <c r="P251">
        <f t="shared" si="69"/>
        <v>-5104.4774583226472</v>
      </c>
      <c r="Q251">
        <f t="shared" si="70"/>
        <v>-2537.484243371875</v>
      </c>
      <c r="R251">
        <f t="shared" si="56"/>
        <v>168.6251920900726</v>
      </c>
      <c r="S251">
        <f t="shared" si="57"/>
        <v>246.44912871164641</v>
      </c>
      <c r="T251">
        <f t="shared" si="58"/>
        <v>131136.97393936763</v>
      </c>
      <c r="U251">
        <f t="shared" si="59"/>
        <v>117145.43029927221</v>
      </c>
      <c r="V251">
        <f t="shared" si="60"/>
        <v>100627.05458431866</v>
      </c>
      <c r="W251">
        <f t="shared" si="61"/>
        <v>138.18089717900631</v>
      </c>
      <c r="X251">
        <f t="shared" si="62"/>
        <v>4.1119199661969983</v>
      </c>
      <c r="Y251">
        <f t="shared" si="63"/>
        <v>26.332374944869294</v>
      </c>
      <c r="Z251">
        <f t="shared" si="64"/>
        <v>190.47745020277961</v>
      </c>
      <c r="AA251">
        <f t="shared" si="65"/>
        <v>12.350773049311856</v>
      </c>
      <c r="AB251">
        <f t="shared" si="66"/>
        <v>43.62090545955494</v>
      </c>
    </row>
    <row r="252" spans="12:28" x14ac:dyDescent="0.25">
      <c r="L252">
        <v>248</v>
      </c>
      <c r="M252">
        <f t="shared" si="71"/>
        <v>124</v>
      </c>
      <c r="N252">
        <f t="shared" si="67"/>
        <v>-59535.263811366094</v>
      </c>
      <c r="O252">
        <f t="shared" si="68"/>
        <v>-102385.35243305058</v>
      </c>
      <c r="P252">
        <f t="shared" si="69"/>
        <v>-5020.1648622776111</v>
      </c>
      <c r="Q252">
        <f t="shared" si="70"/>
        <v>-2414.2596790160519</v>
      </c>
      <c r="R252">
        <f t="shared" si="56"/>
        <v>164.98673852855126</v>
      </c>
      <c r="S252">
        <f t="shared" si="57"/>
        <v>235.49038429174658</v>
      </c>
      <c r="T252">
        <f t="shared" si="58"/>
        <v>133631.8528896239</v>
      </c>
      <c r="U252">
        <f t="shared" si="59"/>
        <v>119136.49535778405</v>
      </c>
      <c r="V252">
        <f t="shared" si="60"/>
        <v>103006.2853364966</v>
      </c>
      <c r="W252">
        <f t="shared" si="61"/>
        <v>135.04775423316002</v>
      </c>
      <c r="X252">
        <f t="shared" si="62"/>
        <v>4.1773208556004242</v>
      </c>
      <c r="Y252">
        <f t="shared" si="63"/>
        <v>25.761663439790816</v>
      </c>
      <c r="Z252">
        <f t="shared" si="64"/>
        <v>182.33611091068562</v>
      </c>
      <c r="AA252">
        <f t="shared" si="65"/>
        <v>11.874707067152968</v>
      </c>
      <c r="AB252">
        <f t="shared" si="66"/>
        <v>41.279566313908006</v>
      </c>
    </row>
    <row r="253" spans="12:28" x14ac:dyDescent="0.25">
      <c r="L253">
        <v>249</v>
      </c>
      <c r="M253">
        <f t="shared" si="71"/>
        <v>124.5</v>
      </c>
      <c r="N253">
        <f t="shared" si="67"/>
        <v>-62024.722900188834</v>
      </c>
      <c r="O253">
        <f t="shared" si="68"/>
        <v>-103563.04597452213</v>
      </c>
      <c r="P253">
        <f t="shared" si="69"/>
        <v>-4937.6714930133357</v>
      </c>
      <c r="Q253">
        <f t="shared" si="70"/>
        <v>-2296.5144868701786</v>
      </c>
      <c r="R253">
        <f t="shared" si="56"/>
        <v>161.52270530251164</v>
      </c>
      <c r="S253">
        <f t="shared" si="57"/>
        <v>225.39897951704796</v>
      </c>
      <c r="T253">
        <f t="shared" si="58"/>
        <v>136066.12406517268</v>
      </c>
      <c r="U253">
        <f t="shared" si="59"/>
        <v>121089.39980794802</v>
      </c>
      <c r="V253">
        <f t="shared" si="60"/>
        <v>105333.90780811581</v>
      </c>
      <c r="W253">
        <f t="shared" si="61"/>
        <v>132.08656448520668</v>
      </c>
      <c r="X253">
        <f t="shared" si="62"/>
        <v>4.2296637752365367</v>
      </c>
      <c r="Y253">
        <f t="shared" si="63"/>
        <v>25.206477042068439</v>
      </c>
      <c r="Z253">
        <f t="shared" si="64"/>
        <v>174.82192277898159</v>
      </c>
      <c r="AA253">
        <f t="shared" si="65"/>
        <v>11.429783913264052</v>
      </c>
      <c r="AB253">
        <f t="shared" si="66"/>
        <v>39.1472728248023</v>
      </c>
    </row>
    <row r="254" spans="12:28" x14ac:dyDescent="0.25">
      <c r="L254">
        <v>250</v>
      </c>
      <c r="M254">
        <f t="shared" si="71"/>
        <v>125</v>
      </c>
      <c r="N254">
        <f t="shared" si="67"/>
        <v>-64473.368308532685</v>
      </c>
      <c r="O254">
        <f t="shared" si="68"/>
        <v>-104683.12834551759</v>
      </c>
      <c r="P254">
        <f t="shared" si="69"/>
        <v>-4856.9101403620798</v>
      </c>
      <c r="Q254">
        <f t="shared" si="70"/>
        <v>-2183.8149971116545</v>
      </c>
      <c r="R254">
        <f t="shared" si="56"/>
        <v>158.22555859282537</v>
      </c>
      <c r="S254">
        <f t="shared" si="57"/>
        <v>216.08203384327953</v>
      </c>
      <c r="T254">
        <f t="shared" si="58"/>
        <v>138441.82387215324</v>
      </c>
      <c r="U254">
        <f t="shared" si="59"/>
        <v>123004.47315370632</v>
      </c>
      <c r="V254">
        <f t="shared" si="60"/>
        <v>107611.08236515865</v>
      </c>
      <c r="W254">
        <f t="shared" si="61"/>
        <v>129.2857718856983</v>
      </c>
      <c r="X254">
        <f t="shared" si="62"/>
        <v>4.2709424011730235</v>
      </c>
      <c r="Y254">
        <f t="shared" si="63"/>
        <v>24.66884430595406</v>
      </c>
      <c r="Z254">
        <f t="shared" si="64"/>
        <v>167.8690952537284</v>
      </c>
      <c r="AA254">
        <f t="shared" si="65"/>
        <v>11.01344589310238</v>
      </c>
      <c r="AB254">
        <f t="shared" si="66"/>
        <v>37.199492696448758</v>
      </c>
    </row>
    <row r="255" spans="12:28" x14ac:dyDescent="0.25">
      <c r="L255">
        <v>251</v>
      </c>
      <c r="M255">
        <f t="shared" si="71"/>
        <v>125.5</v>
      </c>
      <c r="N255">
        <f t="shared" si="67"/>
        <v>-66882.045183889626</v>
      </c>
      <c r="O255">
        <f t="shared" si="68"/>
        <v>-105748.025589843</v>
      </c>
      <c r="P255">
        <f t="shared" si="69"/>
        <v>-4777.7973610656672</v>
      </c>
      <c r="Q255">
        <f t="shared" si="70"/>
        <v>-2075.7739801900148</v>
      </c>
      <c r="R255">
        <f t="shared" si="56"/>
        <v>155.08751512854056</v>
      </c>
      <c r="S255">
        <f t="shared" si="57"/>
        <v>207.45903278446661</v>
      </c>
      <c r="T255">
        <f t="shared" si="58"/>
        <v>140760.84308991602</v>
      </c>
      <c r="U255">
        <f t="shared" si="59"/>
        <v>124882.07072502931</v>
      </c>
      <c r="V255">
        <f t="shared" si="60"/>
        <v>109838.93510315802</v>
      </c>
      <c r="W255">
        <f t="shared" si="61"/>
        <v>126.6346814171567</v>
      </c>
      <c r="X255">
        <f t="shared" si="62"/>
        <v>4.3028424515364616</v>
      </c>
      <c r="Y255">
        <f t="shared" si="63"/>
        <v>24.149991259847418</v>
      </c>
      <c r="Z255">
        <f t="shared" si="64"/>
        <v>161.42047425869561</v>
      </c>
      <c r="AA255">
        <f t="shared" si="65"/>
        <v>10.623374390685747</v>
      </c>
      <c r="AB255">
        <f t="shared" si="66"/>
        <v>35.415184135085276</v>
      </c>
    </row>
    <row r="256" spans="12:28" x14ac:dyDescent="0.25">
      <c r="L256">
        <v>252</v>
      </c>
      <c r="M256">
        <f t="shared" si="71"/>
        <v>126</v>
      </c>
      <c r="N256">
        <f t="shared" si="67"/>
        <v>-69251.557925031389</v>
      </c>
      <c r="O256">
        <f t="shared" si="68"/>
        <v>-106759.98020083996</v>
      </c>
      <c r="P256">
        <f t="shared" si="69"/>
        <v>-4700.2536035013973</v>
      </c>
      <c r="Q256">
        <f t="shared" si="70"/>
        <v>-1972.0444637977814</v>
      </c>
      <c r="R256">
        <f t="shared" si="56"/>
        <v>152.10076612664997</v>
      </c>
      <c r="S256">
        <f t="shared" si="57"/>
        <v>199.45988668127953</v>
      </c>
      <c r="T256">
        <f t="shared" si="58"/>
        <v>143024.94106461771</v>
      </c>
      <c r="U256">
        <f t="shared" si="59"/>
        <v>126722.56679275108</v>
      </c>
      <c r="V256">
        <f t="shared" si="60"/>
        <v>112018.55499091302</v>
      </c>
      <c r="W256">
        <f t="shared" si="61"/>
        <v>124.12341320081795</v>
      </c>
      <c r="X256">
        <f t="shared" si="62"/>
        <v>4.3267928095934645</v>
      </c>
      <c r="Y256">
        <f t="shared" si="63"/>
        <v>23.650560116238552</v>
      </c>
      <c r="Z256">
        <f t="shared" si="64"/>
        <v>155.42619674422016</v>
      </c>
      <c r="AA256">
        <f t="shared" si="65"/>
        <v>10.257467257183166</v>
      </c>
      <c r="AB256">
        <f t="shared" si="66"/>
        <v>33.776222679876206</v>
      </c>
    </row>
    <row r="257" spans="12:28" x14ac:dyDescent="0.25">
      <c r="L257">
        <v>253</v>
      </c>
      <c r="M257">
        <f t="shared" si="71"/>
        <v>126.5</v>
      </c>
      <c r="N257">
        <f t="shared" si="67"/>
        <v>-71582.672131016254</v>
      </c>
      <c r="O257">
        <f t="shared" si="68"/>
        <v>-107721.06994690369</v>
      </c>
      <c r="P257">
        <f t="shared" si="69"/>
        <v>-4624.2032204380721</v>
      </c>
      <c r="Q257">
        <f t="shared" si="70"/>
        <v>-1872.3145204571417</v>
      </c>
      <c r="R257">
        <f t="shared" si="56"/>
        <v>149.25762881968052</v>
      </c>
      <c r="S257">
        <f t="shared" si="57"/>
        <v>192.02333671848538</v>
      </c>
      <c r="T257">
        <f t="shared" si="58"/>
        <v>145235.75814733771</v>
      </c>
      <c r="U257">
        <f t="shared" si="59"/>
        <v>128526.34894689771</v>
      </c>
      <c r="V257">
        <f t="shared" si="60"/>
        <v>114150.99228743048</v>
      </c>
      <c r="W257">
        <f t="shared" si="61"/>
        <v>121.74285081797458</v>
      </c>
      <c r="X257">
        <f t="shared" si="62"/>
        <v>4.3440075350412606</v>
      </c>
      <c r="Y257">
        <f t="shared" si="63"/>
        <v>23.170770466664688</v>
      </c>
      <c r="Z257">
        <f t="shared" si="64"/>
        <v>149.84258575635968</v>
      </c>
      <c r="AA257">
        <f t="shared" si="65"/>
        <v>9.9138178337019376</v>
      </c>
      <c r="AB257">
        <f t="shared" si="66"/>
        <v>32.26693312842378</v>
      </c>
    </row>
    <row r="258" spans="12:28" x14ac:dyDescent="0.25">
      <c r="L258">
        <v>254</v>
      </c>
      <c r="M258">
        <f t="shared" si="71"/>
        <v>127</v>
      </c>
      <c r="N258">
        <f t="shared" si="67"/>
        <v>-73876.116537632828</v>
      </c>
      <c r="O258">
        <f t="shared" si="68"/>
        <v>-108633.22429004246</v>
      </c>
      <c r="P258">
        <f t="shared" si="69"/>
        <v>-4549.5744060282323</v>
      </c>
      <c r="Q258">
        <f t="shared" si="70"/>
        <v>-1776.3028520978989</v>
      </c>
      <c r="R258">
        <f t="shared" si="56"/>
        <v>146.55064653715922</v>
      </c>
      <c r="S258">
        <f t="shared" si="57"/>
        <v>185.09563911605571</v>
      </c>
      <c r="T258">
        <f t="shared" si="58"/>
        <v>147394.82663492067</v>
      </c>
      <c r="U258">
        <f t="shared" si="59"/>
        <v>130293.8135086548</v>
      </c>
      <c r="V258">
        <f t="shared" si="60"/>
        <v>116237.25788341265</v>
      </c>
      <c r="W258">
        <f t="shared" si="61"/>
        <v>119.48458756850256</v>
      </c>
      <c r="X258">
        <f t="shared" si="62"/>
        <v>4.3555204928620403</v>
      </c>
      <c r="Y258">
        <f t="shared" si="63"/>
        <v>22.71053847579461</v>
      </c>
      <c r="Z258">
        <f t="shared" si="64"/>
        <v>144.63123783920042</v>
      </c>
      <c r="AA258">
        <f t="shared" si="65"/>
        <v>9.5906957059285034</v>
      </c>
      <c r="AB258">
        <f t="shared" si="66"/>
        <v>30.873705570926766</v>
      </c>
    </row>
    <row r="259" spans="12:28" x14ac:dyDescent="0.25">
      <c r="L259">
        <v>255</v>
      </c>
      <c r="M259">
        <f t="shared" si="71"/>
        <v>127.5</v>
      </c>
      <c r="N259">
        <f t="shared" si="67"/>
        <v>-76132.584909829791</v>
      </c>
      <c r="O259">
        <f t="shared" si="68"/>
        <v>-109498.23876120191</v>
      </c>
      <c r="P259">
        <f t="shared" si="69"/>
        <v>-4476.2990827596523</v>
      </c>
      <c r="Q259">
        <f t="shared" si="70"/>
        <v>-1683.7550325398711</v>
      </c>
      <c r="R259">
        <f t="shared" si="56"/>
        <v>143.97265225136479</v>
      </c>
      <c r="S259">
        <f t="shared" si="57"/>
        <v>178.62947341830585</v>
      </c>
      <c r="T259">
        <f t="shared" si="58"/>
        <v>149503.58042823867</v>
      </c>
      <c r="U259">
        <f t="shared" si="59"/>
        <v>132025.36178965188</v>
      </c>
      <c r="V259">
        <f t="shared" si="60"/>
        <v>118278.32330957041</v>
      </c>
      <c r="W259">
        <f t="shared" si="61"/>
        <v>117.34087303938385</v>
      </c>
      <c r="X259">
        <f t="shared" si="62"/>
        <v>4.3622139835500962</v>
      </c>
      <c r="Y259">
        <f t="shared" si="63"/>
        <v>22.269565228430839</v>
      </c>
      <c r="Z259">
        <f t="shared" si="64"/>
        <v>139.75826521582962</v>
      </c>
      <c r="AA259">
        <f t="shared" si="65"/>
        <v>9.2865291874780276</v>
      </c>
      <c r="AB259">
        <f t="shared" si="66"/>
        <v>29.584679014998176</v>
      </c>
    </row>
    <row r="260" spans="12:28" x14ac:dyDescent="0.25">
      <c r="L260">
        <v>256</v>
      </c>
      <c r="M260">
        <f t="shared" si="71"/>
        <v>128</v>
      </c>
      <c r="N260">
        <f t="shared" si="67"/>
        <v>-78352.737869678196</v>
      </c>
      <c r="O260">
        <f t="shared" si="68"/>
        <v>-110317.78759329455</v>
      </c>
      <c r="P260">
        <f t="shared" si="69"/>
        <v>-4404.3127566339699</v>
      </c>
      <c r="Q260">
        <f t="shared" si="70"/>
        <v>-1594.4402958307182</v>
      </c>
      <c r="R260">
        <f t="shared" si="56"/>
        <v>141.51680623885773</v>
      </c>
      <c r="S260">
        <f t="shared" si="57"/>
        <v>172.58303230174687</v>
      </c>
      <c r="T260">
        <f t="shared" si="58"/>
        <v>151563.36358722654</v>
      </c>
      <c r="U260">
        <f t="shared" si="59"/>
        <v>133721.39704711628</v>
      </c>
      <c r="V260">
        <f t="shared" si="60"/>
        <v>120275.12122071687</v>
      </c>
      <c r="W260">
        <f t="shared" si="61"/>
        <v>115.30456145030627</v>
      </c>
      <c r="X260">
        <f t="shared" si="62"/>
        <v>4.3648424847219429</v>
      </c>
      <c r="Y260">
        <f t="shared" si="63"/>
        <v>21.847402303829526</v>
      </c>
      <c r="Z260">
        <f t="shared" si="64"/>
        <v>135.19366327639071</v>
      </c>
      <c r="AA260">
        <f t="shared" si="65"/>
        <v>8.9998894675318333</v>
      </c>
      <c r="AB260">
        <f t="shared" si="66"/>
        <v>28.389479557824345</v>
      </c>
    </row>
    <row r="261" spans="12:28" x14ac:dyDescent="0.25">
      <c r="L261">
        <v>257</v>
      </c>
      <c r="M261">
        <f t="shared" si="71"/>
        <v>128.5</v>
      </c>
      <c r="N261">
        <f t="shared" si="67"/>
        <v>-80537.204647215316</v>
      </c>
      <c r="O261">
        <f t="shared" si="68"/>
        <v>-111093.43486217219</v>
      </c>
      <c r="P261">
        <f t="shared" si="69"/>
        <v>-4333.5543535145407</v>
      </c>
      <c r="Q261">
        <f t="shared" si="70"/>
        <v>-1508.1487796798449</v>
      </c>
      <c r="R261">
        <f t="shared" ref="R261:R324" si="72">SUM(W261:Y261)</f>
        <v>139.17661549469065</v>
      </c>
      <c r="S261">
        <f t="shared" ref="S261:S324" si="73">SUM(Z261:AB261)</f>
        <v>166.91925918454191</v>
      </c>
      <c r="T261">
        <f t="shared" ref="T261:T324" si="74">SQRT(($D$18-N261)^2 + ($E$18 - O261) ^2)</f>
        <v>153575.43793319771</v>
      </c>
      <c r="U261">
        <f t="shared" ref="U261:U324" si="75">SQRT(($D$26-N261)^2 + ($E$26- O261) ^2)</f>
        <v>135382.32201147228</v>
      </c>
      <c r="V261">
        <f t="shared" ref="V261:V324" si="76">SQRT(($D$34-N261)^2 + ($E$34 - O261) ^2)</f>
        <v>122228.5462137459</v>
      </c>
      <c r="W261">
        <f t="shared" ref="W261:W324" si="77">$D$22*(($D$18-N261)/(T261^2+($D$23^2))^(3/2))</f>
        <v>113.36906263747331</v>
      </c>
      <c r="X261">
        <f t="shared" ref="X261:X324" si="78">$D$30*(($D$26-N261)/(U261^2+($D$31^2))^(3/2))</f>
        <v>4.3640523968327454</v>
      </c>
      <c r="Y261">
        <f t="shared" ref="Y261:Y324" si="79">$D$38*(($D$34-N261)/(V261^2+($D$39^2))^(3/2))</f>
        <v>21.443500460384609</v>
      </c>
      <c r="Z261">
        <f t="shared" ref="Z261:Z324" si="80">$D$22*(($E$18-O261)/(T261^2+($D$23^2))^(3/2))</f>
        <v>130.91078009252738</v>
      </c>
      <c r="AA261">
        <f t="shared" ref="AA261:AA324" si="81">$D$30*(($E$26-O261)/(U261^2+($D$31^2))^(3/2))</f>
        <v>8.7294763233716868</v>
      </c>
      <c r="AB261">
        <f t="shared" ref="AB261:AB324" si="82">$D$38*(($E$34-O261)/(V261^2+($D$39^2))^(3/2))</f>
        <v>27.279002768642844</v>
      </c>
    </row>
    <row r="262" spans="12:28" x14ac:dyDescent="0.25">
      <c r="L262">
        <v>258</v>
      </c>
      <c r="M262">
        <f t="shared" si="71"/>
        <v>129</v>
      </c>
      <c r="N262">
        <f t="shared" ref="N262:N325" si="83">(N261)+(P261)*(M262-M261)+((1/2*(R261))*((M262-M261)^2))</f>
        <v>-82686.584747035755</v>
      </c>
      <c r="O262">
        <f t="shared" ref="O262:O325" si="84">(O261)+(Q261)*(M262-M261)+((1/2*(S261))*((M262-M261)^2))</f>
        <v>-111826.64434461405</v>
      </c>
      <c r="P262">
        <f t="shared" ref="P262:P325" si="85">P261+(R261*(M262-M261))</f>
        <v>-4263.9660457671953</v>
      </c>
      <c r="Q262">
        <f t="shared" ref="Q262:Q325" si="86">Q261+(S261*(M262-M261))</f>
        <v>-1424.689150087574</v>
      </c>
      <c r="R262">
        <f t="shared" si="72"/>
        <v>136.9459403896694</v>
      </c>
      <c r="S262">
        <f t="shared" si="73"/>
        <v>161.60520679107384</v>
      </c>
      <c r="T262">
        <f t="shared" si="74"/>
        <v>155540.98982529686</v>
      </c>
      <c r="U262">
        <f t="shared" si="75"/>
        <v>137008.53688554</v>
      </c>
      <c r="V262">
        <f t="shared" si="76"/>
        <v>124139.45587401593</v>
      </c>
      <c r="W262">
        <f t="shared" si="77"/>
        <v>111.52829613367945</v>
      </c>
      <c r="X262">
        <f t="shared" si="78"/>
        <v>4.3603985129482039</v>
      </c>
      <c r="Y262">
        <f t="shared" si="79"/>
        <v>21.05724574304174</v>
      </c>
      <c r="Z262">
        <f t="shared" si="80"/>
        <v>126.88586945283799</v>
      </c>
      <c r="AA262">
        <f t="shared" si="81"/>
        <v>8.4741052807609538</v>
      </c>
      <c r="AB262">
        <f t="shared" si="82"/>
        <v>26.245232057474865</v>
      </c>
    </row>
    <row r="263" spans="12:28" x14ac:dyDescent="0.25">
      <c r="L263">
        <v>259</v>
      </c>
      <c r="M263">
        <f t="shared" si="71"/>
        <v>129.5</v>
      </c>
      <c r="N263">
        <f t="shared" si="83"/>
        <v>-84801.449527370642</v>
      </c>
      <c r="O263">
        <f t="shared" si="84"/>
        <v>-112518.78826880894</v>
      </c>
      <c r="P263">
        <f t="shared" si="85"/>
        <v>-4195.4930755723608</v>
      </c>
      <c r="Q263">
        <f t="shared" si="86"/>
        <v>-1343.8865466920372</v>
      </c>
      <c r="R263">
        <f t="shared" si="72"/>
        <v>134.81899252445245</v>
      </c>
      <c r="S263">
        <f t="shared" si="73"/>
        <v>156.6114951816725</v>
      </c>
      <c r="T263">
        <f t="shared" si="74"/>
        <v>157461.13621845603</v>
      </c>
      <c r="U263">
        <f t="shared" si="75"/>
        <v>138600.43773273446</v>
      </c>
      <c r="V263">
        <f t="shared" si="76"/>
        <v>126008.67197175865</v>
      </c>
      <c r="W263">
        <f t="shared" si="77"/>
        <v>109.77664853737699</v>
      </c>
      <c r="X263">
        <f t="shared" si="78"/>
        <v>4.3543577948309062</v>
      </c>
      <c r="Y263">
        <f t="shared" si="79"/>
        <v>20.687986192244573</v>
      </c>
      <c r="Z263">
        <f t="shared" si="80"/>
        <v>123.09771262232589</v>
      </c>
      <c r="AA263">
        <f t="shared" si="81"/>
        <v>8.2326960986604405</v>
      </c>
      <c r="AB263">
        <f t="shared" si="82"/>
        <v>25.281086460686179</v>
      </c>
    </row>
    <row r="264" spans="12:28" x14ac:dyDescent="0.25">
      <c r="L264">
        <v>260</v>
      </c>
      <c r="M264">
        <f t="shared" si="71"/>
        <v>130</v>
      </c>
      <c r="N264">
        <f t="shared" si="83"/>
        <v>-86882.343691091271</v>
      </c>
      <c r="O264">
        <f t="shared" si="84"/>
        <v>-113171.15510525725</v>
      </c>
      <c r="P264">
        <f t="shared" si="85"/>
        <v>-4128.0835793101342</v>
      </c>
      <c r="Q264">
        <f t="shared" si="86"/>
        <v>-1265.5807991012009</v>
      </c>
      <c r="R264">
        <f t="shared" si="72"/>
        <v>132.79032662920835</v>
      </c>
      <c r="S264">
        <f t="shared" si="73"/>
        <v>151.9118519567152</v>
      </c>
      <c r="T264">
        <f t="shared" si="74"/>
        <v>159336.93009409754</v>
      </c>
      <c r="U264">
        <f t="shared" si="75"/>
        <v>140158.4151864475</v>
      </c>
      <c r="V264">
        <f t="shared" si="76"/>
        <v>127836.98175037798</v>
      </c>
      <c r="W264">
        <f t="shared" si="77"/>
        <v>108.10893419179165</v>
      </c>
      <c r="X264">
        <f t="shared" si="78"/>
        <v>4.3463409276050724</v>
      </c>
      <c r="Y264">
        <f t="shared" si="79"/>
        <v>20.335051509811642</v>
      </c>
      <c r="Z264">
        <f t="shared" si="80"/>
        <v>119.52729692722012</v>
      </c>
      <c r="AA264">
        <f t="shared" si="81"/>
        <v>8.0042624553792336</v>
      </c>
      <c r="AB264">
        <f t="shared" si="82"/>
        <v>24.380292574115849</v>
      </c>
    </row>
    <row r="265" spans="12:28" x14ac:dyDescent="0.25">
      <c r="L265">
        <v>261</v>
      </c>
      <c r="M265">
        <f t="shared" si="71"/>
        <v>130.5</v>
      </c>
      <c r="N265">
        <f t="shared" si="83"/>
        <v>-88929.786689917688</v>
      </c>
      <c r="O265">
        <f t="shared" si="84"/>
        <v>-113784.95652331326</v>
      </c>
      <c r="P265">
        <f t="shared" si="85"/>
        <v>-4061.6884159955298</v>
      </c>
      <c r="Q265">
        <f t="shared" si="86"/>
        <v>-1189.6248731228434</v>
      </c>
      <c r="R265">
        <f t="shared" si="72"/>
        <v>130.85482855945267</v>
      </c>
      <c r="S265">
        <f t="shared" si="73"/>
        <v>147.48272065366365</v>
      </c>
      <c r="T265">
        <f t="shared" si="74"/>
        <v>161169.36534142084</v>
      </c>
      <c r="U265">
        <f t="shared" si="75"/>
        <v>141682.8534248097</v>
      </c>
      <c r="V265">
        <f t="shared" si="76"/>
        <v>129625.13926367823</v>
      </c>
      <c r="W265">
        <f t="shared" si="77"/>
        <v>106.52035908693611</v>
      </c>
      <c r="X265">
        <f t="shared" si="78"/>
        <v>4.3367020371587479</v>
      </c>
      <c r="Y265">
        <f t="shared" si="79"/>
        <v>19.997767435357808</v>
      </c>
      <c r="Z265">
        <f t="shared" si="80"/>
        <v>116.15754154561802</v>
      </c>
      <c r="AA265">
        <f t="shared" si="81"/>
        <v>7.7879027181550793</v>
      </c>
      <c r="AB265">
        <f t="shared" si="82"/>
        <v>23.537276389890561</v>
      </c>
    </row>
    <row r="266" spans="12:28" x14ac:dyDescent="0.25">
      <c r="L266">
        <v>262</v>
      </c>
      <c r="M266">
        <f t="shared" si="71"/>
        <v>131</v>
      </c>
      <c r="N266">
        <f t="shared" si="83"/>
        <v>-90944.274044345526</v>
      </c>
      <c r="O266">
        <f t="shared" si="84"/>
        <v>-114361.33361979297</v>
      </c>
      <c r="P266">
        <f t="shared" si="85"/>
        <v>-3996.2610017158036</v>
      </c>
      <c r="Q266">
        <f t="shared" si="86"/>
        <v>-1115.8835127960115</v>
      </c>
      <c r="R266">
        <f t="shared" si="72"/>
        <v>129.00770086045057</v>
      </c>
      <c r="S266">
        <f t="shared" si="73"/>
        <v>143.30292597741564</v>
      </c>
      <c r="T266">
        <f t="shared" si="74"/>
        <v>162959.38115592598</v>
      </c>
      <c r="U266">
        <f t="shared" si="75"/>
        <v>143174.12936481455</v>
      </c>
      <c r="V266">
        <f t="shared" si="76"/>
        <v>131373.86673046267</v>
      </c>
      <c r="W266">
        <f t="shared" si="77"/>
        <v>105.00648783225218</v>
      </c>
      <c r="X266">
        <f t="shared" si="78"/>
        <v>4.3257468836886597</v>
      </c>
      <c r="Y266">
        <f t="shared" si="79"/>
        <v>19.675466144509723</v>
      </c>
      <c r="Z266">
        <f t="shared" si="80"/>
        <v>112.97306268711382</v>
      </c>
      <c r="AA266">
        <f t="shared" si="81"/>
        <v>7.5827916854984299</v>
      </c>
      <c r="AB266">
        <f t="shared" si="82"/>
        <v>22.747071604803381</v>
      </c>
    </row>
    <row r="267" spans="12:28" x14ac:dyDescent="0.25">
      <c r="L267">
        <v>263</v>
      </c>
      <c r="M267">
        <f t="shared" si="71"/>
        <v>131.5</v>
      </c>
      <c r="N267">
        <f t="shared" si="83"/>
        <v>-92926.278582595871</v>
      </c>
      <c r="O267">
        <f t="shared" si="84"/>
        <v>-114901.36251044381</v>
      </c>
      <c r="P267">
        <f t="shared" si="85"/>
        <v>-3931.7571512855784</v>
      </c>
      <c r="Q267">
        <f t="shared" si="86"/>
        <v>-1044.2320498073036</v>
      </c>
      <c r="R267">
        <f t="shared" si="72"/>
        <v>127.24444695237783</v>
      </c>
      <c r="S267">
        <f t="shared" si="73"/>
        <v>139.35338659178856</v>
      </c>
      <c r="T267">
        <f t="shared" si="74"/>
        <v>164707.86601244917</v>
      </c>
      <c r="U267">
        <f t="shared" si="75"/>
        <v>144632.61203778241</v>
      </c>
      <c r="V267">
        <f t="shared" si="76"/>
        <v>133083.85588352694</v>
      </c>
      <c r="W267">
        <f t="shared" si="77"/>
        <v>103.56321351133609</v>
      </c>
      <c r="X267">
        <f t="shared" si="78"/>
        <v>4.3137397878061954</v>
      </c>
      <c r="Y267">
        <f t="shared" si="79"/>
        <v>19.367493653235542</v>
      </c>
      <c r="Z267">
        <f t="shared" si="80"/>
        <v>109.95997177828686</v>
      </c>
      <c r="AA267">
        <f t="shared" si="81"/>
        <v>7.3881732001760385</v>
      </c>
      <c r="AB267">
        <f t="shared" si="82"/>
        <v>22.005241613325662</v>
      </c>
    </row>
    <row r="268" spans="12:28" x14ac:dyDescent="0.25">
      <c r="L268">
        <v>264</v>
      </c>
      <c r="M268">
        <f t="shared" si="71"/>
        <v>132</v>
      </c>
      <c r="N268">
        <f t="shared" si="83"/>
        <v>-94876.251602369608</v>
      </c>
      <c r="O268">
        <f t="shared" si="84"/>
        <v>-115406.05936202349</v>
      </c>
      <c r="P268">
        <f t="shared" si="85"/>
        <v>-3868.1349278093894</v>
      </c>
      <c r="Q268">
        <f t="shared" si="86"/>
        <v>-974.55535651140929</v>
      </c>
      <c r="R268">
        <f t="shared" si="72"/>
        <v>125.56085468263041</v>
      </c>
      <c r="S268">
        <f t="shared" si="73"/>
        <v>135.61686787019644</v>
      </c>
      <c r="T268">
        <f t="shared" si="74"/>
        <v>166415.66126210013</v>
      </c>
      <c r="U268">
        <f t="shared" si="75"/>
        <v>146058.6621146884</v>
      </c>
      <c r="V268">
        <f t="shared" si="76"/>
        <v>134755.76929654117</v>
      </c>
      <c r="W268">
        <f t="shared" si="77"/>
        <v>102.18673021327439</v>
      </c>
      <c r="X268">
        <f t="shared" si="78"/>
        <v>4.3009094996049368</v>
      </c>
      <c r="Y268">
        <f t="shared" si="79"/>
        <v>19.073214969751081</v>
      </c>
      <c r="Z268">
        <f t="shared" si="80"/>
        <v>107.10570141737456</v>
      </c>
      <c r="AA268">
        <f t="shared" si="81"/>
        <v>7.203353539683313</v>
      </c>
      <c r="AB268">
        <f t="shared" si="82"/>
        <v>21.307812913138569</v>
      </c>
    </row>
    <row r="269" spans="12:28" x14ac:dyDescent="0.25">
      <c r="L269">
        <v>265</v>
      </c>
      <c r="M269">
        <f t="shared" si="71"/>
        <v>132.5</v>
      </c>
      <c r="N269">
        <f t="shared" si="83"/>
        <v>-96794.623959438977</v>
      </c>
      <c r="O269">
        <f t="shared" si="84"/>
        <v>-115876.38493179542</v>
      </c>
      <c r="P269">
        <f t="shared" si="85"/>
        <v>-3805.3545004680741</v>
      </c>
      <c r="Q269">
        <f t="shared" si="86"/>
        <v>-906.74692257631102</v>
      </c>
      <c r="R269">
        <f t="shared" si="72"/>
        <v>123.95297976877785</v>
      </c>
      <c r="S269">
        <f t="shared" si="73"/>
        <v>132.07776834617991</v>
      </c>
      <c r="T269">
        <f t="shared" si="74"/>
        <v>168083.56439582762</v>
      </c>
      <c r="U269">
        <f t="shared" si="75"/>
        <v>147452.63155525294</v>
      </c>
      <c r="V269">
        <f t="shared" si="76"/>
        <v>136390.24167719099</v>
      </c>
      <c r="W269">
        <f t="shared" si="77"/>
        <v>100.8735080307538</v>
      </c>
      <c r="X269">
        <f t="shared" si="78"/>
        <v>4.2874541838168456</v>
      </c>
      <c r="Y269">
        <f t="shared" si="79"/>
        <v>18.792017554207199</v>
      </c>
      <c r="Z269">
        <f t="shared" si="80"/>
        <v>104.39885478273791</v>
      </c>
      <c r="AA269">
        <f t="shared" si="81"/>
        <v>7.0276954999430234</v>
      </c>
      <c r="AB269">
        <f t="shared" si="82"/>
        <v>20.651218063498973</v>
      </c>
    </row>
    <row r="270" spans="12:28" x14ac:dyDescent="0.25">
      <c r="L270">
        <v>266</v>
      </c>
      <c r="M270">
        <f t="shared" si="71"/>
        <v>133</v>
      </c>
      <c r="N270">
        <f t="shared" si="83"/>
        <v>-98681.807087201916</v>
      </c>
      <c r="O270">
        <f t="shared" si="84"/>
        <v>-116313.2486720403</v>
      </c>
      <c r="P270">
        <f t="shared" si="85"/>
        <v>-3743.378010583685</v>
      </c>
      <c r="Q270">
        <f t="shared" si="86"/>
        <v>-840.70803840322105</v>
      </c>
      <c r="R270">
        <f t="shared" si="72"/>
        <v>122.41712949327335</v>
      </c>
      <c r="S270">
        <f t="shared" si="73"/>
        <v>128.72193468869838</v>
      </c>
      <c r="T270">
        <f t="shared" si="74"/>
        <v>169712.33201169589</v>
      </c>
      <c r="U270">
        <f t="shared" si="75"/>
        <v>148814.86335911593</v>
      </c>
      <c r="V270">
        <f t="shared" si="76"/>
        <v>137987.88111861996</v>
      </c>
      <c r="W270">
        <f t="shared" si="77"/>
        <v>99.620270318866659</v>
      </c>
      <c r="X270">
        <f t="shared" si="78"/>
        <v>4.2735456639138105</v>
      </c>
      <c r="Y270">
        <f t="shared" si="79"/>
        <v>18.523313510492883</v>
      </c>
      <c r="Z270">
        <f t="shared" si="80"/>
        <v>101.82907492374846</v>
      </c>
      <c r="AA270">
        <f t="shared" si="81"/>
        <v>6.8606130964811989</v>
      </c>
      <c r="AB270">
        <f t="shared" si="82"/>
        <v>20.032246668468716</v>
      </c>
    </row>
    <row r="271" spans="12:28" x14ac:dyDescent="0.25">
      <c r="L271">
        <v>267</v>
      </c>
      <c r="M271">
        <f t="shared" si="71"/>
        <v>133.5</v>
      </c>
      <c r="N271">
        <f t="shared" si="83"/>
        <v>-100538.1939513071</v>
      </c>
      <c r="O271">
        <f t="shared" si="84"/>
        <v>-116717.51244940581</v>
      </c>
      <c r="P271">
        <f t="shared" si="85"/>
        <v>-3682.1694458370484</v>
      </c>
      <c r="Q271">
        <f t="shared" si="86"/>
        <v>-776.34707105887185</v>
      </c>
      <c r="R271">
        <f t="shared" si="72"/>
        <v>120.94984689284104</v>
      </c>
      <c r="S271">
        <f t="shared" si="73"/>
        <v>125.53650090652141</v>
      </c>
      <c r="T271">
        <f t="shared" si="74"/>
        <v>171302.68251815028</v>
      </c>
      <c r="U271">
        <f t="shared" si="75"/>
        <v>150145.69140106445</v>
      </c>
      <c r="V271">
        <f t="shared" si="76"/>
        <v>139549.27030397757</v>
      </c>
      <c r="W271">
        <f t="shared" si="77"/>
        <v>98.423973017269674</v>
      </c>
      <c r="X271">
        <f t="shared" si="78"/>
        <v>4.2593330433555563</v>
      </c>
      <c r="Y271">
        <f t="shared" si="79"/>
        <v>18.26654083221581</v>
      </c>
      <c r="Z271">
        <f t="shared" si="80"/>
        <v>99.38693096637023</v>
      </c>
      <c r="AA271">
        <f t="shared" si="81"/>
        <v>6.7015668152912893</v>
      </c>
      <c r="AB271">
        <f t="shared" si="82"/>
        <v>19.448003124859895</v>
      </c>
    </row>
    <row r="272" spans="12:28" x14ac:dyDescent="0.25">
      <c r="L272">
        <v>268</v>
      </c>
      <c r="M272">
        <f t="shared" si="71"/>
        <v>134</v>
      </c>
      <c r="N272">
        <f t="shared" si="83"/>
        <v>-102364.15994336402</v>
      </c>
      <c r="O272">
        <f t="shared" si="84"/>
        <v>-117089.99392232193</v>
      </c>
      <c r="P272">
        <f t="shared" si="85"/>
        <v>-3621.6945223906278</v>
      </c>
      <c r="Q272">
        <f t="shared" si="86"/>
        <v>-713.5788206056111</v>
      </c>
      <c r="R272">
        <f t="shared" si="72"/>
        <v>119.54789559963768</v>
      </c>
      <c r="S272">
        <f t="shared" si="73"/>
        <v>122.50974820236864</v>
      </c>
      <c r="T272">
        <f t="shared" si="74"/>
        <v>172855.29860145386</v>
      </c>
      <c r="U272">
        <f t="shared" si="75"/>
        <v>151445.44033529659</v>
      </c>
      <c r="V272">
        <f t="shared" si="76"/>
        <v>141074.96766094508</v>
      </c>
      <c r="W272">
        <f t="shared" si="77"/>
        <v>97.281785849932945</v>
      </c>
      <c r="X272">
        <f t="shared" si="78"/>
        <v>4.2449458020482531</v>
      </c>
      <c r="Y272">
        <f t="shared" si="79"/>
        <v>18.02116394765649</v>
      </c>
      <c r="Z272">
        <f t="shared" si="80"/>
        <v>97.063818757618577</v>
      </c>
      <c r="AA272">
        <f t="shared" si="81"/>
        <v>6.5500593529256834</v>
      </c>
      <c r="AB272">
        <f t="shared" si="82"/>
        <v>18.895870091824381</v>
      </c>
    </row>
    <row r="273" spans="12:28" x14ac:dyDescent="0.25">
      <c r="L273">
        <v>269</v>
      </c>
      <c r="M273">
        <f t="shared" ref="M273:M336" si="87">L273*$D$5</f>
        <v>134.5</v>
      </c>
      <c r="N273">
        <f t="shared" si="83"/>
        <v>-104160.06371760939</v>
      </c>
      <c r="O273">
        <f t="shared" si="84"/>
        <v>-117431.46961409943</v>
      </c>
      <c r="P273">
        <f t="shared" si="85"/>
        <v>-3561.9205745908089</v>
      </c>
      <c r="Q273">
        <f t="shared" si="86"/>
        <v>-652.32394650442677</v>
      </c>
      <c r="R273">
        <f t="shared" si="72"/>
        <v>118.20824542932576</v>
      </c>
      <c r="S273">
        <f t="shared" si="73"/>
        <v>119.63098248338608</v>
      </c>
      <c r="T273">
        <f t="shared" si="74"/>
        <v>174370.82948196633</v>
      </c>
      <c r="U273">
        <f t="shared" si="75"/>
        <v>152714.4255562035</v>
      </c>
      <c r="V273">
        <f t="shared" si="76"/>
        <v>142565.50846465118</v>
      </c>
      <c r="W273">
        <f t="shared" si="77"/>
        <v>96.191075229808476</v>
      </c>
      <c r="X273">
        <f t="shared" si="78"/>
        <v>4.2304964495865161</v>
      </c>
      <c r="Y273">
        <f t="shared" si="79"/>
        <v>17.786673749930774</v>
      </c>
      <c r="Z273">
        <f t="shared" si="80"/>
        <v>94.851873875734526</v>
      </c>
      <c r="AA273">
        <f t="shared" si="81"/>
        <v>6.4056317920210937</v>
      </c>
      <c r="AB273">
        <f t="shared" si="82"/>
        <v>18.373476815630447</v>
      </c>
    </row>
    <row r="274" spans="12:28" x14ac:dyDescent="0.25">
      <c r="L274">
        <v>270</v>
      </c>
      <c r="M274">
        <f t="shared" si="87"/>
        <v>135</v>
      </c>
      <c r="N274">
        <f t="shared" si="83"/>
        <v>-105926.24797422612</v>
      </c>
      <c r="O274">
        <f t="shared" si="84"/>
        <v>-117742.67771454122</v>
      </c>
      <c r="P274">
        <f t="shared" si="85"/>
        <v>-3502.8164518761459</v>
      </c>
      <c r="Q274">
        <f t="shared" si="86"/>
        <v>-592.50845526273372</v>
      </c>
      <c r="R274">
        <f t="shared" si="72"/>
        <v>116.92805876660013</v>
      </c>
      <c r="S274">
        <f t="shared" si="73"/>
        <v>116.89042701556039</v>
      </c>
      <c r="T274">
        <f t="shared" si="74"/>
        <v>175849.89298092286</v>
      </c>
      <c r="U274">
        <f t="shared" si="75"/>
        <v>153952.95320522223</v>
      </c>
      <c r="V274">
        <f t="shared" si="76"/>
        <v>144021.40588853127</v>
      </c>
      <c r="W274">
        <f t="shared" si="77"/>
        <v>95.149388709233776</v>
      </c>
      <c r="X274">
        <f t="shared" si="78"/>
        <v>4.2160828033076108</v>
      </c>
      <c r="Y274">
        <f t="shared" si="79"/>
        <v>17.562587254058744</v>
      </c>
      <c r="Z274">
        <f t="shared" si="80"/>
        <v>92.743895263705937</v>
      </c>
      <c r="AA274">
        <f t="shared" si="81"/>
        <v>6.2678601644783862</v>
      </c>
      <c r="AB274">
        <f t="shared" si="82"/>
        <v>17.878671587376058</v>
      </c>
    </row>
    <row r="275" spans="12:28" x14ac:dyDescent="0.25">
      <c r="L275">
        <v>271</v>
      </c>
      <c r="M275">
        <f t="shared" si="87"/>
        <v>135.5</v>
      </c>
      <c r="N275">
        <f t="shared" si="83"/>
        <v>-107663.04019281836</v>
      </c>
      <c r="O275">
        <f t="shared" si="84"/>
        <v>-118024.32063879563</v>
      </c>
      <c r="P275">
        <f t="shared" si="85"/>
        <v>-3444.352422492846</v>
      </c>
      <c r="Q275">
        <f t="shared" si="86"/>
        <v>-534.06324175495354</v>
      </c>
      <c r="R275">
        <f t="shared" si="72"/>
        <v>115.70467776715024</v>
      </c>
      <c r="S275">
        <f t="shared" si="73"/>
        <v>114.27912810631355</v>
      </c>
      <c r="T275">
        <f t="shared" si="74"/>
        <v>177293.07741677438</v>
      </c>
      <c r="U275">
        <f t="shared" si="75"/>
        <v>155161.3202150357</v>
      </c>
      <c r="V275">
        <f t="shared" si="76"/>
        <v>145443.15200351513</v>
      </c>
      <c r="W275">
        <f t="shared" si="77"/>
        <v>94.154440830420853</v>
      </c>
      <c r="X275">
        <f t="shared" si="78"/>
        <v>4.2017899480349099</v>
      </c>
      <c r="Y275">
        <f t="shared" si="79"/>
        <v>17.348446988694477</v>
      </c>
      <c r="Z275">
        <f t="shared" si="80"/>
        <v>90.733278016825878</v>
      </c>
      <c r="AA275">
        <f t="shared" si="81"/>
        <v>6.1363523599100409</v>
      </c>
      <c r="AB275">
        <f t="shared" si="82"/>
        <v>17.40949772957763</v>
      </c>
    </row>
    <row r="276" spans="12:28" x14ac:dyDescent="0.25">
      <c r="L276">
        <v>272</v>
      </c>
      <c r="M276">
        <f t="shared" si="87"/>
        <v>136</v>
      </c>
      <c r="N276">
        <f t="shared" si="83"/>
        <v>-109370.75331934389</v>
      </c>
      <c r="O276">
        <f t="shared" si="84"/>
        <v>-118277.06736865982</v>
      </c>
      <c r="P276">
        <f t="shared" si="85"/>
        <v>-3386.5000836092709</v>
      </c>
      <c r="Q276">
        <f t="shared" si="86"/>
        <v>-476.92367770179675</v>
      </c>
      <c r="R276">
        <f t="shared" si="72"/>
        <v>114.53561237279567</v>
      </c>
      <c r="S276">
        <f t="shared" si="73"/>
        <v>111.78887202753174</v>
      </c>
      <c r="T276">
        <f t="shared" si="74"/>
        <v>178700.94334790632</v>
      </c>
      <c r="U276">
        <f t="shared" si="75"/>
        <v>156339.81438383093</v>
      </c>
      <c r="V276">
        <f t="shared" si="76"/>
        <v>146831.2187265298</v>
      </c>
      <c r="W276">
        <f t="shared" si="77"/>
        <v>93.204100243280863</v>
      </c>
      <c r="X276">
        <f t="shared" si="78"/>
        <v>4.1876919251809293</v>
      </c>
      <c r="Y276">
        <f t="shared" si="79"/>
        <v>17.143820204333871</v>
      </c>
      <c r="Z276">
        <f t="shared" si="80"/>
        <v>88.813954080982001</v>
      </c>
      <c r="AA276">
        <f t="shared" si="81"/>
        <v>6.0107453417801242</v>
      </c>
      <c r="AB276">
        <f t="shared" si="82"/>
        <v>16.964172604769612</v>
      </c>
    </row>
    <row r="277" spans="12:28" x14ac:dyDescent="0.25">
      <c r="L277">
        <v>273</v>
      </c>
      <c r="M277">
        <f t="shared" si="87"/>
        <v>136.5</v>
      </c>
      <c r="N277">
        <f t="shared" si="83"/>
        <v>-111049.68640960193</v>
      </c>
      <c r="O277">
        <f t="shared" si="84"/>
        <v>-118501.55559850727</v>
      </c>
      <c r="P277">
        <f t="shared" si="85"/>
        <v>-3329.2322774228728</v>
      </c>
      <c r="Q277">
        <f t="shared" si="86"/>
        <v>-421.02924168803088</v>
      </c>
      <c r="R277">
        <f t="shared" si="72"/>
        <v>113.41852912135813</v>
      </c>
      <c r="S277">
        <f t="shared" si="73"/>
        <v>109.41211166372423</v>
      </c>
      <c r="T277">
        <f t="shared" si="74"/>
        <v>180074.02517660949</v>
      </c>
      <c r="U277">
        <f t="shared" si="75"/>
        <v>157488.71447352381</v>
      </c>
      <c r="V277">
        <f t="shared" si="76"/>
        <v>148186.05871972506</v>
      </c>
      <c r="W277">
        <f t="shared" si="77"/>
        <v>92.296377970141151</v>
      </c>
      <c r="X277">
        <f t="shared" si="78"/>
        <v>4.1738531912593562</v>
      </c>
      <c r="Y277">
        <f t="shared" si="79"/>
        <v>16.948297959957628</v>
      </c>
      <c r="Z277">
        <f t="shared" si="80"/>
        <v>86.980339806330505</v>
      </c>
      <c r="AA277">
        <f t="shared" si="81"/>
        <v>5.890702637939663</v>
      </c>
      <c r="AB277">
        <f t="shared" si="82"/>
        <v>16.541069219454055</v>
      </c>
    </row>
    <row r="278" spans="12:28" x14ac:dyDescent="0.25">
      <c r="L278">
        <v>274</v>
      </c>
      <c r="M278">
        <f t="shared" si="87"/>
        <v>137</v>
      </c>
      <c r="N278">
        <f t="shared" si="83"/>
        <v>-112700.1252321732</v>
      </c>
      <c r="O278">
        <f t="shared" si="84"/>
        <v>-118698.39370539332</v>
      </c>
      <c r="P278">
        <f t="shared" si="85"/>
        <v>-3272.5230128621938</v>
      </c>
      <c r="Q278">
        <f t="shared" si="86"/>
        <v>-366.32318585616878</v>
      </c>
      <c r="R278">
        <f t="shared" si="72"/>
        <v>112.35124072266441</v>
      </c>
      <c r="S278">
        <f t="shared" si="73"/>
        <v>107.14190159691154</v>
      </c>
      <c r="T278">
        <f t="shared" si="74"/>
        <v>181412.83262748789</v>
      </c>
      <c r="U278">
        <f t="shared" si="75"/>
        <v>158608.29032685846</v>
      </c>
      <c r="V278">
        <f t="shared" si="76"/>
        <v>149508.10624211835</v>
      </c>
      <c r="W278">
        <f t="shared" si="77"/>
        <v>91.429416708283355</v>
      </c>
      <c r="X278">
        <f t="shared" si="78"/>
        <v>4.1603298795325871</v>
      </c>
      <c r="Y278">
        <f t="shared" si="79"/>
        <v>16.761494134848476</v>
      </c>
      <c r="Z278">
        <f t="shared" si="80"/>
        <v>85.227289457701787</v>
      </c>
      <c r="AA278">
        <f t="shared" si="81"/>
        <v>5.7759120760558247</v>
      </c>
      <c r="AB278">
        <f t="shared" si="82"/>
        <v>16.138700063153916</v>
      </c>
    </row>
    <row r="279" spans="12:28" x14ac:dyDescent="0.25">
      <c r="L279">
        <v>275</v>
      </c>
      <c r="M279">
        <f t="shared" si="87"/>
        <v>137.5</v>
      </c>
      <c r="N279">
        <f t="shared" si="83"/>
        <v>-114322.34283351396</v>
      </c>
      <c r="O279">
        <f t="shared" si="84"/>
        <v>-118868.16256062179</v>
      </c>
      <c r="P279">
        <f t="shared" si="85"/>
        <v>-3216.3473925008616</v>
      </c>
      <c r="Q279">
        <f t="shared" si="86"/>
        <v>-312.75223505771299</v>
      </c>
      <c r="R279">
        <f t="shared" si="72"/>
        <v>111.33169636572582</v>
      </c>
      <c r="S279">
        <f t="shared" si="73"/>
        <v>104.97184052960012</v>
      </c>
      <c r="T279">
        <f t="shared" si="74"/>
        <v>182717.85211201638</v>
      </c>
      <c r="U279">
        <f t="shared" si="75"/>
        <v>159698.8029991264</v>
      </c>
      <c r="V279">
        <f t="shared" si="76"/>
        <v>150797.77795553923</v>
      </c>
      <c r="W279">
        <f t="shared" si="77"/>
        <v>90.601481071823926</v>
      </c>
      <c r="X279">
        <f t="shared" si="78"/>
        <v>4.147170893260995</v>
      </c>
      <c r="Y279">
        <f t="shared" si="79"/>
        <v>16.583044400640905</v>
      </c>
      <c r="Z279">
        <f t="shared" si="80"/>
        <v>83.550053914319392</v>
      </c>
      <c r="AA279">
        <f t="shared" si="81"/>
        <v>5.6660837377922304</v>
      </c>
      <c r="AB279">
        <f t="shared" si="82"/>
        <v>15.755702877488483</v>
      </c>
    </row>
    <row r="280" spans="12:28" x14ac:dyDescent="0.25">
      <c r="L280">
        <v>276</v>
      </c>
      <c r="M280">
        <f t="shared" si="87"/>
        <v>138</v>
      </c>
      <c r="N280">
        <f t="shared" si="83"/>
        <v>-115916.60006771868</v>
      </c>
      <c r="O280">
        <f t="shared" si="84"/>
        <v>-119011.41719808444</v>
      </c>
      <c r="P280">
        <f t="shared" si="85"/>
        <v>-3160.6815443179985</v>
      </c>
      <c r="Q280">
        <f t="shared" si="86"/>
        <v>-260.26631479291291</v>
      </c>
      <c r="R280">
        <f t="shared" si="72"/>
        <v>110.35797271835642</v>
      </c>
      <c r="S280">
        <f t="shared" si="73"/>
        <v>102.89602010621833</v>
      </c>
      <c r="T280">
        <f t="shared" si="74"/>
        <v>183989.54798967668</v>
      </c>
      <c r="U280">
        <f t="shared" si="75"/>
        <v>160760.50490095161</v>
      </c>
      <c r="V280">
        <f t="shared" si="76"/>
        <v>152055.47368686282</v>
      </c>
      <c r="W280">
        <f t="shared" si="77"/>
        <v>89.810948684031032</v>
      </c>
      <c r="X280">
        <f t="shared" si="78"/>
        <v>4.1344188546332203</v>
      </c>
      <c r="Y280">
        <f t="shared" si="79"/>
        <v>16.412605179692164</v>
      </c>
      <c r="Z280">
        <f t="shared" si="80"/>
        <v>81.944243901495255</v>
      </c>
      <c r="AA280">
        <f t="shared" si="81"/>
        <v>5.5609481085665324</v>
      </c>
      <c r="AB280">
        <f t="shared" si="82"/>
        <v>15.390828096156543</v>
      </c>
    </row>
    <row r="281" spans="12:28" x14ac:dyDescent="0.25">
      <c r="L281">
        <v>277</v>
      </c>
      <c r="M281">
        <f t="shared" si="87"/>
        <v>138.5</v>
      </c>
      <c r="N281">
        <f t="shared" si="83"/>
        <v>-117483.1460932879</v>
      </c>
      <c r="O281">
        <f t="shared" si="84"/>
        <v>-119128.68835296761</v>
      </c>
      <c r="P281">
        <f t="shared" si="85"/>
        <v>-3105.5025579588205</v>
      </c>
      <c r="Q281">
        <f t="shared" si="86"/>
        <v>-208.81830473980375</v>
      </c>
      <c r="R281">
        <f t="shared" si="72"/>
        <v>109.42826557879559</v>
      </c>
      <c r="S281">
        <f t="shared" si="73"/>
        <v>100.90897932728242</v>
      </c>
      <c r="T281">
        <f t="shared" si="74"/>
        <v>185228.36373497581</v>
      </c>
      <c r="U281">
        <f t="shared" si="75"/>
        <v>161793.6399491746</v>
      </c>
      <c r="V281">
        <f t="shared" si="76"/>
        <v>153281.57714857126</v>
      </c>
      <c r="W281">
        <f t="shared" si="77"/>
        <v>89.05630204001983</v>
      </c>
      <c r="X281">
        <f t="shared" si="78"/>
        <v>4.1221109297921501</v>
      </c>
      <c r="Y281">
        <f t="shared" si="79"/>
        <v>16.249852608983613</v>
      </c>
      <c r="Z281">
        <f t="shared" si="80"/>
        <v>80.405797189805995</v>
      </c>
      <c r="AA281">
        <f t="shared" si="81"/>
        <v>5.4602544023365471</v>
      </c>
      <c r="AB281">
        <f t="shared" si="82"/>
        <v>15.042927735139884</v>
      </c>
    </row>
    <row r="282" spans="12:28" x14ac:dyDescent="0.25">
      <c r="L282">
        <v>278</v>
      </c>
      <c r="M282">
        <f t="shared" si="87"/>
        <v>139</v>
      </c>
      <c r="N282">
        <f t="shared" si="83"/>
        <v>-119022.21883906996</v>
      </c>
      <c r="O282">
        <f t="shared" si="84"/>
        <v>-119220.4838829216</v>
      </c>
      <c r="P282">
        <f t="shared" si="85"/>
        <v>-3050.7884251694227</v>
      </c>
      <c r="Q282">
        <f t="shared" si="86"/>
        <v>-158.36381507616255</v>
      </c>
      <c r="R282">
        <f t="shared" si="72"/>
        <v>108.54088213845742</v>
      </c>
      <c r="S282">
        <f t="shared" si="73"/>
        <v>99.00566386342679</v>
      </c>
      <c r="T282">
        <f t="shared" si="74"/>
        <v>186434.7230186626</v>
      </c>
      <c r="U282">
        <f t="shared" si="75"/>
        <v>162798.44372336322</v>
      </c>
      <c r="V282">
        <f t="shared" si="76"/>
        <v>154476.45661969038</v>
      </c>
      <c r="W282">
        <f t="shared" si="77"/>
        <v>88.336121067679059</v>
      </c>
      <c r="X282">
        <f t="shared" si="78"/>
        <v>4.1102795472987443</v>
      </c>
      <c r="Y282">
        <f t="shared" si="79"/>
        <v>16.094481523479622</v>
      </c>
      <c r="Z282">
        <f t="shared" si="80"/>
        <v>78.930949275596021</v>
      </c>
      <c r="AA282">
        <f t="shared" si="81"/>
        <v>5.363769043180211</v>
      </c>
      <c r="AB282">
        <f t="shared" si="82"/>
        <v>14.71094554465056</v>
      </c>
    </row>
    <row r="283" spans="12:28" x14ac:dyDescent="0.25">
      <c r="L283">
        <v>279</v>
      </c>
      <c r="M283">
        <f t="shared" si="87"/>
        <v>139.5</v>
      </c>
      <c r="N283">
        <f t="shared" si="83"/>
        <v>-120534.04544138737</v>
      </c>
      <c r="O283">
        <f t="shared" si="84"/>
        <v>-119287.29008247676</v>
      </c>
      <c r="P283">
        <f t="shared" si="85"/>
        <v>-2996.5179841001941</v>
      </c>
      <c r="Q283">
        <f t="shared" si="86"/>
        <v>-108.86098314444916</v>
      </c>
      <c r="R283">
        <f t="shared" si="72"/>
        <v>107.69423381553429</v>
      </c>
      <c r="S283">
        <f t="shared" si="73"/>
        <v>97.181389672012443</v>
      </c>
      <c r="T283">
        <f t="shared" si="74"/>
        <v>187609.03071059147</v>
      </c>
      <c r="U283">
        <f t="shared" si="75"/>
        <v>163775.14362589165</v>
      </c>
      <c r="V283">
        <f t="shared" si="76"/>
        <v>155640.46558912375</v>
      </c>
      <c r="W283">
        <f t="shared" si="77"/>
        <v>87.649076321904403</v>
      </c>
      <c r="X283">
        <f t="shared" si="78"/>
        <v>4.0989530247983277</v>
      </c>
      <c r="Y283">
        <f t="shared" si="79"/>
        <v>15.946204468831555</v>
      </c>
      <c r="Z283">
        <f t="shared" si="80"/>
        <v>77.516207123099619</v>
      </c>
      <c r="AA283">
        <f t="shared" si="81"/>
        <v>5.271274287480157</v>
      </c>
      <c r="AB283">
        <f t="shared" si="82"/>
        <v>14.393908261432674</v>
      </c>
    </row>
    <row r="284" spans="12:28" x14ac:dyDescent="0.25">
      <c r="L284">
        <v>280</v>
      </c>
      <c r="M284">
        <f t="shared" si="87"/>
        <v>140</v>
      </c>
      <c r="N284">
        <f t="shared" si="83"/>
        <v>-122018.84265421052</v>
      </c>
      <c r="O284">
        <f t="shared" si="84"/>
        <v>-119329.57290033999</v>
      </c>
      <c r="P284">
        <f t="shared" si="85"/>
        <v>-2942.6708671924271</v>
      </c>
      <c r="Q284">
        <f t="shared" si="86"/>
        <v>-60.270288308442943</v>
      </c>
      <c r="R284">
        <f t="shared" si="72"/>
        <v>106.88682962037804</v>
      </c>
      <c r="S284">
        <f t="shared" si="73"/>
        <v>95.431810400081588</v>
      </c>
      <c r="T284">
        <f t="shared" si="74"/>
        <v>188751.67381091582</v>
      </c>
      <c r="U284">
        <f t="shared" si="75"/>
        <v>164723.95904387717</v>
      </c>
      <c r="V284">
        <f t="shared" si="76"/>
        <v>156773.94336336071</v>
      </c>
      <c r="W284">
        <f t="shared" si="77"/>
        <v>86.993922753668471</v>
      </c>
      <c r="X284">
        <f t="shared" si="78"/>
        <v>4.0881561164834377</v>
      </c>
      <c r="Y284">
        <f t="shared" si="79"/>
        <v>15.804750750226138</v>
      </c>
      <c r="Z284">
        <f t="shared" si="80"/>
        <v>76.158325604888333</v>
      </c>
      <c r="AA284">
        <f t="shared" si="81"/>
        <v>5.1825669723267964</v>
      </c>
      <c r="AB284">
        <f t="shared" si="82"/>
        <v>14.090917822866462</v>
      </c>
    </row>
    <row r="285" spans="12:28" x14ac:dyDescent="0.25">
      <c r="L285">
        <v>281</v>
      </c>
      <c r="M285">
        <f t="shared" si="87"/>
        <v>140.5</v>
      </c>
      <c r="N285">
        <f t="shared" si="83"/>
        <v>-123476.81723410418</v>
      </c>
      <c r="O285">
        <f t="shared" si="84"/>
        <v>-119347.7790681942</v>
      </c>
      <c r="P285">
        <f t="shared" si="85"/>
        <v>-2889.227452382238</v>
      </c>
      <c r="Q285">
        <f t="shared" si="86"/>
        <v>-12.554383108402149</v>
      </c>
      <c r="R285">
        <f t="shared" si="72"/>
        <v>106.11727001528118</v>
      </c>
      <c r="S285">
        <f t="shared" si="73"/>
        <v>93.752888126454735</v>
      </c>
      <c r="T285">
        <f t="shared" si="74"/>
        <v>189863.02231561829</v>
      </c>
      <c r="U285">
        <f t="shared" si="75"/>
        <v>165645.10151155866</v>
      </c>
      <c r="V285">
        <f t="shared" si="76"/>
        <v>157877.21564047167</v>
      </c>
      <c r="W285">
        <f t="shared" si="77"/>
        <v>86.369494001337728</v>
      </c>
      <c r="X285">
        <f t="shared" si="78"/>
        <v>4.0779104921178897</v>
      </c>
      <c r="Y285">
        <f t="shared" si="79"/>
        <v>15.66986552182556</v>
      </c>
      <c r="Z285">
        <f t="shared" si="80"/>
        <v>74.854286325479094</v>
      </c>
      <c r="AA285">
        <f t="shared" si="81"/>
        <v>5.0974573773466547</v>
      </c>
      <c r="AB285">
        <f t="shared" si="82"/>
        <v>13.801144423628983</v>
      </c>
    </row>
    <row r="286" spans="12:28" x14ac:dyDescent="0.25">
      <c r="L286">
        <v>282</v>
      </c>
      <c r="M286">
        <f t="shared" si="87"/>
        <v>141</v>
      </c>
      <c r="N286">
        <f t="shared" si="83"/>
        <v>-124908.16630154339</v>
      </c>
      <c r="O286">
        <f t="shared" si="84"/>
        <v>-119342.33714873259</v>
      </c>
      <c r="P286">
        <f t="shared" si="85"/>
        <v>-2836.1688173745974</v>
      </c>
      <c r="Q286">
        <f t="shared" si="86"/>
        <v>34.322060954825218</v>
      </c>
      <c r="R286">
        <f t="shared" si="72"/>
        <v>105.38424123314515</v>
      </c>
      <c r="S286">
        <f t="shared" si="73"/>
        <v>92.140867054581122</v>
      </c>
      <c r="T286">
        <f t="shared" si="74"/>
        <v>190943.43002178639</v>
      </c>
      <c r="U286">
        <f t="shared" si="75"/>
        <v>166538.77487194593</v>
      </c>
      <c r="V286">
        <f t="shared" si="76"/>
        <v>158950.59505223113</v>
      </c>
      <c r="W286">
        <f t="shared" si="77"/>
        <v>85.774697156828751</v>
      </c>
      <c r="X286">
        <f t="shared" si="78"/>
        <v>4.0682351568412694</v>
      </c>
      <c r="Y286">
        <f t="shared" si="79"/>
        <v>15.541308919475133</v>
      </c>
      <c r="Z286">
        <f t="shared" si="80"/>
        <v>73.601278553969507</v>
      </c>
      <c r="AA286">
        <f t="shared" si="81"/>
        <v>5.0157681885699805</v>
      </c>
      <c r="AB286">
        <f t="shared" si="82"/>
        <v>13.523820312041641</v>
      </c>
    </row>
    <row r="287" spans="12:28" x14ac:dyDescent="0.25">
      <c r="L287">
        <v>283</v>
      </c>
      <c r="M287">
        <f t="shared" si="87"/>
        <v>141.5</v>
      </c>
      <c r="N287">
        <f t="shared" si="83"/>
        <v>-126313.07768007655</v>
      </c>
      <c r="O287">
        <f t="shared" si="84"/>
        <v>-119313.65850987336</v>
      </c>
      <c r="P287">
        <f t="shared" si="85"/>
        <v>-2783.4766967580249</v>
      </c>
      <c r="Q287">
        <f t="shared" si="86"/>
        <v>80.392494482115779</v>
      </c>
      <c r="R287">
        <f t="shared" si="72"/>
        <v>104.68651002165279</v>
      </c>
      <c r="S287">
        <f t="shared" si="73"/>
        <v>90.592249818154457</v>
      </c>
      <c r="T287">
        <f t="shared" si="74"/>
        <v>191993.23527751054</v>
      </c>
      <c r="U287">
        <f t="shared" si="75"/>
        <v>167405.17543677715</v>
      </c>
      <c r="V287">
        <f t="shared" si="76"/>
        <v>159994.38167612875</v>
      </c>
      <c r="W287">
        <f t="shared" si="77"/>
        <v>85.208507963979969</v>
      </c>
      <c r="X287">
        <f t="shared" si="78"/>
        <v>4.0591468196630291</v>
      </c>
      <c r="Y287">
        <f t="shared" si="79"/>
        <v>15.418855238009792</v>
      </c>
      <c r="Z287">
        <f t="shared" si="80"/>
        <v>72.396682026820784</v>
      </c>
      <c r="AA287">
        <f t="shared" si="81"/>
        <v>4.9373335541927608</v>
      </c>
      <c r="AB287">
        <f t="shared" si="82"/>
        <v>13.258234237140908</v>
      </c>
    </row>
    <row r="288" spans="12:28" x14ac:dyDescent="0.25">
      <c r="L288">
        <v>284</v>
      </c>
      <c r="M288">
        <f t="shared" si="87"/>
        <v>142</v>
      </c>
      <c r="N288">
        <f t="shared" si="83"/>
        <v>-127691.73021470285</v>
      </c>
      <c r="O288">
        <f t="shared" si="84"/>
        <v>-119262.13823140504</v>
      </c>
      <c r="P288">
        <f t="shared" si="85"/>
        <v>-2731.1334417471985</v>
      </c>
      <c r="Q288">
        <f t="shared" si="86"/>
        <v>125.68861939119301</v>
      </c>
      <c r="R288">
        <f t="shared" si="72"/>
        <v>104.02291878161397</v>
      </c>
      <c r="S288">
        <f t="shared" si="73"/>
        <v>89.103776104615122</v>
      </c>
      <c r="T288">
        <f t="shared" si="74"/>
        <v>193012.76168081057</v>
      </c>
      <c r="U288">
        <f t="shared" si="75"/>
        <v>168244.49214399623</v>
      </c>
      <c r="V288">
        <f t="shared" si="76"/>
        <v>161008.86351894433</v>
      </c>
      <c r="W288">
        <f t="shared" si="77"/>
        <v>84.669966410666191</v>
      </c>
      <c r="X288">
        <f t="shared" si="78"/>
        <v>4.0506602174458024</v>
      </c>
      <c r="Y288">
        <f t="shared" si="79"/>
        <v>15.30229215350197</v>
      </c>
      <c r="Z288">
        <f t="shared" si="80"/>
        <v>71.238051412056805</v>
      </c>
      <c r="AA288">
        <f t="shared" si="81"/>
        <v>4.8619982231880536</v>
      </c>
      <c r="AB288">
        <f t="shared" si="82"/>
        <v>13.003726469370266</v>
      </c>
    </row>
    <row r="289" spans="12:28" x14ac:dyDescent="0.25">
      <c r="L289">
        <v>285</v>
      </c>
      <c r="M289">
        <f t="shared" si="87"/>
        <v>142.5</v>
      </c>
      <c r="N289">
        <f t="shared" si="83"/>
        <v>-129044.29407072875</v>
      </c>
      <c r="O289">
        <f t="shared" si="84"/>
        <v>-119188.15594969636</v>
      </c>
      <c r="P289">
        <f t="shared" si="85"/>
        <v>-2679.1219823563915</v>
      </c>
      <c r="Q289">
        <f t="shared" si="86"/>
        <v>170.24050744350058</v>
      </c>
      <c r="R289">
        <f t="shared" si="72"/>
        <v>103.39238107034788</v>
      </c>
      <c r="S289">
        <f t="shared" si="73"/>
        <v>87.672403338831714</v>
      </c>
      <c r="T289">
        <f t="shared" si="74"/>
        <v>194002.31873157594</v>
      </c>
      <c r="U289">
        <f t="shared" si="75"/>
        <v>169056.90671210873</v>
      </c>
      <c r="V289">
        <f t="shared" si="76"/>
        <v>161994.31697347807</v>
      </c>
      <c r="W289">
        <f t="shared" si="77"/>
        <v>84.158172680057334</v>
      </c>
      <c r="X289">
        <f t="shared" si="78"/>
        <v>4.0427884002334711</v>
      </c>
      <c r="Y289">
        <f t="shared" si="79"/>
        <v>15.191419990057067</v>
      </c>
      <c r="Z289">
        <f t="shared" si="80"/>
        <v>70.123102252225209</v>
      </c>
      <c r="AA289">
        <f t="shared" si="81"/>
        <v>4.7896167586927705</v>
      </c>
      <c r="AB289">
        <f t="shared" si="82"/>
        <v>12.759684327913737</v>
      </c>
    </row>
    <row r="290" spans="12:28" x14ac:dyDescent="0.25">
      <c r="L290">
        <v>286</v>
      </c>
      <c r="M290">
        <f t="shared" si="87"/>
        <v>143</v>
      </c>
      <c r="N290">
        <f t="shared" si="83"/>
        <v>-130370.93101427316</v>
      </c>
      <c r="O290">
        <f t="shared" si="84"/>
        <v>-119092.07664555726</v>
      </c>
      <c r="P290">
        <f t="shared" si="85"/>
        <v>-2627.4257918212174</v>
      </c>
      <c r="Q290">
        <f t="shared" si="86"/>
        <v>214.07670911291643</v>
      </c>
      <c r="R290">
        <f t="shared" si="72"/>
        <v>102.79387744296483</v>
      </c>
      <c r="S290">
        <f t="shared" si="73"/>
        <v>86.295289201156791</v>
      </c>
      <c r="T290">
        <f t="shared" si="74"/>
        <v>194962.2024401298</v>
      </c>
      <c r="U290">
        <f t="shared" si="75"/>
        <v>169842.59379089766</v>
      </c>
      <c r="V290">
        <f t="shared" si="76"/>
        <v>162951.00724994065</v>
      </c>
      <c r="W290">
        <f t="shared" si="77"/>
        <v>83.672283429748589</v>
      </c>
      <c r="X290">
        <f t="shared" si="78"/>
        <v>4.0355429829754002</v>
      </c>
      <c r="Y290">
        <f t="shared" si="79"/>
        <v>15.086051030240846</v>
      </c>
      <c r="Z290">
        <f t="shared" si="80"/>
        <v>69.049698225833268</v>
      </c>
      <c r="AA290">
        <f t="shared" si="81"/>
        <v>4.7200528189558453</v>
      </c>
      <c r="AB290">
        <f t="shared" si="82"/>
        <v>12.525538156367677</v>
      </c>
    </row>
    <row r="291" spans="12:28" x14ac:dyDescent="0.25">
      <c r="L291">
        <v>287</v>
      </c>
      <c r="M291">
        <f t="shared" si="87"/>
        <v>143.5</v>
      </c>
      <c r="N291">
        <f t="shared" si="83"/>
        <v>-131671.79467550339</v>
      </c>
      <c r="O291">
        <f t="shared" si="84"/>
        <v>-118974.25137985066</v>
      </c>
      <c r="P291">
        <f t="shared" si="85"/>
        <v>-2576.028853099735</v>
      </c>
      <c r="Q291">
        <f t="shared" si="86"/>
        <v>257.22435371349485</v>
      </c>
      <c r="R291">
        <f t="shared" si="72"/>
        <v>102.22645160647828</v>
      </c>
      <c r="S291">
        <f t="shared" si="73"/>
        <v>84.96977578171466</v>
      </c>
      <c r="T291">
        <f t="shared" si="74"/>
        <v>195892.695895693</v>
      </c>
      <c r="U291">
        <f t="shared" si="75"/>
        <v>170601.72110808466</v>
      </c>
      <c r="V291">
        <f t="shared" si="76"/>
        <v>163879.18878342444</v>
      </c>
      <c r="W291">
        <f t="shared" si="77"/>
        <v>83.211508370617565</v>
      </c>
      <c r="X291">
        <f t="shared" si="78"/>
        <v>4.0289343680135552</v>
      </c>
      <c r="Y291">
        <f t="shared" si="79"/>
        <v>14.986008867847158</v>
      </c>
      <c r="Z291">
        <f t="shared" si="80"/>
        <v>68.015839586433316</v>
      </c>
      <c r="AA291">
        <f t="shared" si="81"/>
        <v>4.6531784993967431</v>
      </c>
      <c r="AB291">
        <f t="shared" si="82"/>
        <v>12.300757695884593</v>
      </c>
    </row>
    <row r="292" spans="12:28" x14ac:dyDescent="0.25">
      <c r="L292">
        <v>288</v>
      </c>
      <c r="M292">
        <f t="shared" si="87"/>
        <v>144</v>
      </c>
      <c r="N292">
        <f t="shared" si="83"/>
        <v>-132947.03079560245</v>
      </c>
      <c r="O292">
        <f t="shared" si="84"/>
        <v>-118835.01798102118</v>
      </c>
      <c r="P292">
        <f t="shared" si="85"/>
        <v>-2524.915627296496</v>
      </c>
      <c r="Q292">
        <f t="shared" si="86"/>
        <v>299.7092416043522</v>
      </c>
      <c r="R292">
        <f t="shared" si="72"/>
        <v>101.68920686352618</v>
      </c>
      <c r="S292">
        <f t="shared" si="73"/>
        <v>83.693375196616884</v>
      </c>
      <c r="T292">
        <f t="shared" si="74"/>
        <v>196794.06979772233</v>
      </c>
      <c r="U292">
        <f t="shared" si="75"/>
        <v>171334.44961160852</v>
      </c>
      <c r="V292">
        <f t="shared" si="76"/>
        <v>164779.10561879451</v>
      </c>
      <c r="W292">
        <f t="shared" si="77"/>
        <v>82.775107119946483</v>
      </c>
      <c r="X292">
        <f t="shared" si="78"/>
        <v>4.0229719421128856</v>
      </c>
      <c r="Y292">
        <f t="shared" si="79"/>
        <v>14.891127801466814</v>
      </c>
      <c r="Z292">
        <f t="shared" si="80"/>
        <v>67.01965265529202</v>
      </c>
      <c r="AA292">
        <f t="shared" si="81"/>
        <v>4.5888737299983724</v>
      </c>
      <c r="AB292">
        <f t="shared" si="82"/>
        <v>12.084848811326497</v>
      </c>
    </row>
    <row r="293" spans="12:28" x14ac:dyDescent="0.25">
      <c r="L293">
        <v>289</v>
      </c>
      <c r="M293">
        <f t="shared" si="87"/>
        <v>144.5</v>
      </c>
      <c r="N293">
        <f t="shared" si="83"/>
        <v>-134196.77745839275</v>
      </c>
      <c r="O293">
        <f t="shared" si="84"/>
        <v>-118674.70168831943</v>
      </c>
      <c r="P293">
        <f t="shared" si="85"/>
        <v>-2474.071023864733</v>
      </c>
      <c r="Q293">
        <f t="shared" si="86"/>
        <v>341.55592920266065</v>
      </c>
      <c r="R293">
        <f t="shared" si="72"/>
        <v>101.18130282434336</v>
      </c>
      <c r="S293">
        <f t="shared" si="73"/>
        <v>82.463756512564231</v>
      </c>
      <c r="T293">
        <f t="shared" si="74"/>
        <v>197666.58295282969</v>
      </c>
      <c r="U293">
        <f t="shared" si="75"/>
        <v>172040.93360726591</v>
      </c>
      <c r="V293">
        <f t="shared" si="76"/>
        <v>165650.99177425858</v>
      </c>
      <c r="W293">
        <f t="shared" si="77"/>
        <v>82.362386305868029</v>
      </c>
      <c r="X293">
        <f t="shared" si="78"/>
        <v>4.0176642513139109</v>
      </c>
      <c r="Y293">
        <f t="shared" si="79"/>
        <v>14.801252267161413</v>
      </c>
      <c r="Z293">
        <f t="shared" si="80"/>
        <v>66.059380258221694</v>
      </c>
      <c r="AA293">
        <f t="shared" si="81"/>
        <v>4.5270257228580704</v>
      </c>
      <c r="AB293">
        <f t="shared" si="82"/>
        <v>11.877350531484463</v>
      </c>
    </row>
    <row r="294" spans="12:28" x14ac:dyDescent="0.25">
      <c r="L294">
        <v>290</v>
      </c>
      <c r="M294">
        <f t="shared" si="87"/>
        <v>145</v>
      </c>
      <c r="N294">
        <f t="shared" si="83"/>
        <v>-135421.16530747208</v>
      </c>
      <c r="O294">
        <f t="shared" si="84"/>
        <v>-118493.61575415402</v>
      </c>
      <c r="P294">
        <f t="shared" si="85"/>
        <v>-2423.4803724525614</v>
      </c>
      <c r="Q294">
        <f t="shared" si="86"/>
        <v>382.78780745894278</v>
      </c>
      <c r="R294">
        <f t="shared" si="72"/>
        <v>100.70195236727277</v>
      </c>
      <c r="S294">
        <f t="shared" si="73"/>
        <v>81.278733844255839</v>
      </c>
      <c r="T294">
        <f t="shared" si="74"/>
        <v>198510.48273974651</v>
      </c>
      <c r="U294">
        <f t="shared" si="75"/>
        <v>172721.3208915187</v>
      </c>
      <c r="V294">
        <f t="shared" si="76"/>
        <v>166495.07158479927</v>
      </c>
      <c r="W294">
        <f t="shared" si="77"/>
        <v>81.97269690236277</v>
      </c>
      <c r="X294">
        <f t="shared" si="78"/>
        <v>4.013019156457732</v>
      </c>
      <c r="Y294">
        <f t="shared" si="79"/>
        <v>14.716236308452272</v>
      </c>
      <c r="Z294">
        <f t="shared" si="80"/>
        <v>65.133373009817703</v>
      </c>
      <c r="AA294">
        <f t="shared" si="81"/>
        <v>4.4675284652541745</v>
      </c>
      <c r="AB294">
        <f t="shared" si="82"/>
        <v>11.677832369183959</v>
      </c>
    </row>
    <row r="295" spans="12:28" x14ac:dyDescent="0.25">
      <c r="L295">
        <v>291</v>
      </c>
      <c r="M295">
        <f t="shared" si="87"/>
        <v>145.5</v>
      </c>
      <c r="N295">
        <f t="shared" si="83"/>
        <v>-136620.31774965246</v>
      </c>
      <c r="O295">
        <f t="shared" si="84"/>
        <v>-118292.062008694</v>
      </c>
      <c r="P295">
        <f t="shared" si="85"/>
        <v>-2373.1293962689251</v>
      </c>
      <c r="Q295">
        <f t="shared" si="86"/>
        <v>423.4271743810707</v>
      </c>
      <c r="R295">
        <f t="shared" si="72"/>
        <v>100.25041882972357</v>
      </c>
      <c r="S295">
        <f t="shared" si="73"/>
        <v>80.136255504729334</v>
      </c>
      <c r="T295">
        <f t="shared" si="74"/>
        <v>199326.00554457953</v>
      </c>
      <c r="U295">
        <f t="shared" si="75"/>
        <v>173375.75287932419</v>
      </c>
      <c r="V295">
        <f t="shared" si="76"/>
        <v>167311.56002657846</v>
      </c>
      <c r="W295">
        <f t="shared" si="77"/>
        <v>81.6054317760548</v>
      </c>
      <c r="X295">
        <f t="shared" si="78"/>
        <v>4.0090439718634574</v>
      </c>
      <c r="Y295">
        <f t="shared" si="79"/>
        <v>14.635943081805305</v>
      </c>
      <c r="Z295">
        <f t="shared" si="80"/>
        <v>64.240081359443693</v>
      </c>
      <c r="AA295">
        <f t="shared" si="81"/>
        <v>4.4102822540579147</v>
      </c>
      <c r="AB295">
        <f t="shared" si="82"/>
        <v>11.485891891227725</v>
      </c>
    </row>
    <row r="296" spans="12:28" x14ac:dyDescent="0.25">
      <c r="L296">
        <v>292</v>
      </c>
      <c r="M296">
        <f t="shared" si="87"/>
        <v>146</v>
      </c>
      <c r="N296">
        <f t="shared" si="83"/>
        <v>-137794.3511454332</v>
      </c>
      <c r="O296">
        <f t="shared" si="84"/>
        <v>-118070.33138956538</v>
      </c>
      <c r="P296">
        <f t="shared" si="85"/>
        <v>-2323.0041868540634</v>
      </c>
      <c r="Q296">
        <f t="shared" si="86"/>
        <v>463.49530213343536</v>
      </c>
      <c r="R296">
        <f t="shared" si="72"/>
        <v>99.826013412958915</v>
      </c>
      <c r="S296">
        <f t="shared" si="73"/>
        <v>79.03439410242855</v>
      </c>
      <c r="T296">
        <f t="shared" si="74"/>
        <v>200113.37716840851</v>
      </c>
      <c r="U296">
        <f t="shared" si="75"/>
        <v>174004.3647268847</v>
      </c>
      <c r="V296">
        <f t="shared" si="76"/>
        <v>168100.66302335466</v>
      </c>
      <c r="W296">
        <f t="shared" si="77"/>
        <v>81.26002342784524</v>
      </c>
      <c r="X296">
        <f t="shared" si="78"/>
        <v>4.005745589322264</v>
      </c>
      <c r="Y296">
        <f t="shared" si="79"/>
        <v>14.560244395791418</v>
      </c>
      <c r="Z296">
        <f t="shared" si="80"/>
        <v>63.378048322981385</v>
      </c>
      <c r="AA296">
        <f t="shared" si="81"/>
        <v>4.3551932677433953</v>
      </c>
      <c r="AB296">
        <f t="shared" si="82"/>
        <v>11.301152511703762</v>
      </c>
    </row>
    <row r="297" spans="12:28" x14ac:dyDescent="0.25">
      <c r="L297">
        <v>293</v>
      </c>
      <c r="M297">
        <f t="shared" si="87"/>
        <v>146.5</v>
      </c>
      <c r="N297">
        <f t="shared" si="83"/>
        <v>-138943.3749871836</v>
      </c>
      <c r="O297">
        <f t="shared" si="84"/>
        <v>-117828.70443923587</v>
      </c>
      <c r="P297">
        <f t="shared" si="85"/>
        <v>-2273.0911801475841</v>
      </c>
      <c r="Q297">
        <f t="shared" si="86"/>
        <v>503.01249918464964</v>
      </c>
      <c r="R297">
        <f t="shared" si="72"/>
        <v>99.42809278546008</v>
      </c>
      <c r="S297">
        <f t="shared" si="73"/>
        <v>77.971337490742627</v>
      </c>
      <c r="T297">
        <f t="shared" si="74"/>
        <v>200872.81320909911</v>
      </c>
      <c r="U297">
        <f t="shared" si="75"/>
        <v>174607.28544924833</v>
      </c>
      <c r="V297">
        <f t="shared" si="76"/>
        <v>168862.57773588857</v>
      </c>
      <c r="W297">
        <f t="shared" si="77"/>
        <v>80.935941914027282</v>
      </c>
      <c r="X297">
        <f t="shared" si="78"/>
        <v>4.0031305892984541</v>
      </c>
      <c r="Y297">
        <f t="shared" si="79"/>
        <v>14.489020282134341</v>
      </c>
      <c r="Z297">
        <f t="shared" si="80"/>
        <v>62.545902832822264</v>
      </c>
      <c r="AA297">
        <f t="shared" si="81"/>
        <v>4.3021731726229779</v>
      </c>
      <c r="AB297">
        <f t="shared" si="82"/>
        <v>11.123261485297396</v>
      </c>
    </row>
    <row r="298" spans="12:28" x14ac:dyDescent="0.25">
      <c r="L298">
        <v>294</v>
      </c>
      <c r="M298">
        <f t="shared" si="87"/>
        <v>147</v>
      </c>
      <c r="N298">
        <f t="shared" si="83"/>
        <v>-140067.49206565923</v>
      </c>
      <c r="O298">
        <f t="shared" si="84"/>
        <v>-117567.45177245721</v>
      </c>
      <c r="P298">
        <f t="shared" si="85"/>
        <v>-2223.3771337548542</v>
      </c>
      <c r="Q298">
        <f t="shared" si="86"/>
        <v>541.99816793002094</v>
      </c>
      <c r="R298">
        <f t="shared" si="72"/>
        <v>99.056056870909217</v>
      </c>
      <c r="S298">
        <f t="shared" si="73"/>
        <v>76.945380486246663</v>
      </c>
      <c r="T298">
        <f t="shared" si="74"/>
        <v>201604.51941904353</v>
      </c>
      <c r="U298">
        <f t="shared" si="75"/>
        <v>175184.6380327206</v>
      </c>
      <c r="V298">
        <f t="shared" si="76"/>
        <v>169597.49283524876</v>
      </c>
      <c r="W298">
        <f t="shared" si="77"/>
        <v>80.632692933000655</v>
      </c>
      <c r="X298">
        <f t="shared" si="78"/>
        <v>4.0012053409933204</v>
      </c>
      <c r="Y298">
        <f t="shared" si="79"/>
        <v>14.422158596915233</v>
      </c>
      <c r="Z298">
        <f t="shared" si="80"/>
        <v>61.742353646016724</v>
      </c>
      <c r="AA298">
        <f t="shared" si="81"/>
        <v>4.2511387602710737</v>
      </c>
      <c r="AB298">
        <f t="shared" si="82"/>
        <v>10.951888079958866</v>
      </c>
    </row>
    <row r="299" spans="12:28" x14ac:dyDescent="0.25">
      <c r="L299">
        <v>295</v>
      </c>
      <c r="M299">
        <f t="shared" si="87"/>
        <v>147.5</v>
      </c>
      <c r="N299">
        <f t="shared" si="83"/>
        <v>-141166.79862542779</v>
      </c>
      <c r="O299">
        <f t="shared" si="84"/>
        <v>-117286.83451593142</v>
      </c>
      <c r="P299">
        <f t="shared" si="85"/>
        <v>-2173.8491053193998</v>
      </c>
      <c r="Q299">
        <f t="shared" si="86"/>
        <v>580.47085817314428</v>
      </c>
      <c r="R299">
        <f t="shared" si="72"/>
        <v>98.709346807992716</v>
      </c>
      <c r="S299">
        <f t="shared" si="73"/>
        <v>75.954917281042725</v>
      </c>
      <c r="T299">
        <f t="shared" si="74"/>
        <v>202308.69204039651</v>
      </c>
      <c r="U299">
        <f t="shared" si="75"/>
        <v>175736.53954206873</v>
      </c>
      <c r="V299">
        <f t="shared" si="76"/>
        <v>170305.58876087228</v>
      </c>
      <c r="W299">
        <f t="shared" si="77"/>
        <v>80.349816065001562</v>
      </c>
      <c r="X299">
        <f t="shared" si="78"/>
        <v>3.9999760927244719</v>
      </c>
      <c r="Y299">
        <f t="shared" si="79"/>
        <v>14.359554650266688</v>
      </c>
      <c r="Z299">
        <f t="shared" si="80"/>
        <v>60.966183757006988</v>
      </c>
      <c r="AA299">
        <f t="shared" si="81"/>
        <v>4.2020116133979784</v>
      </c>
      <c r="AB299">
        <f t="shared" si="82"/>
        <v>10.786721910637764</v>
      </c>
    </row>
    <row r="300" spans="12:28" x14ac:dyDescent="0.25">
      <c r="L300">
        <v>296</v>
      </c>
      <c r="M300">
        <f t="shared" si="87"/>
        <v>148</v>
      </c>
      <c r="N300">
        <f t="shared" si="83"/>
        <v>-142241.3845097365</v>
      </c>
      <c r="O300">
        <f t="shared" si="84"/>
        <v>-116987.10472218471</v>
      </c>
      <c r="P300">
        <f t="shared" si="85"/>
        <v>-2124.4944319154033</v>
      </c>
      <c r="Q300">
        <f t="shared" si="86"/>
        <v>618.44831681366566</v>
      </c>
      <c r="R300">
        <f t="shared" si="72"/>
        <v>98.387443070340865</v>
      </c>
      <c r="S300">
        <f t="shared" si="73"/>
        <v>74.998434482690456</v>
      </c>
      <c r="T300">
        <f t="shared" si="74"/>
        <v>202985.51811924274</v>
      </c>
      <c r="U300">
        <f t="shared" si="75"/>
        <v>176263.10122252005</v>
      </c>
      <c r="V300">
        <f t="shared" si="76"/>
        <v>170987.0379641779</v>
      </c>
      <c r="W300">
        <f t="shared" si="77"/>
        <v>80.086883153474787</v>
      </c>
      <c r="X300">
        <f t="shared" si="78"/>
        <v>3.9994490538983092</v>
      </c>
      <c r="Y300">
        <f t="shared" si="79"/>
        <v>14.301110862967777</v>
      </c>
      <c r="Z300">
        <f t="shared" si="80"/>
        <v>60.216245267125451</v>
      </c>
      <c r="AA300">
        <f t="shared" si="81"/>
        <v>4.1547177977027472</v>
      </c>
      <c r="AB300">
        <f t="shared" si="82"/>
        <v>10.627471417862253</v>
      </c>
    </row>
    <row r="301" spans="12:28" x14ac:dyDescent="0.25">
      <c r="L301">
        <v>297</v>
      </c>
      <c r="M301">
        <f t="shared" si="87"/>
        <v>148.5</v>
      </c>
      <c r="N301">
        <f t="shared" si="83"/>
        <v>-143291.33329531041</v>
      </c>
      <c r="O301">
        <f t="shared" si="84"/>
        <v>-116668.50575946753</v>
      </c>
      <c r="P301">
        <f t="shared" si="85"/>
        <v>-2075.3007103802329</v>
      </c>
      <c r="Q301">
        <f t="shared" si="86"/>
        <v>655.94753405501092</v>
      </c>
      <c r="R301">
        <f t="shared" si="72"/>
        <v>98.08986373591506</v>
      </c>
      <c r="S301">
        <f t="shared" si="73"/>
        <v>74.074504722311488</v>
      </c>
      <c r="T301">
        <f t="shared" si="74"/>
        <v>203635.17580001184</v>
      </c>
      <c r="U301">
        <f t="shared" si="75"/>
        <v>176764.42859656911</v>
      </c>
      <c r="V301">
        <f t="shared" si="76"/>
        <v>171642.00513847859</v>
      </c>
      <c r="W301">
        <f t="shared" si="77"/>
        <v>79.843496817774877</v>
      </c>
      <c r="X301">
        <f t="shared" si="78"/>
        <v>3.9996304697017826</v>
      </c>
      <c r="Y301">
        <f t="shared" si="79"/>
        <v>14.246736448438405</v>
      </c>
      <c r="Z301">
        <f t="shared" si="80"/>
        <v>59.491454668087151</v>
      </c>
      <c r="AA301">
        <f t="shared" si="81"/>
        <v>4.1091875774729134</v>
      </c>
      <c r="AB301">
        <f t="shared" si="82"/>
        <v>10.473862476751421</v>
      </c>
    </row>
    <row r="302" spans="12:28" x14ac:dyDescent="0.25">
      <c r="L302">
        <v>298</v>
      </c>
      <c r="M302">
        <f t="shared" si="87"/>
        <v>149</v>
      </c>
      <c r="N302">
        <f t="shared" si="83"/>
        <v>-144316.72241753354</v>
      </c>
      <c r="O302">
        <f t="shared" si="84"/>
        <v>-116331.27267934974</v>
      </c>
      <c r="P302">
        <f t="shared" si="85"/>
        <v>-2026.2557785122754</v>
      </c>
      <c r="Q302">
        <f t="shared" si="86"/>
        <v>692.98478641616668</v>
      </c>
      <c r="R302">
        <f t="shared" si="72"/>
        <v>97.816162896098206</v>
      </c>
      <c r="S302">
        <f t="shared" si="73"/>
        <v>73.18178077772825</v>
      </c>
      <c r="T302">
        <f t="shared" si="74"/>
        <v>204257.83460134765</v>
      </c>
      <c r="U302">
        <f t="shared" si="75"/>
        <v>177240.62155561941</v>
      </c>
      <c r="V302">
        <f t="shared" si="76"/>
        <v>172270.64743589034</v>
      </c>
      <c r="W302">
        <f t="shared" si="77"/>
        <v>79.619289087871792</v>
      </c>
      <c r="X302">
        <f t="shared" si="78"/>
        <v>4.000526689509484</v>
      </c>
      <c r="Y302">
        <f t="shared" si="79"/>
        <v>14.196347118716927</v>
      </c>
      <c r="Z302">
        <f t="shared" si="80"/>
        <v>58.790788501181403</v>
      </c>
      <c r="AA302">
        <f t="shared" si="81"/>
        <v>4.0653551529135141</v>
      </c>
      <c r="AB302">
        <f t="shared" si="82"/>
        <v>10.325637123633342</v>
      </c>
    </row>
    <row r="303" spans="12:28" x14ac:dyDescent="0.25">
      <c r="L303">
        <v>299</v>
      </c>
      <c r="M303">
        <f t="shared" si="87"/>
        <v>149.5</v>
      </c>
      <c r="N303">
        <f t="shared" si="83"/>
        <v>-145317.62328642767</v>
      </c>
      <c r="O303">
        <f t="shared" si="84"/>
        <v>-115975.63256354444</v>
      </c>
      <c r="P303">
        <f t="shared" si="85"/>
        <v>-1977.3476970642262</v>
      </c>
      <c r="Q303">
        <f t="shared" si="86"/>
        <v>729.57567680503075</v>
      </c>
      <c r="R303">
        <f t="shared" si="72"/>
        <v>97.565929195596411</v>
      </c>
      <c r="S303">
        <f t="shared" si="73"/>
        <v>72.31899016402302</v>
      </c>
      <c r="T303">
        <f t="shared" si="74"/>
        <v>204853.65567453983</v>
      </c>
      <c r="U303">
        <f t="shared" si="75"/>
        <v>177691.77444649528</v>
      </c>
      <c r="V303">
        <f t="shared" si="76"/>
        <v>172873.11467188806</v>
      </c>
      <c r="W303">
        <f t="shared" si="77"/>
        <v>79.413920152615717</v>
      </c>
      <c r="X303">
        <f t="shared" si="78"/>
        <v>4.0021442298877714</v>
      </c>
      <c r="Y303">
        <f t="shared" si="79"/>
        <v>14.149864813092915</v>
      </c>
      <c r="Z303">
        <f t="shared" si="80"/>
        <v>58.113279357810775</v>
      </c>
      <c r="AA303">
        <f t="shared" si="81"/>
        <v>4.0231584173784363</v>
      </c>
      <c r="AB303">
        <f t="shared" si="82"/>
        <v>10.182552388833807</v>
      </c>
    </row>
    <row r="304" spans="12:28" x14ac:dyDescent="0.25">
      <c r="L304">
        <v>300</v>
      </c>
      <c r="M304">
        <f t="shared" si="87"/>
        <v>150</v>
      </c>
      <c r="N304">
        <f t="shared" si="83"/>
        <v>-146294.10139381033</v>
      </c>
      <c r="O304">
        <f t="shared" si="84"/>
        <v>-115601.80485137143</v>
      </c>
      <c r="P304">
        <f t="shared" si="85"/>
        <v>-1928.564732466428</v>
      </c>
      <c r="Q304">
        <f t="shared" si="86"/>
        <v>765.73517188704227</v>
      </c>
      <c r="R304">
        <f t="shared" si="72"/>
        <v>97.338784495071877</v>
      </c>
      <c r="S304">
        <f t="shared" si="73"/>
        <v>71.484930148811003</v>
      </c>
      <c r="T304">
        <f t="shared" si="74"/>
        <v>205422.79204553508</v>
      </c>
      <c r="U304">
        <f t="shared" si="75"/>
        <v>178117.97615286347</v>
      </c>
      <c r="V304">
        <f t="shared" si="76"/>
        <v>173449.54951811716</v>
      </c>
      <c r="W304">
        <f t="shared" si="77"/>
        <v>79.227077213928837</v>
      </c>
      <c r="X304">
        <f t="shared" si="78"/>
        <v>4.0044898329815997</v>
      </c>
      <c r="Y304">
        <f t="shared" si="79"/>
        <v>14.10721744816143</v>
      </c>
      <c r="Z304">
        <f t="shared" si="80"/>
        <v>57.458012190529978</v>
      </c>
      <c r="AA304">
        <f t="shared" si="81"/>
        <v>3.9825387328509581</v>
      </c>
      <c r="AB304">
        <f t="shared" si="82"/>
        <v>10.044379225430069</v>
      </c>
    </row>
    <row r="305" spans="12:28" x14ac:dyDescent="0.25">
      <c r="L305">
        <v>301</v>
      </c>
      <c r="M305">
        <f t="shared" si="87"/>
        <v>150.5</v>
      </c>
      <c r="N305">
        <f t="shared" si="83"/>
        <v>-147246.21641198164</v>
      </c>
      <c r="O305">
        <f t="shared" si="84"/>
        <v>-115210.00164915931</v>
      </c>
      <c r="P305">
        <f t="shared" si="85"/>
        <v>-1879.8953402188922</v>
      </c>
      <c r="Q305">
        <f t="shared" si="86"/>
        <v>801.47763696144773</v>
      </c>
      <c r="R305">
        <f t="shared" si="72"/>
        <v>97.134382649152926</v>
      </c>
      <c r="S305">
        <f t="shared" si="73"/>
        <v>70.678463153847332</v>
      </c>
      <c r="T305">
        <f t="shared" si="74"/>
        <v>205965.38884146113</v>
      </c>
      <c r="U305">
        <f t="shared" si="75"/>
        <v>178519.31017160957</v>
      </c>
      <c r="V305">
        <f t="shared" si="76"/>
        <v>174000.08768402625</v>
      </c>
      <c r="W305">
        <f t="shared" si="77"/>
        <v>79.058473440023292</v>
      </c>
      <c r="X305">
        <f t="shared" si="78"/>
        <v>4.0075705209832471</v>
      </c>
      <c r="Y305">
        <f t="shared" si="79"/>
        <v>14.068338688146385</v>
      </c>
      <c r="Z305">
        <f t="shared" si="80"/>
        <v>56.824120906835482</v>
      </c>
      <c r="AA305">
        <f t="shared" si="81"/>
        <v>3.9434407221729049</v>
      </c>
      <c r="AB305">
        <f t="shared" si="82"/>
        <v>9.9109015248389554</v>
      </c>
    </row>
    <row r="306" spans="12:28" x14ac:dyDescent="0.25">
      <c r="L306">
        <v>302</v>
      </c>
      <c r="M306">
        <f t="shared" si="87"/>
        <v>151</v>
      </c>
      <c r="N306">
        <f t="shared" si="83"/>
        <v>-148174.02228425996</v>
      </c>
      <c r="O306">
        <f t="shared" si="84"/>
        <v>-114800.42802278436</v>
      </c>
      <c r="P306">
        <f t="shared" si="85"/>
        <v>-1831.3281488943157</v>
      </c>
      <c r="Q306">
        <f t="shared" si="86"/>
        <v>836.81686853837141</v>
      </c>
      <c r="R306">
        <f t="shared" si="72"/>
        <v>96.952408393156972</v>
      </c>
      <c r="S306">
        <f t="shared" si="73"/>
        <v>69.898512508440291</v>
      </c>
      <c r="T306">
        <f t="shared" si="74"/>
        <v>206481.58350252232</v>
      </c>
      <c r="U306">
        <f t="shared" si="75"/>
        <v>178895.85468421606</v>
      </c>
      <c r="V306">
        <f t="shared" si="76"/>
        <v>174524.85808785158</v>
      </c>
      <c r="W306">
        <f t="shared" si="77"/>
        <v>78.907847011411221</v>
      </c>
      <c r="X306">
        <f t="shared" si="78"/>
        <v>4.0113936473113077</v>
      </c>
      <c r="Y306">
        <f t="shared" si="79"/>
        <v>14.033167734434448</v>
      </c>
      <c r="Z306">
        <f t="shared" si="80"/>
        <v>56.210785220710086</v>
      </c>
      <c r="AA306">
        <f t="shared" si="81"/>
        <v>3.9058120766629552</v>
      </c>
      <c r="AB306">
        <f t="shared" si="82"/>
        <v>9.7819152110672558</v>
      </c>
    </row>
    <row r="307" spans="12:28" x14ac:dyDescent="0.25">
      <c r="L307">
        <v>303</v>
      </c>
      <c r="M307">
        <f t="shared" si="87"/>
        <v>151.5</v>
      </c>
      <c r="N307">
        <f t="shared" si="83"/>
        <v>-149077.56730765797</v>
      </c>
      <c r="O307">
        <f t="shared" si="84"/>
        <v>-114373.28227445162</v>
      </c>
      <c r="P307">
        <f t="shared" si="85"/>
        <v>-1782.8519446977373</v>
      </c>
      <c r="Q307">
        <f t="shared" si="86"/>
        <v>871.76612479259154</v>
      </c>
      <c r="R307">
        <f t="shared" si="72"/>
        <v>96.792576332510578</v>
      </c>
      <c r="S307">
        <f t="shared" si="73"/>
        <v>69.144058523569726</v>
      </c>
      <c r="T307">
        <f t="shared" si="74"/>
        <v>206971.50598005395</v>
      </c>
      <c r="U307">
        <f t="shared" si="75"/>
        <v>179247.68262318874</v>
      </c>
      <c r="V307">
        <f t="shared" si="76"/>
        <v>175023.98301744406</v>
      </c>
      <c r="W307">
        <f t="shared" si="77"/>
        <v>78.774960254107867</v>
      </c>
      <c r="X307">
        <f t="shared" si="78"/>
        <v>4.0159669450637372</v>
      </c>
      <c r="Y307">
        <f t="shared" si="79"/>
        <v>14.001649133338979</v>
      </c>
      <c r="Z307">
        <f t="shared" si="80"/>
        <v>55.617227739391595</v>
      </c>
      <c r="AA307">
        <f t="shared" si="81"/>
        <v>3.8696033778880028</v>
      </c>
      <c r="AB307">
        <f t="shared" si="82"/>
        <v>9.6572274062901293</v>
      </c>
    </row>
    <row r="308" spans="12:28" x14ac:dyDescent="0.25">
      <c r="L308">
        <v>304</v>
      </c>
      <c r="M308">
        <f t="shared" si="87"/>
        <v>152</v>
      </c>
      <c r="N308">
        <f t="shared" si="83"/>
        <v>-149956.89420796526</v>
      </c>
      <c r="O308">
        <f t="shared" si="84"/>
        <v>-113928.75620473987</v>
      </c>
      <c r="P308">
        <f t="shared" si="85"/>
        <v>-1734.455656531482</v>
      </c>
      <c r="Q308">
        <f t="shared" si="86"/>
        <v>906.33815405437645</v>
      </c>
      <c r="R308">
        <f t="shared" si="72"/>
        <v>96.654630029406349</v>
      </c>
      <c r="S308">
        <f t="shared" si="73"/>
        <v>68.414134858624948</v>
      </c>
      <c r="T308">
        <f t="shared" si="74"/>
        <v>207435.27892146012</v>
      </c>
      <c r="U308">
        <f t="shared" si="75"/>
        <v>179574.86173357931</v>
      </c>
      <c r="V308">
        <f t="shared" si="76"/>
        <v>175497.57828139991</v>
      </c>
      <c r="W308">
        <f t="shared" si="77"/>
        <v>78.659598854952378</v>
      </c>
      <c r="X308">
        <f t="shared" si="78"/>
        <v>4.0212985732556046</v>
      </c>
      <c r="Y308">
        <f t="shared" si="79"/>
        <v>13.973732601198359</v>
      </c>
      <c r="Z308">
        <f t="shared" si="80"/>
        <v>55.042711264988725</v>
      </c>
      <c r="AA308">
        <f t="shared" si="81"/>
        <v>3.8347679324650801</v>
      </c>
      <c r="AB308">
        <f t="shared" si="82"/>
        <v>9.5366556611711388</v>
      </c>
    </row>
    <row r="309" spans="12:28" x14ac:dyDescent="0.25">
      <c r="L309">
        <v>305</v>
      </c>
      <c r="M309">
        <f t="shared" si="87"/>
        <v>152.5</v>
      </c>
      <c r="N309">
        <f t="shared" si="83"/>
        <v>-150812.04020747734</v>
      </c>
      <c r="O309">
        <f t="shared" si="84"/>
        <v>-113467.03536085536</v>
      </c>
      <c r="P309">
        <f t="shared" si="85"/>
        <v>-1686.1283415167788</v>
      </c>
      <c r="Q309">
        <f t="shared" si="86"/>
        <v>940.54522148368892</v>
      </c>
      <c r="R309">
        <f t="shared" si="72"/>
        <v>96.538341181842185</v>
      </c>
      <c r="S309">
        <f t="shared" si="73"/>
        <v>67.70782515542426</v>
      </c>
      <c r="T309">
        <f t="shared" si="74"/>
        <v>207873.0178426989</v>
      </c>
      <c r="U309">
        <f t="shared" si="75"/>
        <v>179877.45462964883</v>
      </c>
      <c r="V309">
        <f t="shared" si="76"/>
        <v>175945.75335092045</v>
      </c>
      <c r="W309">
        <f t="shared" si="77"/>
        <v>78.561571154545405</v>
      </c>
      <c r="X309">
        <f t="shared" si="78"/>
        <v>4.0273971613056574</v>
      </c>
      <c r="Y309">
        <f t="shared" si="79"/>
        <v>13.949372865991121</v>
      </c>
      <c r="Z309">
        <f t="shared" si="80"/>
        <v>54.486536292553865</v>
      </c>
      <c r="AA309">
        <f t="shared" si="81"/>
        <v>3.8012616188728381</v>
      </c>
      <c r="AB309">
        <f t="shared" si="82"/>
        <v>9.4200272439975574</v>
      </c>
    </row>
    <row r="310" spans="12:28" x14ac:dyDescent="0.25">
      <c r="L310">
        <v>306</v>
      </c>
      <c r="M310">
        <f t="shared" si="87"/>
        <v>153</v>
      </c>
      <c r="N310">
        <f t="shared" si="83"/>
        <v>-151643.037085588</v>
      </c>
      <c r="O310">
        <f t="shared" si="84"/>
        <v>-112988.29927196908</v>
      </c>
      <c r="P310">
        <f t="shared" si="85"/>
        <v>-1637.8591709258578</v>
      </c>
      <c r="Q310">
        <f t="shared" si="86"/>
        <v>974.39913406140101</v>
      </c>
      <c r="R310">
        <f t="shared" si="72"/>
        <v>96.443508890642704</v>
      </c>
      <c r="S310">
        <f t="shared" si="73"/>
        <v>67.024259916549568</v>
      </c>
      <c r="T310">
        <f t="shared" si="74"/>
        <v>208284.83128892578</v>
      </c>
      <c r="U310">
        <f t="shared" si="75"/>
        <v>180155.51884671455</v>
      </c>
      <c r="V310">
        <f t="shared" si="76"/>
        <v>176368.61149279968</v>
      </c>
      <c r="W310">
        <f t="shared" si="77"/>
        <v>78.480707513721995</v>
      </c>
      <c r="X310">
        <f t="shared" si="78"/>
        <v>4.0342718521960208</v>
      </c>
      <c r="Y310">
        <f t="shared" si="79"/>
        <v>13.928529524724691</v>
      </c>
      <c r="Z310">
        <f t="shared" si="80"/>
        <v>53.948038687917176</v>
      </c>
      <c r="AA310">
        <f t="shared" si="81"/>
        <v>3.7690427453430773</v>
      </c>
      <c r="AB310">
        <f t="shared" si="82"/>
        <v>9.3071784832893059</v>
      </c>
    </row>
    <row r="311" spans="12:28" x14ac:dyDescent="0.25">
      <c r="L311">
        <v>307</v>
      </c>
      <c r="M311">
        <f t="shared" si="87"/>
        <v>153.5</v>
      </c>
      <c r="N311">
        <f t="shared" si="83"/>
        <v>-152449.9112324396</v>
      </c>
      <c r="O311">
        <f t="shared" si="84"/>
        <v>-112492.72167244882</v>
      </c>
      <c r="P311">
        <f t="shared" si="85"/>
        <v>-1589.6374164805366</v>
      </c>
      <c r="Q311">
        <f t="shared" si="86"/>
        <v>1007.9112640196759</v>
      </c>
      <c r="R311">
        <f t="shared" si="72"/>
        <v>96.369959010596091</v>
      </c>
      <c r="S311">
        <f t="shared" si="73"/>
        <v>66.362613607222215</v>
      </c>
      <c r="T311">
        <f t="shared" si="74"/>
        <v>208670.82098385441</v>
      </c>
      <c r="U311">
        <f t="shared" si="75"/>
        <v>180409.10688821986</v>
      </c>
      <c r="V311">
        <f t="shared" si="76"/>
        <v>176766.249893909</v>
      </c>
      <c r="W311">
        <f t="shared" si="77"/>
        <v>78.416859749969618</v>
      </c>
      <c r="X311">
        <f t="shared" si="78"/>
        <v>4.0419323446965576</v>
      </c>
      <c r="Y311">
        <f t="shared" si="79"/>
        <v>13.911166915929916</v>
      </c>
      <c r="Z311">
        <f t="shared" si="80"/>
        <v>53.426587530173791</v>
      </c>
      <c r="AA311">
        <f t="shared" si="81"/>
        <v>3.7380719179864754</v>
      </c>
      <c r="AB311">
        <f t="shared" si="82"/>
        <v>9.197954159061954</v>
      </c>
    </row>
    <row r="312" spans="12:28" x14ac:dyDescent="0.25">
      <c r="L312">
        <v>308</v>
      </c>
      <c r="M312">
        <f t="shared" si="87"/>
        <v>154</v>
      </c>
      <c r="N312">
        <f t="shared" si="83"/>
        <v>-153232.68369580354</v>
      </c>
      <c r="O312">
        <f t="shared" si="84"/>
        <v>-111980.47071373809</v>
      </c>
      <c r="P312">
        <f t="shared" si="85"/>
        <v>-1541.4524369752385</v>
      </c>
      <c r="Q312">
        <f t="shared" si="86"/>
        <v>1041.0925708232869</v>
      </c>
      <c r="R312">
        <f t="shared" si="72"/>
        <v>96.317543582257599</v>
      </c>
      <c r="S312">
        <f t="shared" si="73"/>
        <v>65.722101961847969</v>
      </c>
      <c r="T312">
        <f t="shared" si="74"/>
        <v>209031.0819683476</v>
      </c>
      <c r="U312">
        <f t="shared" si="75"/>
        <v>180638.26626806168</v>
      </c>
      <c r="V312">
        <f t="shared" si="76"/>
        <v>177138.75977752116</v>
      </c>
      <c r="W312">
        <f t="shared" si="77"/>
        <v>78.369900640580568</v>
      </c>
      <c r="X312">
        <f t="shared" si="78"/>
        <v>4.0503889350156319</v>
      </c>
      <c r="Y312">
        <f t="shared" si="79"/>
        <v>13.897254006661402</v>
      </c>
      <c r="Z312">
        <f t="shared" si="80"/>
        <v>52.92158310508286</v>
      </c>
      <c r="AA312">
        <f t="shared" si="81"/>
        <v>3.7083119183801663</v>
      </c>
      <c r="AB312">
        <f t="shared" si="82"/>
        <v>9.0922069383849422</v>
      </c>
    </row>
    <row r="313" spans="12:28" x14ac:dyDescent="0.25">
      <c r="L313">
        <v>309</v>
      </c>
      <c r="M313">
        <f t="shared" si="87"/>
        <v>154.5</v>
      </c>
      <c r="N313">
        <f t="shared" si="83"/>
        <v>-153991.37022134339</v>
      </c>
      <c r="O313">
        <f t="shared" si="84"/>
        <v>-111451.70916558121</v>
      </c>
      <c r="P313">
        <f t="shared" si="85"/>
        <v>-1493.2936651841096</v>
      </c>
      <c r="Q313">
        <f t="shared" si="86"/>
        <v>1073.9536218042108</v>
      </c>
      <c r="R313">
        <f t="shared" si="72"/>
        <v>96.286140341428421</v>
      </c>
      <c r="S313">
        <f t="shared" si="73"/>
        <v>65.101979478102507</v>
      </c>
      <c r="T313">
        <f t="shared" si="74"/>
        <v>209365.70272870793</v>
      </c>
      <c r="U313">
        <f t="shared" si="75"/>
        <v>180843.03954820608</v>
      </c>
      <c r="V313">
        <f t="shared" si="76"/>
        <v>177486.22651179237</v>
      </c>
      <c r="W313">
        <f t="shared" si="77"/>
        <v>78.339723489738134</v>
      </c>
      <c r="X313">
        <f t="shared" si="78"/>
        <v>4.0596525582184153</v>
      </c>
      <c r="Y313">
        <f t="shared" si="79"/>
        <v>13.886764293471865</v>
      </c>
      <c r="Z313">
        <f t="shared" si="80"/>
        <v>52.432455036899007</v>
      </c>
      <c r="AA313">
        <f t="shared" si="81"/>
        <v>3.6797275899154354</v>
      </c>
      <c r="AB313">
        <f t="shared" si="82"/>
        <v>8.9897968512880571</v>
      </c>
    </row>
    <row r="314" spans="12:28" x14ac:dyDescent="0.25">
      <c r="L314">
        <v>310</v>
      </c>
      <c r="M314">
        <f t="shared" si="87"/>
        <v>155</v>
      </c>
      <c r="N314">
        <f t="shared" si="83"/>
        <v>-154725.98128639275</v>
      </c>
      <c r="O314">
        <f t="shared" si="84"/>
        <v>-110906.59460724433</v>
      </c>
      <c r="P314">
        <f t="shared" si="85"/>
        <v>-1445.1505950133953</v>
      </c>
      <c r="Q314">
        <f t="shared" si="86"/>
        <v>1106.5046115432619</v>
      </c>
      <c r="R314">
        <f t="shared" si="72"/>
        <v>96.275652303698763</v>
      </c>
      <c r="S314">
        <f t="shared" si="73"/>
        <v>64.501537082954925</v>
      </c>
      <c r="T314">
        <f t="shared" si="74"/>
        <v>209674.76531509685</v>
      </c>
      <c r="U314">
        <f t="shared" si="75"/>
        <v>181023.46437161669</v>
      </c>
      <c r="V314">
        <f t="shared" si="76"/>
        <v>177808.72971069656</v>
      </c>
      <c r="W314">
        <f t="shared" si="77"/>
        <v>78.326241757071017</v>
      </c>
      <c r="X314">
        <f t="shared" si="78"/>
        <v>4.0697348297310576</v>
      </c>
      <c r="Y314">
        <f t="shared" si="79"/>
        <v>13.879675716896692</v>
      </c>
      <c r="Z314">
        <f t="shared" si="80"/>
        <v>51.958660547255754</v>
      </c>
      <c r="AA314">
        <f t="shared" si="81"/>
        <v>3.6522857322618965</v>
      </c>
      <c r="AB314">
        <f t="shared" si="82"/>
        <v>8.8905908034372718</v>
      </c>
    </row>
    <row r="315" spans="12:28" x14ac:dyDescent="0.25">
      <c r="L315">
        <v>311</v>
      </c>
      <c r="M315">
        <f t="shared" si="87"/>
        <v>155.5</v>
      </c>
      <c r="N315">
        <f t="shared" si="83"/>
        <v>-155436.5221273615</v>
      </c>
      <c r="O315">
        <f t="shared" si="84"/>
        <v>-110345.27960933733</v>
      </c>
      <c r="P315">
        <f t="shared" si="85"/>
        <v>-1397.012768861546</v>
      </c>
      <c r="Q315">
        <f t="shared" si="86"/>
        <v>1138.7553800847395</v>
      </c>
      <c r="R315">
        <f t="shared" si="72"/>
        <v>96.286007421851167</v>
      </c>
      <c r="S315">
        <f t="shared" si="73"/>
        <v>63.920099956422845</v>
      </c>
      <c r="T315">
        <f t="shared" si="74"/>
        <v>209958.34545047363</v>
      </c>
      <c r="U315">
        <f t="shared" si="75"/>
        <v>181179.57349051483</v>
      </c>
      <c r="V315">
        <f t="shared" si="76"/>
        <v>178106.34332768401</v>
      </c>
      <c r="W315">
        <f t="shared" si="77"/>
        <v>78.32938874556956</v>
      </c>
      <c r="X315">
        <f t="shared" si="78"/>
        <v>4.0806480872376518</v>
      </c>
      <c r="Y315">
        <f t="shared" si="79"/>
        <v>13.875970589043956</v>
      </c>
      <c r="Z315">
        <f t="shared" si="80"/>
        <v>51.499682830734201</v>
      </c>
      <c r="AA315">
        <f t="shared" si="81"/>
        <v>3.62595500336398</v>
      </c>
      <c r="AB315">
        <f t="shared" si="82"/>
        <v>8.7944621223246653</v>
      </c>
    </row>
    <row r="316" spans="12:28" x14ac:dyDescent="0.25">
      <c r="L316">
        <v>312</v>
      </c>
      <c r="M316">
        <f t="shared" si="87"/>
        <v>156</v>
      </c>
      <c r="N316">
        <f t="shared" si="83"/>
        <v>-156122.99276086455</v>
      </c>
      <c r="O316">
        <f t="shared" si="84"/>
        <v>-109767.91190680041</v>
      </c>
      <c r="P316">
        <f t="shared" si="85"/>
        <v>-1348.8697651506204</v>
      </c>
      <c r="Q316">
        <f t="shared" si="86"/>
        <v>1170.7154300629509</v>
      </c>
      <c r="R316">
        <f t="shared" si="72"/>
        <v>96.317158314285962</v>
      </c>
      <c r="S316">
        <f t="shared" si="73"/>
        <v>63.357025500089875</v>
      </c>
      <c r="T316">
        <f t="shared" si="74"/>
        <v>210216.51263040837</v>
      </c>
      <c r="U316">
        <f t="shared" si="75"/>
        <v>181311.39478998413</v>
      </c>
      <c r="V316">
        <f t="shared" si="76"/>
        <v>178379.13574231547</v>
      </c>
      <c r="W316">
        <f t="shared" si="77"/>
        <v>78.349117347073673</v>
      </c>
      <c r="X316">
        <f t="shared" si="78"/>
        <v>4.0924054332623472</v>
      </c>
      <c r="Y316">
        <f t="shared" si="79"/>
        <v>13.875635533949945</v>
      </c>
      <c r="Z316">
        <f t="shared" si="80"/>
        <v>51.055029537645815</v>
      </c>
      <c r="AA316">
        <f t="shared" si="81"/>
        <v>3.6007058284336471</v>
      </c>
      <c r="AB316">
        <f t="shared" si="82"/>
        <v>8.7012901340104118</v>
      </c>
    </row>
    <row r="317" spans="12:28" x14ac:dyDescent="0.25">
      <c r="L317">
        <v>313</v>
      </c>
      <c r="M317">
        <f t="shared" si="87"/>
        <v>156.5</v>
      </c>
      <c r="N317">
        <f t="shared" si="83"/>
        <v>-156785.38799865055</v>
      </c>
      <c r="O317">
        <f t="shared" si="84"/>
        <v>-109174.63456358142</v>
      </c>
      <c r="P317">
        <f t="shared" si="85"/>
        <v>-1300.7111859934776</v>
      </c>
      <c r="Q317">
        <f t="shared" si="86"/>
        <v>1202.3939428129959</v>
      </c>
      <c r="R317">
        <f t="shared" si="72"/>
        <v>96.369082062984518</v>
      </c>
      <c r="S317">
        <f t="shared" si="73"/>
        <v>62.811701438525681</v>
      </c>
      <c r="T317">
        <f t="shared" si="74"/>
        <v>210449.33021409399</v>
      </c>
      <c r="U317">
        <f t="shared" si="75"/>
        <v>181418.95130692536</v>
      </c>
      <c r="V317">
        <f t="shared" si="76"/>
        <v>178627.16984010299</v>
      </c>
      <c r="W317">
        <f t="shared" si="77"/>
        <v>78.385399843843032</v>
      </c>
      <c r="X317">
        <f t="shared" si="78"/>
        <v>4.1050207787225972</v>
      </c>
      <c r="Y317">
        <f t="shared" si="79"/>
        <v>13.878661440418874</v>
      </c>
      <c r="Z317">
        <f t="shared" si="80"/>
        <v>50.624231355361253</v>
      </c>
      <c r="AA317">
        <f t="shared" si="81"/>
        <v>3.5765103154512401</v>
      </c>
      <c r="AB317">
        <f t="shared" si="82"/>
        <v>8.6109597677131884</v>
      </c>
    </row>
    <row r="318" spans="12:28" x14ac:dyDescent="0.25">
      <c r="L318">
        <v>314</v>
      </c>
      <c r="M318">
        <f t="shared" si="87"/>
        <v>157</v>
      </c>
      <c r="N318">
        <f t="shared" si="83"/>
        <v>-157423.6974563894</v>
      </c>
      <c r="O318">
        <f t="shared" si="84"/>
        <v>-108565.58612949512</v>
      </c>
      <c r="P318">
        <f t="shared" si="85"/>
        <v>-1252.5266449619853</v>
      </c>
      <c r="Q318">
        <f t="shared" si="86"/>
        <v>1233.7997935322587</v>
      </c>
      <c r="R318">
        <f t="shared" si="72"/>
        <v>96.441780079876409</v>
      </c>
      <c r="S318">
        <f t="shared" si="73"/>
        <v>62.283544042750805</v>
      </c>
      <c r="T318">
        <f t="shared" si="74"/>
        <v>210656.85550684595</v>
      </c>
      <c r="U318">
        <f t="shared" si="75"/>
        <v>181502.26124436018</v>
      </c>
      <c r="V318">
        <f t="shared" si="76"/>
        <v>178850.50308576965</v>
      </c>
      <c r="W318">
        <f t="shared" si="77"/>
        <v>78.438227765019718</v>
      </c>
      <c r="X318">
        <f t="shared" si="78"/>
        <v>4.1185088877329337</v>
      </c>
      <c r="Y318">
        <f t="shared" si="79"/>
        <v>13.88504342712376</v>
      </c>
      <c r="Z318">
        <f t="shared" si="80"/>
        <v>50.206840680247083</v>
      </c>
      <c r="AA318">
        <f t="shared" si="81"/>
        <v>3.5533421767272246</v>
      </c>
      <c r="AB318">
        <f t="shared" si="82"/>
        <v>8.5233611857764906</v>
      </c>
    </row>
    <row r="319" spans="12:28" x14ac:dyDescent="0.25">
      <c r="L319">
        <v>315</v>
      </c>
      <c r="M319">
        <f t="shared" si="87"/>
        <v>157.5</v>
      </c>
      <c r="N319">
        <f t="shared" si="83"/>
        <v>-158037.90555636041</v>
      </c>
      <c r="O319">
        <f t="shared" si="84"/>
        <v>-107940.90078972364</v>
      </c>
      <c r="P319">
        <f t="shared" si="85"/>
        <v>-1204.3057549220471</v>
      </c>
      <c r="Q319">
        <f t="shared" si="86"/>
        <v>1264.9415655536341</v>
      </c>
      <c r="R319">
        <f t="shared" si="72"/>
        <v>96.53527804082114</v>
      </c>
      <c r="S319">
        <f t="shared" si="73"/>
        <v>61.771996465787304</v>
      </c>
      <c r="T319">
        <f t="shared" si="74"/>
        <v>210839.13983435265</v>
      </c>
      <c r="U319">
        <f t="shared" si="75"/>
        <v>181561.3379810749</v>
      </c>
      <c r="V319">
        <f t="shared" si="76"/>
        <v>179049.18759012211</v>
      </c>
      <c r="W319">
        <f t="shared" si="77"/>
        <v>78.507611797078454</v>
      </c>
      <c r="X319">
        <f t="shared" si="78"/>
        <v>4.1328854239374113</v>
      </c>
      <c r="Y319">
        <f t="shared" si="79"/>
        <v>13.894780819805277</v>
      </c>
      <c r="Z319">
        <f t="shared" si="80"/>
        <v>49.802430372924654</v>
      </c>
      <c r="AA319">
        <f t="shared" si="81"/>
        <v>3.531176656116958</v>
      </c>
      <c r="AB319">
        <f t="shared" si="82"/>
        <v>8.4383894367456964</v>
      </c>
    </row>
    <row r="320" spans="12:28" x14ac:dyDescent="0.25">
      <c r="L320">
        <v>316</v>
      </c>
      <c r="M320">
        <f t="shared" si="87"/>
        <v>158</v>
      </c>
      <c r="N320">
        <f t="shared" si="83"/>
        <v>-158627.99152406631</v>
      </c>
      <c r="O320">
        <f t="shared" si="84"/>
        <v>-107300.70850738861</v>
      </c>
      <c r="P320">
        <f t="shared" si="85"/>
        <v>-1156.0381159016365</v>
      </c>
      <c r="Q320">
        <f t="shared" si="86"/>
        <v>1295.8275637865277</v>
      </c>
      <c r="R320">
        <f t="shared" si="72"/>
        <v>96.649625886735706</v>
      </c>
      <c r="S320">
        <f t="shared" si="73"/>
        <v>61.276527181134654</v>
      </c>
      <c r="T320">
        <f t="shared" si="74"/>
        <v>210996.22860890991</v>
      </c>
      <c r="U320">
        <f t="shared" si="75"/>
        <v>181596.19007658711</v>
      </c>
      <c r="V320">
        <f t="shared" si="76"/>
        <v>179223.27017071334</v>
      </c>
      <c r="W320">
        <f t="shared" si="77"/>
        <v>78.59358174762815</v>
      </c>
      <c r="X320">
        <f t="shared" si="78"/>
        <v>4.1481669986489553</v>
      </c>
      <c r="Y320">
        <f t="shared" si="79"/>
        <v>13.907877140458593</v>
      </c>
      <c r="Z320">
        <f t="shared" si="80"/>
        <v>49.410592590147758</v>
      </c>
      <c r="AA320">
        <f t="shared" si="81"/>
        <v>3.5099904615152542</v>
      </c>
      <c r="AB320">
        <f t="shared" si="82"/>
        <v>8.3559441294716486</v>
      </c>
    </row>
    <row r="321" spans="12:28" x14ac:dyDescent="0.25">
      <c r="L321">
        <v>317</v>
      </c>
      <c r="M321">
        <f t="shared" si="87"/>
        <v>158.5</v>
      </c>
      <c r="N321">
        <f t="shared" si="83"/>
        <v>-159193.92937878129</v>
      </c>
      <c r="O321">
        <f t="shared" si="84"/>
        <v>-106645.1351595977</v>
      </c>
      <c r="P321">
        <f t="shared" si="85"/>
        <v>-1107.7133029582687</v>
      </c>
      <c r="Q321">
        <f t="shared" si="86"/>
        <v>1326.4658273770949</v>
      </c>
      <c r="R321">
        <f t="shared" si="72"/>
        <v>96.784897891745487</v>
      </c>
      <c r="S321">
        <f t="shared" si="73"/>
        <v>60.796628515740444</v>
      </c>
      <c r="T321">
        <f t="shared" si="74"/>
        <v>211128.16138784637</v>
      </c>
      <c r="U321">
        <f t="shared" si="75"/>
        <v>181606.8212714103</v>
      </c>
      <c r="V321">
        <f t="shared" si="76"/>
        <v>179372.7924064559</v>
      </c>
      <c r="W321">
        <f t="shared" si="77"/>
        <v>78.696186562208595</v>
      </c>
      <c r="X321">
        <f t="shared" si="78"/>
        <v>4.1643712210762835</v>
      </c>
      <c r="Y321">
        <f t="shared" si="79"/>
        <v>13.924340108460607</v>
      </c>
      <c r="Z321">
        <f t="shared" si="80"/>
        <v>49.030937687128301</v>
      </c>
      <c r="AA321">
        <f t="shared" si="81"/>
        <v>3.4897617022889378</v>
      </c>
      <c r="AB321">
        <f t="shared" si="82"/>
        <v>8.2759291263232058</v>
      </c>
    </row>
    <row r="322" spans="12:28" x14ac:dyDescent="0.25">
      <c r="L322">
        <v>318</v>
      </c>
      <c r="M322">
        <f t="shared" si="87"/>
        <v>159</v>
      </c>
      <c r="N322">
        <f t="shared" si="83"/>
        <v>-159735.68791802396</v>
      </c>
      <c r="O322">
        <f t="shared" si="84"/>
        <v>-105974.30266734469</v>
      </c>
      <c r="P322">
        <f t="shared" si="85"/>
        <v>-1059.320854012396</v>
      </c>
      <c r="Q322">
        <f t="shared" si="86"/>
        <v>1356.8641416349651</v>
      </c>
      <c r="R322">
        <f t="shared" si="72"/>
        <v>96.941192798550972</v>
      </c>
      <c r="S322">
        <f t="shared" si="73"/>
        <v>60.331815269676099</v>
      </c>
      <c r="T322">
        <f t="shared" si="74"/>
        <v>211234.97192432111</v>
      </c>
      <c r="U322">
        <f t="shared" si="75"/>
        <v>181593.23048258232</v>
      </c>
      <c r="V322">
        <f t="shared" si="76"/>
        <v>179497.79068633058</v>
      </c>
      <c r="W322">
        <f t="shared" si="77"/>
        <v>78.815494393983272</v>
      </c>
      <c r="X322">
        <f t="shared" si="78"/>
        <v>4.1815167509263622</v>
      </c>
      <c r="Y322">
        <f t="shared" si="79"/>
        <v>13.944181653641342</v>
      </c>
      <c r="Z322">
        <f t="shared" si="80"/>
        <v>48.663093184607355</v>
      </c>
      <c r="AA322">
        <f t="shared" si="81"/>
        <v>3.4704698313361511</v>
      </c>
      <c r="AB322">
        <f t="shared" si="82"/>
        <v>8.1982522537325888</v>
      </c>
    </row>
    <row r="323" spans="12:28" x14ac:dyDescent="0.25">
      <c r="L323">
        <v>319</v>
      </c>
      <c r="M323">
        <f t="shared" si="87"/>
        <v>159.5</v>
      </c>
      <c r="N323">
        <f t="shared" si="83"/>
        <v>-160253.23069593034</v>
      </c>
      <c r="O323">
        <f t="shared" si="84"/>
        <v>-105288.3291196185</v>
      </c>
      <c r="P323">
        <f t="shared" si="85"/>
        <v>-1010.8502576131206</v>
      </c>
      <c r="Q323">
        <f t="shared" si="86"/>
        <v>1387.0300492698032</v>
      </c>
      <c r="R323">
        <f t="shared" si="72"/>
        <v>97.118634021540885</v>
      </c>
      <c r="S323">
        <f t="shared" si="73"/>
        <v>59.881623415310273</v>
      </c>
      <c r="T323">
        <f t="shared" si="74"/>
        <v>211316.68821065119</v>
      </c>
      <c r="U323">
        <f t="shared" si="75"/>
        <v>181555.41179441425</v>
      </c>
      <c r="V323">
        <f t="shared" si="76"/>
        <v>179598.29625232061</v>
      </c>
      <c r="W323">
        <f t="shared" si="77"/>
        <v>78.951592726498362</v>
      </c>
      <c r="X323">
        <f t="shared" si="78"/>
        <v>4.1996233536775476</v>
      </c>
      <c r="Y323">
        <f t="shared" si="79"/>
        <v>13.967417941364976</v>
      </c>
      <c r="Z323">
        <f t="shared" si="80"/>
        <v>48.306702795395289</v>
      </c>
      <c r="AA323">
        <f t="shared" si="81"/>
        <v>3.4520955914868781</v>
      </c>
      <c r="AB323">
        <f t="shared" si="82"/>
        <v>8.1228250284281032</v>
      </c>
    </row>
    <row r="324" spans="12:28" x14ac:dyDescent="0.25">
      <c r="L324">
        <v>320</v>
      </c>
      <c r="M324">
        <f t="shared" si="87"/>
        <v>160</v>
      </c>
      <c r="N324">
        <f t="shared" si="83"/>
        <v>-160746.51599548419</v>
      </c>
      <c r="O324">
        <f t="shared" si="84"/>
        <v>-104587.32889205668</v>
      </c>
      <c r="P324">
        <f t="shared" si="85"/>
        <v>-962.29094060235013</v>
      </c>
      <c r="Q324">
        <f t="shared" si="86"/>
        <v>1416.9708609774582</v>
      </c>
      <c r="R324">
        <f t="shared" si="72"/>
        <v>97.317369918515766</v>
      </c>
      <c r="S324">
        <f t="shared" si="73"/>
        <v>59.445608869290609</v>
      </c>
      <c r="T324">
        <f t="shared" si="74"/>
        <v>211373.33251430187</v>
      </c>
      <c r="U324">
        <f t="shared" si="75"/>
        <v>181493.35444440786</v>
      </c>
      <c r="V324">
        <f t="shared" si="76"/>
        <v>179674.33523668634</v>
      </c>
      <c r="W324">
        <f t="shared" si="77"/>
        <v>79.104588549944182</v>
      </c>
      <c r="X324">
        <f t="shared" si="78"/>
        <v>4.2187119588301831</v>
      </c>
      <c r="Y324">
        <f t="shared" si="79"/>
        <v>13.994069409741396</v>
      </c>
      <c r="Z324">
        <f t="shared" si="80"/>
        <v>47.961425505486041</v>
      </c>
      <c r="AA324">
        <f t="shared" si="81"/>
        <v>3.4346209659842453</v>
      </c>
      <c r="AB324">
        <f t="shared" si="82"/>
        <v>8.0495623978203277</v>
      </c>
    </row>
    <row r="325" spans="12:28" x14ac:dyDescent="0.25">
      <c r="L325">
        <v>321</v>
      </c>
      <c r="M325">
        <f t="shared" si="87"/>
        <v>160.5</v>
      </c>
      <c r="N325">
        <f t="shared" si="83"/>
        <v>-161215.49679454556</v>
      </c>
      <c r="O325">
        <f t="shared" si="84"/>
        <v>-103871.41276045929</v>
      </c>
      <c r="P325">
        <f t="shared" si="85"/>
        <v>-913.63225564309221</v>
      </c>
      <c r="Q325">
        <f t="shared" si="86"/>
        <v>1446.6936654121034</v>
      </c>
      <c r="R325">
        <f t="shared" ref="R325:R388" si="88">SUM(W325:Y325)</f>
        <v>97.53757413223255</v>
      </c>
      <c r="S325">
        <f t="shared" ref="S325:S388" si="89">SUM(Z325:AB325)</f>
        <v>59.023346331109401</v>
      </c>
      <c r="T325">
        <f t="shared" ref="T325:T388" si="90">SQRT(($D$18-N325)^2 + ($E$18 - O325) ^2)</f>
        <v>211404.92140665092</v>
      </c>
      <c r="U325">
        <f t="shared" ref="U325:U388" si="91">SQRT(($D$26-N325)^2 + ($E$26- O325) ^2)</f>
        <v>181407.04280427811</v>
      </c>
      <c r="V325">
        <f t="shared" ref="V325:V388" si="92">SQRT(($D$34-N325)^2 + ($E$34 - O325) ^2)</f>
        <v>179725.92869368236</v>
      </c>
      <c r="W325">
        <f t="shared" ref="W325:W388" si="93">$D$22*(($D$18-N325)/(T325^2+($D$23^2))^(3/2))</f>
        <v>79.274608591625366</v>
      </c>
      <c r="X325">
        <f t="shared" ref="X325:X388" si="94">$D$30*(($D$26-N325)/(U325^2+($D$31^2))^(3/2))</f>
        <v>4.2388047214554954</v>
      </c>
      <c r="Y325">
        <f t="shared" ref="Y325:Y388" si="95">$D$38*(($D$34-N325)/(V325^2+($D$39^2))^(3/2))</f>
        <v>14.024160819151691</v>
      </c>
      <c r="Z325">
        <f t="shared" ref="Z325:Z388" si="96">$D$22*(($E$18-O325)/(T325^2+($D$23^2))^(3/2))</f>
        <v>47.626934705191708</v>
      </c>
      <c r="AA325">
        <f t="shared" ref="AA325:AA388" si="97">$D$30*(($E$26-O325)/(U325^2+($D$31^2))^(3/2))</f>
        <v>3.4180291328089272</v>
      </c>
      <c r="AB325">
        <f t="shared" ref="AB325:AB388" si="98">$D$38*(($E$34-O325)/(V325^2+($D$39^2))^(3/2))</f>
        <v>7.9783824931087652</v>
      </c>
    </row>
    <row r="326" spans="12:28" x14ac:dyDescent="0.25">
      <c r="L326">
        <v>322</v>
      </c>
      <c r="M326">
        <f t="shared" si="87"/>
        <v>161</v>
      </c>
      <c r="N326">
        <f t="shared" ref="N326:N389" si="99">(N325)+(P325)*(M326-M325)+((1/2*(R325))*((M326-M325)^2))</f>
        <v>-161660.12072560057</v>
      </c>
      <c r="O326">
        <f t="shared" ref="O326:O389" si="100">(O325)+(Q325)*(M326-M325)+((1/2*(S325))*((M326-M325)^2))</f>
        <v>-103140.68800946185</v>
      </c>
      <c r="P326">
        <f t="shared" ref="P326:P389" si="101">P325+(R325*(M326-M325))</f>
        <v>-864.86346857697595</v>
      </c>
      <c r="Q326">
        <f t="shared" ref="Q326:Q389" si="102">Q325+(S325*(M326-M325))</f>
        <v>1476.205338577658</v>
      </c>
      <c r="R326">
        <f t="shared" si="88"/>
        <v>97.779446003318171</v>
      </c>
      <c r="S326">
        <f t="shared" si="89"/>
        <v>58.614428182430473</v>
      </c>
      <c r="T326">
        <f t="shared" si="90"/>
        <v>211411.46578461523</v>
      </c>
      <c r="U326">
        <f t="shared" si="91"/>
        <v>181296.45635600857</v>
      </c>
      <c r="V326">
        <f t="shared" si="92"/>
        <v>179753.09262580445</v>
      </c>
      <c r="W326">
        <f t="shared" si="93"/>
        <v>79.461799601611517</v>
      </c>
      <c r="X326">
        <f t="shared" si="94"/>
        <v>4.2599250873795915</v>
      </c>
      <c r="Y326">
        <f t="shared" si="95"/>
        <v>14.057721314327068</v>
      </c>
      <c r="Z326">
        <f t="shared" si="96"/>
        <v>47.30291736604174</v>
      </c>
      <c r="AA326">
        <f t="shared" si="97"/>
        <v>3.4023044226291761</v>
      </c>
      <c r="AB326">
        <f t="shared" si="98"/>
        <v>7.9092063937595558</v>
      </c>
    </row>
    <row r="327" spans="12:28" x14ac:dyDescent="0.25">
      <c r="L327">
        <v>323</v>
      </c>
      <c r="M327">
        <f t="shared" si="87"/>
        <v>161.5</v>
      </c>
      <c r="N327">
        <f t="shared" si="99"/>
        <v>-162080.33002913865</v>
      </c>
      <c r="O327">
        <f t="shared" si="100"/>
        <v>-102395.25853665022</v>
      </c>
      <c r="P327">
        <f t="shared" si="101"/>
        <v>-815.97374557531691</v>
      </c>
      <c r="Q327">
        <f t="shared" si="102"/>
        <v>1505.5125526688732</v>
      </c>
      <c r="R327">
        <f t="shared" si="88"/>
        <v>98.043211056477105</v>
      </c>
      <c r="S327">
        <f t="shared" si="89"/>
        <v>58.218463441726776</v>
      </c>
      <c r="T327">
        <f t="shared" si="90"/>
        <v>211392.97088520706</v>
      </c>
      <c r="U327">
        <f t="shared" si="91"/>
        <v>181161.56966285483</v>
      </c>
      <c r="V327">
        <f t="shared" si="92"/>
        <v>179755.83800464188</v>
      </c>
      <c r="W327">
        <f t="shared" si="93"/>
        <v>79.666328694826987</v>
      </c>
      <c r="X327">
        <f t="shared" si="94"/>
        <v>4.2820978623598958</v>
      </c>
      <c r="Y327">
        <f t="shared" si="95"/>
        <v>14.094784499290233</v>
      </c>
      <c r="Z327">
        <f t="shared" si="96"/>
        <v>46.989073259464668</v>
      </c>
      <c r="AA327">
        <f t="shared" si="97"/>
        <v>3.3874322801789143</v>
      </c>
      <c r="AB327">
        <f t="shared" si="98"/>
        <v>7.8419579020831938</v>
      </c>
    </row>
    <row r="328" spans="12:28" x14ac:dyDescent="0.25">
      <c r="L328">
        <v>324</v>
      </c>
      <c r="M328">
        <f t="shared" si="87"/>
        <v>162</v>
      </c>
      <c r="N328">
        <f t="shared" si="99"/>
        <v>-162476.06150054425</v>
      </c>
      <c r="O328">
        <f t="shared" si="100"/>
        <v>-101635.22495238557</v>
      </c>
      <c r="P328">
        <f t="shared" si="101"/>
        <v>-766.95214004707839</v>
      </c>
      <c r="Q328">
        <f t="shared" si="102"/>
        <v>1534.6217843897366</v>
      </c>
      <c r="R328">
        <f t="shared" si="88"/>
        <v>98.329121562292372</v>
      </c>
      <c r="S328">
        <f t="shared" si="89"/>
        <v>57.835076769094542</v>
      </c>
      <c r="T328">
        <f t="shared" si="90"/>
        <v>211349.43629306488</v>
      </c>
      <c r="U328">
        <f t="shared" si="91"/>
        <v>181002.35233520198</v>
      </c>
      <c r="V328">
        <f t="shared" si="92"/>
        <v>179734.17078639677</v>
      </c>
      <c r="W328">
        <f t="shared" si="93"/>
        <v>79.888383751130306</v>
      </c>
      <c r="X328">
        <f t="shared" si="94"/>
        <v>4.3053492856336435</v>
      </c>
      <c r="Y328">
        <f t="shared" si="95"/>
        <v>14.135388525528423</v>
      </c>
      <c r="Z328">
        <f t="shared" si="96"/>
        <v>46.685114213509458</v>
      </c>
      <c r="AA328">
        <f t="shared" si="97"/>
        <v>3.3733992288835721</v>
      </c>
      <c r="AB328">
        <f t="shared" si="98"/>
        <v>7.7765633267015142</v>
      </c>
    </row>
    <row r="329" spans="12:28" x14ac:dyDescent="0.25">
      <c r="L329">
        <v>325</v>
      </c>
      <c r="M329">
        <f t="shared" si="87"/>
        <v>162.5</v>
      </c>
      <c r="N329">
        <f t="shared" si="99"/>
        <v>-162847.24643037253</v>
      </c>
      <c r="O329">
        <f t="shared" si="100"/>
        <v>-100860.68467559456</v>
      </c>
      <c r="P329">
        <f t="shared" si="101"/>
        <v>-717.78757926593221</v>
      </c>
      <c r="Q329">
        <f t="shared" si="102"/>
        <v>1563.5393227742838</v>
      </c>
      <c r="R329">
        <f t="shared" si="88"/>
        <v>98.637457177300433</v>
      </c>
      <c r="S329">
        <f t="shared" si="89"/>
        <v>57.463907516379443</v>
      </c>
      <c r="T329">
        <f t="shared" si="90"/>
        <v>211280.8559409845</v>
      </c>
      <c r="U329">
        <f t="shared" si="91"/>
        <v>180818.76899116748</v>
      </c>
      <c r="V329">
        <f t="shared" si="92"/>
        <v>179688.09192212106</v>
      </c>
      <c r="W329">
        <f t="shared" si="93"/>
        <v>80.128173875217414</v>
      </c>
      <c r="X329">
        <f t="shared" si="94"/>
        <v>4.3297071082434924</v>
      </c>
      <c r="Y329">
        <f t="shared" si="95"/>
        <v>14.179576193839527</v>
      </c>
      <c r="Z329">
        <f t="shared" si="96"/>
        <v>46.390763404061857</v>
      </c>
      <c r="AA329">
        <f t="shared" si="97"/>
        <v>3.3601928385691631</v>
      </c>
      <c r="AB329">
        <f t="shared" si="98"/>
        <v>7.7129512737484225</v>
      </c>
    </row>
    <row r="330" spans="12:28" x14ac:dyDescent="0.25">
      <c r="L330">
        <v>326</v>
      </c>
      <c r="M330">
        <f t="shared" si="87"/>
        <v>163</v>
      </c>
      <c r="N330">
        <f t="shared" si="99"/>
        <v>-163193.81053785834</v>
      </c>
      <c r="O330">
        <f t="shared" si="100"/>
        <v>-100071.73202576788</v>
      </c>
      <c r="P330">
        <f t="shared" si="101"/>
        <v>-668.46885067728203</v>
      </c>
      <c r="Q330">
        <f t="shared" si="102"/>
        <v>1592.2712765324736</v>
      </c>
      <c r="R330">
        <f t="shared" si="88"/>
        <v>98.968525665468562</v>
      </c>
      <c r="S330">
        <f t="shared" si="89"/>
        <v>57.104608818007605</v>
      </c>
      <c r="T330">
        <f t="shared" si="90"/>
        <v>211187.2181034532</v>
      </c>
      <c r="U330">
        <f t="shared" si="91"/>
        <v>180610.77921183035</v>
      </c>
      <c r="V330">
        <f t="shared" si="92"/>
        <v>179617.59736270798</v>
      </c>
      <c r="W330">
        <f t="shared" si="93"/>
        <v>80.385929918529712</v>
      </c>
      <c r="X330">
        <f t="shared" si="94"/>
        <v>4.3552006765765663</v>
      </c>
      <c r="Y330">
        <f t="shared" si="95"/>
        <v>14.227395070362279</v>
      </c>
      <c r="Z330">
        <f t="shared" si="96"/>
        <v>46.10575467721069</v>
      </c>
      <c r="AA330">
        <f t="shared" si="97"/>
        <v>3.3478016961063868</v>
      </c>
      <c r="AB330">
        <f t="shared" si="98"/>
        <v>7.6510524446905244</v>
      </c>
    </row>
    <row r="331" spans="12:28" x14ac:dyDescent="0.25">
      <c r="L331">
        <v>327</v>
      </c>
      <c r="M331">
        <f t="shared" si="87"/>
        <v>163.5</v>
      </c>
      <c r="N331">
        <f t="shared" si="99"/>
        <v>-163515.6738974888</v>
      </c>
      <c r="O331">
        <f t="shared" si="100"/>
        <v>-99268.458311399401</v>
      </c>
      <c r="P331">
        <f t="shared" si="101"/>
        <v>-618.98458784454772</v>
      </c>
      <c r="Q331">
        <f t="shared" si="102"/>
        <v>1620.8235809414775</v>
      </c>
      <c r="R331">
        <f t="shared" si="88"/>
        <v>99.322663704599051</v>
      </c>
      <c r="S331">
        <f t="shared" si="89"/>
        <v>56.756846718090287</v>
      </c>
      <c r="T331">
        <f t="shared" si="90"/>
        <v>211068.50538317053</v>
      </c>
      <c r="U331">
        <f t="shared" si="91"/>
        <v>180378.33749095365</v>
      </c>
      <c r="V331">
        <f t="shared" si="92"/>
        <v>179522.67805866495</v>
      </c>
      <c r="W331">
        <f t="shared" si="93"/>
        <v>80.661905065632681</v>
      </c>
      <c r="X331">
        <f t="shared" si="94"/>
        <v>4.3818610215847844</v>
      </c>
      <c r="Y331">
        <f t="shared" si="95"/>
        <v>14.278897617381586</v>
      </c>
      <c r="Z331">
        <f t="shared" si="96"/>
        <v>45.829831899546896</v>
      </c>
      <c r="AA331">
        <f t="shared" si="97"/>
        <v>3.3362153788538973</v>
      </c>
      <c r="AB331">
        <f t="shared" si="98"/>
        <v>7.5907994396894933</v>
      </c>
    </row>
    <row r="332" spans="12:28" x14ac:dyDescent="0.25">
      <c r="L332">
        <v>328</v>
      </c>
      <c r="M332">
        <f t="shared" si="87"/>
        <v>164</v>
      </c>
      <c r="N332">
        <f t="shared" si="99"/>
        <v>-163812.75085844798</v>
      </c>
      <c r="O332">
        <f t="shared" si="100"/>
        <v>-98450.951915088895</v>
      </c>
      <c r="P332">
        <f t="shared" si="101"/>
        <v>-569.32325599224816</v>
      </c>
      <c r="Q332">
        <f t="shared" si="102"/>
        <v>1649.2020043005227</v>
      </c>
      <c r="R332">
        <f t="shared" si="88"/>
        <v>99.700237781706193</v>
      </c>
      <c r="S332">
        <f t="shared" si="89"/>
        <v>56.420299329568685</v>
      </c>
      <c r="T332">
        <f t="shared" si="90"/>
        <v>210924.69469051721</v>
      </c>
      <c r="U332">
        <f t="shared" si="91"/>
        <v>180121.39317905286</v>
      </c>
      <c r="V332">
        <f t="shared" si="92"/>
        <v>179403.31995468185</v>
      </c>
      <c r="W332">
        <f t="shared" si="93"/>
        <v>80.956375487935659</v>
      </c>
      <c r="X332">
        <f t="shared" si="94"/>
        <v>4.409720954193884</v>
      </c>
      <c r="Y332">
        <f t="shared" si="95"/>
        <v>14.334141339576645</v>
      </c>
      <c r="Z332">
        <f t="shared" si="96"/>
        <v>45.562748333339577</v>
      </c>
      <c r="AA332">
        <f t="shared" si="97"/>
        <v>3.3254244307791692</v>
      </c>
      <c r="AB332">
        <f t="shared" si="98"/>
        <v>7.5321265654499374</v>
      </c>
    </row>
    <row r="333" spans="12:28" x14ac:dyDescent="0.25">
      <c r="L333">
        <v>329</v>
      </c>
      <c r="M333">
        <f t="shared" si="87"/>
        <v>164.5</v>
      </c>
      <c r="N333">
        <f t="shared" si="99"/>
        <v>-164084.94995672139</v>
      </c>
      <c r="O333">
        <f t="shared" si="100"/>
        <v>-97619.298375522441</v>
      </c>
      <c r="P333">
        <f t="shared" si="101"/>
        <v>-519.47313710139508</v>
      </c>
      <c r="Q333">
        <f t="shared" si="102"/>
        <v>1677.412153965307</v>
      </c>
      <c r="R333">
        <f t="shared" si="88"/>
        <v>100.1016451818672</v>
      </c>
      <c r="S333">
        <f t="shared" si="89"/>
        <v>56.094656021271376</v>
      </c>
      <c r="T333">
        <f t="shared" si="90"/>
        <v>210755.75721591362</v>
      </c>
      <c r="U333">
        <f t="shared" si="91"/>
        <v>179839.89042164877</v>
      </c>
      <c r="V333">
        <f t="shared" si="92"/>
        <v>179259.50397899732</v>
      </c>
      <c r="W333">
        <f t="shared" si="93"/>
        <v>81.269641067947163</v>
      </c>
      <c r="X333">
        <f t="shared" si="94"/>
        <v>4.4388151674493903</v>
      </c>
      <c r="Y333">
        <f t="shared" si="95"/>
        <v>14.393188946470641</v>
      </c>
      <c r="Z333">
        <f t="shared" si="96"/>
        <v>45.30426603361105</v>
      </c>
      <c r="AA333">
        <f t="shared" si="97"/>
        <v>3.3154203411460896</v>
      </c>
      <c r="AB333">
        <f t="shared" si="98"/>
        <v>7.474969646514241</v>
      </c>
    </row>
    <row r="334" spans="12:28" x14ac:dyDescent="0.25">
      <c r="L334">
        <v>330</v>
      </c>
      <c r="M334">
        <f t="shared" si="87"/>
        <v>165</v>
      </c>
      <c r="N334">
        <f t="shared" si="99"/>
        <v>-164332.17381962435</v>
      </c>
      <c r="O334">
        <f t="shared" si="100"/>
        <v>-96773.58046653714</v>
      </c>
      <c r="P334">
        <f t="shared" si="101"/>
        <v>-469.42231451046149</v>
      </c>
      <c r="Q334">
        <f t="shared" si="102"/>
        <v>1705.4594819759427</v>
      </c>
      <c r="R334">
        <f t="shared" si="88"/>
        <v>100.52731507561563</v>
      </c>
      <c r="S334">
        <f t="shared" si="89"/>
        <v>55.779616628873718</v>
      </c>
      <c r="T334">
        <f t="shared" si="90"/>
        <v>210561.65839498633</v>
      </c>
      <c r="U334">
        <f t="shared" si="91"/>
        <v>179533.7680915274</v>
      </c>
      <c r="V334">
        <f t="shared" si="92"/>
        <v>179091.20602755516</v>
      </c>
      <c r="W334">
        <f t="shared" si="93"/>
        <v>81.602026197688588</v>
      </c>
      <c r="X334">
        <f t="shared" si="94"/>
        <v>4.4691803459968416</v>
      </c>
      <c r="Y334">
        <f t="shared" si="95"/>
        <v>14.456108531930198</v>
      </c>
      <c r="Z334">
        <f t="shared" si="96"/>
        <v>45.054155264232953</v>
      </c>
      <c r="AA334">
        <f t="shared" si="97"/>
        <v>3.3061955256706459</v>
      </c>
      <c r="AB334">
        <f t="shared" si="98"/>
        <v>7.4192658389701194</v>
      </c>
    </row>
    <row r="335" spans="12:28" x14ac:dyDescent="0.25">
      <c r="L335">
        <v>331</v>
      </c>
      <c r="M335">
        <f t="shared" si="87"/>
        <v>165.5</v>
      </c>
      <c r="N335">
        <f t="shared" si="99"/>
        <v>-164554.31906249514</v>
      </c>
      <c r="O335">
        <f t="shared" si="100"/>
        <v>-95913.87827347056</v>
      </c>
      <c r="P335">
        <f t="shared" si="101"/>
        <v>-419.15865697265366</v>
      </c>
      <c r="Q335">
        <f t="shared" si="102"/>
        <v>1733.3492902903795</v>
      </c>
      <c r="R335">
        <f t="shared" si="88"/>
        <v>100.97770971052078</v>
      </c>
      <c r="S335">
        <f t="shared" si="89"/>
        <v>55.474890685811644</v>
      </c>
      <c r="T335">
        <f t="shared" si="90"/>
        <v>210342.35786644137</v>
      </c>
      <c r="U335">
        <f t="shared" si="91"/>
        <v>179202.95971481383</v>
      </c>
      <c r="V335">
        <f t="shared" si="92"/>
        <v>178898.39694293102</v>
      </c>
      <c r="W335">
        <f t="shared" si="93"/>
        <v>81.95388065531138</v>
      </c>
      <c r="X335">
        <f t="shared" si="94"/>
        <v>4.5008552835444933</v>
      </c>
      <c r="Y335">
        <f t="shared" si="95"/>
        <v>14.522973771664908</v>
      </c>
      <c r="Z335">
        <f t="shared" si="96"/>
        <v>44.812193930222158</v>
      </c>
      <c r="AA335">
        <f t="shared" si="97"/>
        <v>3.2977433100545777</v>
      </c>
      <c r="AB335">
        <f t="shared" si="98"/>
        <v>7.364953445534911</v>
      </c>
    </row>
    <row r="336" spans="12:28" x14ac:dyDescent="0.25">
      <c r="L336">
        <v>332</v>
      </c>
      <c r="M336">
        <f t="shared" si="87"/>
        <v>166</v>
      </c>
      <c r="N336">
        <f t="shared" si="99"/>
        <v>-164751.27617726763</v>
      </c>
      <c r="O336">
        <f t="shared" si="100"/>
        <v>-95040.26926698965</v>
      </c>
      <c r="P336">
        <f t="shared" si="101"/>
        <v>-368.66980211739326</v>
      </c>
      <c r="Q336">
        <f t="shared" si="102"/>
        <v>1761.0867356332853</v>
      </c>
      <c r="R336">
        <f t="shared" si="88"/>
        <v>101.45332571321515</v>
      </c>
      <c r="S336">
        <f t="shared" si="89"/>
        <v>55.180196670231979</v>
      </c>
      <c r="T336">
        <f t="shared" si="90"/>
        <v>210097.80942251827</v>
      </c>
      <c r="U336">
        <f t="shared" si="91"/>
        <v>178847.39339064827</v>
      </c>
      <c r="V336">
        <f t="shared" si="92"/>
        <v>178681.04248799826</v>
      </c>
      <c r="W336">
        <f t="shared" si="93"/>
        <v>82.325580564411979</v>
      </c>
      <c r="X336">
        <f t="shared" si="94"/>
        <v>4.5338810090185504</v>
      </c>
      <c r="Y336">
        <f t="shared" si="95"/>
        <v>14.593864139784609</v>
      </c>
      <c r="Z336">
        <f t="shared" si="96"/>
        <v>44.578167023445943</v>
      </c>
      <c r="AA336">
        <f t="shared" si="97"/>
        <v>3.2900579158181551</v>
      </c>
      <c r="AB336">
        <f t="shared" si="98"/>
        <v>7.3119717309678851</v>
      </c>
    </row>
    <row r="337" spans="12:28" x14ac:dyDescent="0.25">
      <c r="L337">
        <v>333</v>
      </c>
      <c r="M337">
        <f t="shared" ref="M337:M400" si="103">L337*$D$5</f>
        <v>166.5</v>
      </c>
      <c r="N337">
        <f t="shared" si="99"/>
        <v>-164922.92941261217</v>
      </c>
      <c r="O337">
        <f t="shared" si="100"/>
        <v>-94152.828374589226</v>
      </c>
      <c r="P337">
        <f t="shared" si="101"/>
        <v>-317.9431392607857</v>
      </c>
      <c r="Q337">
        <f t="shared" si="102"/>
        <v>1788.6768339684013</v>
      </c>
      <c r="R337">
        <f t="shared" si="88"/>
        <v>101.95469550883033</v>
      </c>
      <c r="S337">
        <f t="shared" si="89"/>
        <v>54.895261264070506</v>
      </c>
      <c r="T337">
        <f t="shared" si="90"/>
        <v>209827.96095187764</v>
      </c>
      <c r="U337">
        <f t="shared" si="91"/>
        <v>178466.99170423535</v>
      </c>
      <c r="V337">
        <f t="shared" si="92"/>
        <v>178439.10331429183</v>
      </c>
      <c r="W337">
        <f t="shared" si="93"/>
        <v>82.717529441057621</v>
      </c>
      <c r="X337">
        <f t="shared" si="94"/>
        <v>4.5683009221850126</v>
      </c>
      <c r="Y337">
        <f t="shared" si="95"/>
        <v>14.668865145587692</v>
      </c>
      <c r="Z337">
        <f t="shared" si="96"/>
        <v>44.351866078971192</v>
      </c>
      <c r="AA337">
        <f t="shared" si="97"/>
        <v>3.2831344483601494</v>
      </c>
      <c r="AB337">
        <f t="shared" si="98"/>
        <v>7.2602607367391601</v>
      </c>
    </row>
    <row r="338" spans="12:28" x14ac:dyDescent="0.25">
      <c r="L338">
        <v>334</v>
      </c>
      <c r="M338">
        <f t="shared" si="103"/>
        <v>167</v>
      </c>
      <c r="N338">
        <f t="shared" si="99"/>
        <v>-165069.15664530397</v>
      </c>
      <c r="O338">
        <f t="shared" si="100"/>
        <v>-93251.628049947016</v>
      </c>
      <c r="P338">
        <f t="shared" si="101"/>
        <v>-266.96579150637052</v>
      </c>
      <c r="Q338">
        <f t="shared" si="102"/>
        <v>1816.1244646004366</v>
      </c>
      <c r="R338">
        <f t="shared" si="88"/>
        <v>102.48238886552291</v>
      </c>
      <c r="S338">
        <f t="shared" si="89"/>
        <v>54.619818620304763</v>
      </c>
      <c r="T338">
        <f t="shared" si="90"/>
        <v>209532.7543747497</v>
      </c>
      <c r="U338">
        <f t="shared" si="91"/>
        <v>178061.67163301693</v>
      </c>
      <c r="V338">
        <f t="shared" si="92"/>
        <v>178172.5349250162</v>
      </c>
      <c r="W338">
        <f t="shared" si="93"/>
        <v>83.130159334053118</v>
      </c>
      <c r="X338">
        <f t="shared" si="94"/>
        <v>4.6041609395876506</v>
      </c>
      <c r="Y338">
        <f t="shared" si="95"/>
        <v>14.748068591882133</v>
      </c>
      <c r="Z338">
        <f t="shared" si="96"/>
        <v>44.133088639270397</v>
      </c>
      <c r="AA338">
        <f t="shared" si="97"/>
        <v>3.2769688871820395</v>
      </c>
      <c r="AB338">
        <f t="shared" si="98"/>
        <v>7.2097610938523289</v>
      </c>
    </row>
    <row r="339" spans="12:28" x14ac:dyDescent="0.25">
      <c r="L339">
        <v>335</v>
      </c>
      <c r="M339">
        <f t="shared" si="103"/>
        <v>167.5</v>
      </c>
      <c r="N339">
        <f t="shared" si="99"/>
        <v>-165189.82924244896</v>
      </c>
      <c r="O339">
        <f t="shared" si="100"/>
        <v>-92336.738340319265</v>
      </c>
      <c r="P339">
        <f t="shared" si="101"/>
        <v>-215.72459707360906</v>
      </c>
      <c r="Q339">
        <f t="shared" si="102"/>
        <v>1843.4343739105889</v>
      </c>
      <c r="R339">
        <f t="shared" si="88"/>
        <v>103.03701457260907</v>
      </c>
      <c r="S339">
        <f t="shared" si="89"/>
        <v>54.353609634374109</v>
      </c>
      <c r="T339">
        <f t="shared" si="90"/>
        <v>209212.12557014756</v>
      </c>
      <c r="U339">
        <f t="shared" si="91"/>
        <v>177631.34444569872</v>
      </c>
      <c r="V339">
        <f t="shared" si="92"/>
        <v>177881.28763263425</v>
      </c>
      <c r="W339">
        <f t="shared" si="93"/>
        <v>83.5639320645965</v>
      </c>
      <c r="X339">
        <f t="shared" si="94"/>
        <v>4.6415096517335774</v>
      </c>
      <c r="Y339">
        <f t="shared" si="95"/>
        <v>14.831572856278999</v>
      </c>
      <c r="Z339">
        <f t="shared" si="96"/>
        <v>43.921637723479343</v>
      </c>
      <c r="AA339">
        <f t="shared" si="97"/>
        <v>3.2715580782200631</v>
      </c>
      <c r="AB339">
        <f t="shared" si="98"/>
        <v>7.1604138326747062</v>
      </c>
    </row>
    <row r="340" spans="12:28" x14ac:dyDescent="0.25">
      <c r="L340">
        <v>336</v>
      </c>
      <c r="M340">
        <f t="shared" si="103"/>
        <v>168</v>
      </c>
      <c r="N340">
        <f t="shared" si="99"/>
        <v>-165284.81191416419</v>
      </c>
      <c r="O340">
        <f t="shared" si="100"/>
        <v>-91408.226952159675</v>
      </c>
      <c r="P340">
        <f t="shared" si="101"/>
        <v>-164.20608978730453</v>
      </c>
      <c r="Q340">
        <f t="shared" si="102"/>
        <v>1870.611178727776</v>
      </c>
      <c r="R340">
        <f t="shared" si="88"/>
        <v>103.6192222616792</v>
      </c>
      <c r="S340">
        <f t="shared" si="89"/>
        <v>54.096381215634707</v>
      </c>
      <c r="T340">
        <f t="shared" si="90"/>
        <v>208866.00429492188</v>
      </c>
      <c r="U340">
        <f t="shared" si="91"/>
        <v>177175.91559383797</v>
      </c>
      <c r="V340">
        <f t="shared" si="92"/>
        <v>177565.30651096159</v>
      </c>
      <c r="W340">
        <f t="shared" si="93"/>
        <v>84.019340572081646</v>
      </c>
      <c r="X340">
        <f t="shared" si="94"/>
        <v>4.6803984925504176</v>
      </c>
      <c r="Y340">
        <f t="shared" si="95"/>
        <v>14.919483197047132</v>
      </c>
      <c r="Z340">
        <f t="shared" si="96"/>
        <v>43.717321298825915</v>
      </c>
      <c r="AA340">
        <f t="shared" si="97"/>
        <v>3.2668997282352938</v>
      </c>
      <c r="AB340">
        <f t="shared" si="98"/>
        <v>7.1121601885735011</v>
      </c>
    </row>
    <row r="341" spans="12:28" x14ac:dyDescent="0.25">
      <c r="L341">
        <v>337</v>
      </c>
      <c r="M341">
        <f t="shared" si="103"/>
        <v>168.5</v>
      </c>
      <c r="N341">
        <f t="shared" si="99"/>
        <v>-165353.96255627513</v>
      </c>
      <c r="O341">
        <f t="shared" si="100"/>
        <v>-90466.159315143843</v>
      </c>
      <c r="P341">
        <f t="shared" si="101"/>
        <v>-112.39647865646494</v>
      </c>
      <c r="Q341">
        <f t="shared" si="102"/>
        <v>1897.6593693355933</v>
      </c>
      <c r="R341">
        <f t="shared" si="88"/>
        <v>104.22970438105772</v>
      </c>
      <c r="S341">
        <f t="shared" si="89"/>
        <v>53.847885554583506</v>
      </c>
      <c r="T341">
        <f t="shared" si="90"/>
        <v>208494.31409440754</v>
      </c>
      <c r="U341">
        <f t="shared" si="91"/>
        <v>176695.28459567588</v>
      </c>
      <c r="V341">
        <f t="shared" si="92"/>
        <v>177224.53134167954</v>
      </c>
      <c r="W341">
        <f t="shared" si="93"/>
        <v>84.496910373530596</v>
      </c>
      <c r="X341">
        <f t="shared" si="94"/>
        <v>4.7208819222420075</v>
      </c>
      <c r="Y341">
        <f t="shared" si="95"/>
        <v>15.011912085285115</v>
      </c>
      <c r="Z341">
        <f t="shared" si="96"/>
        <v>43.519951751275954</v>
      </c>
      <c r="AA341">
        <f t="shared" si="97"/>
        <v>3.2629924012172884</v>
      </c>
      <c r="AB341">
        <f t="shared" si="98"/>
        <v>7.0649414020902617</v>
      </c>
    </row>
    <row r="342" spans="12:28" x14ac:dyDescent="0.25">
      <c r="L342">
        <v>338</v>
      </c>
      <c r="M342">
        <f t="shared" si="103"/>
        <v>169</v>
      </c>
      <c r="N342">
        <f t="shared" si="99"/>
        <v>-165397.13208255573</v>
      </c>
      <c r="O342">
        <f t="shared" si="100"/>
        <v>-89510.598644781727</v>
      </c>
      <c r="P342">
        <f t="shared" si="101"/>
        <v>-60.281626465936078</v>
      </c>
      <c r="Q342">
        <f t="shared" si="102"/>
        <v>1924.5833121128851</v>
      </c>
      <c r="R342">
        <f t="shared" si="88"/>
        <v>104.86919833504604</v>
      </c>
      <c r="S342">
        <f t="shared" si="89"/>
        <v>53.607879381397424</v>
      </c>
      <c r="T342">
        <f t="shared" si="90"/>
        <v>208096.97220438271</v>
      </c>
      <c r="U342">
        <f t="shared" si="91"/>
        <v>176189.34491187311</v>
      </c>
      <c r="V342">
        <f t="shared" si="92"/>
        <v>176858.89655517071</v>
      </c>
      <c r="W342">
        <f t="shared" si="93"/>
        <v>84.997201144914669</v>
      </c>
      <c r="X342">
        <f t="shared" si="94"/>
        <v>4.7630176247857978</v>
      </c>
      <c r="Y342">
        <f t="shared" si="95"/>
        <v>15.108979565345571</v>
      </c>
      <c r="Z342">
        <f t="shared" si="96"/>
        <v>43.329345352331153</v>
      </c>
      <c r="AA342">
        <f t="shared" si="97"/>
        <v>3.2598355167622075</v>
      </c>
      <c r="AB342">
        <f t="shared" si="98"/>
        <v>7.0186985123040655</v>
      </c>
    </row>
    <row r="343" spans="12:28" x14ac:dyDescent="0.25">
      <c r="L343">
        <v>339</v>
      </c>
      <c r="M343">
        <f t="shared" si="103"/>
        <v>169.5</v>
      </c>
      <c r="N343">
        <f t="shared" si="99"/>
        <v>-165414.16424599683</v>
      </c>
      <c r="O343">
        <f t="shared" si="100"/>
        <v>-88541.606003802604</v>
      </c>
      <c r="P343">
        <f t="shared" si="101"/>
        <v>-7.8470272984130602</v>
      </c>
      <c r="Q343">
        <f t="shared" si="102"/>
        <v>1951.3872518035837</v>
      </c>
      <c r="R343">
        <f t="shared" si="88"/>
        <v>105.53848880052901</v>
      </c>
      <c r="S343">
        <f t="shared" si="89"/>
        <v>53.376123211082088</v>
      </c>
      <c r="T343">
        <f t="shared" si="90"/>
        <v>207673.88944403225</v>
      </c>
      <c r="U343">
        <f t="shared" si="91"/>
        <v>175657.98381277866</v>
      </c>
      <c r="V343">
        <f t="shared" si="92"/>
        <v>176468.33116556687</v>
      </c>
      <c r="W343">
        <f t="shared" si="93"/>
        <v>85.520808433437807</v>
      </c>
      <c r="X343">
        <f t="shared" si="94"/>
        <v>4.8068667214433711</v>
      </c>
      <c r="Y343">
        <f t="shared" si="95"/>
        <v>15.210813645647837</v>
      </c>
      <c r="Z343">
        <f t="shared" si="96"/>
        <v>43.145321718753408</v>
      </c>
      <c r="AA343">
        <f t="shared" si="97"/>
        <v>3.2574293503894558</v>
      </c>
      <c r="AB343">
        <f t="shared" si="98"/>
        <v>6.9733721419392252</v>
      </c>
    </row>
    <row r="344" spans="12:28" x14ac:dyDescent="0.25">
      <c r="L344">
        <v>340</v>
      </c>
      <c r="M344">
        <f t="shared" si="103"/>
        <v>170</v>
      </c>
      <c r="N344">
        <f t="shared" si="99"/>
        <v>-165404.89544854595</v>
      </c>
      <c r="O344">
        <f t="shared" si="100"/>
        <v>-87559.240362499419</v>
      </c>
      <c r="P344">
        <f t="shared" si="101"/>
        <v>44.922217101851444</v>
      </c>
      <c r="Q344">
        <f t="shared" si="102"/>
        <v>1978.0753134091246</v>
      </c>
      <c r="R344">
        <f t="shared" si="88"/>
        <v>106.23841023485311</v>
      </c>
      <c r="S344">
        <f t="shared" si="89"/>
        <v>53.152380570252781</v>
      </c>
      <c r="T344">
        <f t="shared" si="90"/>
        <v>207224.97009957366</v>
      </c>
      <c r="U344">
        <f t="shared" si="91"/>
        <v>175101.08223683402</v>
      </c>
      <c r="V344">
        <f t="shared" si="92"/>
        <v>176052.75869989066</v>
      </c>
      <c r="W344">
        <f t="shared" si="93"/>
        <v>86.068365510822005</v>
      </c>
      <c r="X344">
        <f t="shared" si="94"/>
        <v>4.8524940018011193</v>
      </c>
      <c r="Y344">
        <f t="shared" si="95"/>
        <v>15.317550722229983</v>
      </c>
      <c r="Z344">
        <f t="shared" si="96"/>
        <v>42.967703261829406</v>
      </c>
      <c r="AA344">
        <f t="shared" si="97"/>
        <v>3.2557750357643553</v>
      </c>
      <c r="AB344">
        <f t="shared" si="98"/>
        <v>6.9289022726590161</v>
      </c>
    </row>
    <row r="345" spans="12:28" x14ac:dyDescent="0.25">
      <c r="L345">
        <v>341</v>
      </c>
      <c r="M345">
        <f t="shared" si="103"/>
        <v>170.5</v>
      </c>
      <c r="N345">
        <f t="shared" si="99"/>
        <v>-165369.15453871567</v>
      </c>
      <c r="O345">
        <f t="shared" si="100"/>
        <v>-86563.55865822357</v>
      </c>
      <c r="P345">
        <f t="shared" si="101"/>
        <v>98.04142221927799</v>
      </c>
      <c r="Q345">
        <f t="shared" si="102"/>
        <v>2004.651503694251</v>
      </c>
      <c r="R345">
        <f t="shared" si="88"/>
        <v>106.96984959030596</v>
      </c>
      <c r="S345">
        <f t="shared" si="89"/>
        <v>52.936417200222735</v>
      </c>
      <c r="T345">
        <f t="shared" si="90"/>
        <v>206750.11179817098</v>
      </c>
      <c r="U345">
        <f t="shared" si="91"/>
        <v>174518.51463968281</v>
      </c>
      <c r="V345">
        <f t="shared" si="92"/>
        <v>175612.09712115926</v>
      </c>
      <c r="W345">
        <f t="shared" si="93"/>
        <v>86.640545378648071</v>
      </c>
      <c r="X345">
        <f t="shared" si="94"/>
        <v>4.899968174021077</v>
      </c>
      <c r="Y345">
        <f t="shared" si="95"/>
        <v>15.429336037636801</v>
      </c>
      <c r="Z345">
        <f t="shared" si="96"/>
        <v>42.796314622568104</v>
      </c>
      <c r="AA345">
        <f t="shared" si="97"/>
        <v>3.2548745687964931</v>
      </c>
      <c r="AB345">
        <f t="shared" si="98"/>
        <v>6.8852280088581361</v>
      </c>
    </row>
    <row r="346" spans="12:28" x14ac:dyDescent="0.25">
      <c r="L346">
        <v>342</v>
      </c>
      <c r="M346">
        <f t="shared" si="103"/>
        <v>171</v>
      </c>
      <c r="N346">
        <f t="shared" si="99"/>
        <v>-165306.76259640724</v>
      </c>
      <c r="O346">
        <f t="shared" si="100"/>
        <v>-85554.615854226417</v>
      </c>
      <c r="P346">
        <f t="shared" si="101"/>
        <v>151.52634701443097</v>
      </c>
      <c r="Q346">
        <f t="shared" si="102"/>
        <v>2031.1197122943624</v>
      </c>
      <c r="R346">
        <f t="shared" si="88"/>
        <v>107.73374925210109</v>
      </c>
      <c r="S346">
        <f t="shared" si="89"/>
        <v>52.728000230661387</v>
      </c>
      <c r="T346">
        <f t="shared" si="90"/>
        <v>206249.20537172438</v>
      </c>
      <c r="U346">
        <f t="shared" si="91"/>
        <v>173910.14883352103</v>
      </c>
      <c r="V346">
        <f t="shared" si="92"/>
        <v>175146.25874530786</v>
      </c>
      <c r="W346">
        <f t="shared" si="93"/>
        <v>87.238062937934515</v>
      </c>
      <c r="X346">
        <f t="shared" si="94"/>
        <v>4.9493621361631481</v>
      </c>
      <c r="Y346">
        <f t="shared" si="95"/>
        <v>15.546324178003426</v>
      </c>
      <c r="Z346">
        <f t="shared" si="96"/>
        <v>42.630982088964792</v>
      </c>
      <c r="AA346">
        <f t="shared" si="97"/>
        <v>3.2547308135830466</v>
      </c>
      <c r="AB346">
        <f t="shared" si="98"/>
        <v>6.8422873281135468</v>
      </c>
    </row>
    <row r="347" spans="12:28" x14ac:dyDescent="0.25">
      <c r="L347">
        <v>343</v>
      </c>
      <c r="M347">
        <f t="shared" si="103"/>
        <v>171.5</v>
      </c>
      <c r="N347">
        <f t="shared" si="99"/>
        <v>-165217.53270424352</v>
      </c>
      <c r="O347">
        <f t="shared" si="100"/>
        <v>-84532.464998050404</v>
      </c>
      <c r="P347">
        <f t="shared" si="101"/>
        <v>205.3932216404815</v>
      </c>
      <c r="Q347">
        <f t="shared" si="102"/>
        <v>2057.483712409693</v>
      </c>
      <c r="R347">
        <f t="shared" si="88"/>
        <v>108.53111021854622</v>
      </c>
      <c r="S347">
        <f t="shared" si="89"/>
        <v>52.526897317619536</v>
      </c>
      <c r="T347">
        <f t="shared" si="90"/>
        <v>205722.13471008567</v>
      </c>
      <c r="U347">
        <f t="shared" si="91"/>
        <v>173275.84581618887</v>
      </c>
      <c r="V347">
        <f t="shared" si="92"/>
        <v>174655.15015177894</v>
      </c>
      <c r="W347">
        <f t="shared" si="93"/>
        <v>87.86167733641031</v>
      </c>
      <c r="X347">
        <f t="shared" si="94"/>
        <v>5.0007532706471505</v>
      </c>
      <c r="Y347">
        <f t="shared" si="95"/>
        <v>15.668679611488754</v>
      </c>
      <c r="Z347">
        <f t="shared" si="96"/>
        <v>42.471532991174143</v>
      </c>
      <c r="AA347">
        <f t="shared" si="97"/>
        <v>3.2553475101668887</v>
      </c>
      <c r="AB347">
        <f t="shared" si="98"/>
        <v>6.8000168162785082</v>
      </c>
    </row>
    <row r="348" spans="12:28" x14ac:dyDescent="0.25">
      <c r="L348">
        <v>344</v>
      </c>
      <c r="M348">
        <f t="shared" si="103"/>
        <v>172</v>
      </c>
      <c r="N348">
        <f t="shared" si="99"/>
        <v>-165101.26970464597</v>
      </c>
      <c r="O348">
        <f t="shared" si="100"/>
        <v>-83497.157279680861</v>
      </c>
      <c r="P348">
        <f t="shared" si="101"/>
        <v>259.65877674975462</v>
      </c>
      <c r="Q348">
        <f t="shared" si="102"/>
        <v>2083.7471610685029</v>
      </c>
      <c r="R348">
        <f t="shared" si="88"/>
        <v>109.36299554401262</v>
      </c>
      <c r="S348">
        <f t="shared" si="89"/>
        <v>52.33287573915797</v>
      </c>
      <c r="T348">
        <f t="shared" si="90"/>
        <v>205168.77660320699</v>
      </c>
      <c r="U348">
        <f t="shared" si="91"/>
        <v>172615.45958946375</v>
      </c>
      <c r="V348">
        <f t="shared" si="92"/>
        <v>174138.67208761277</v>
      </c>
      <c r="W348">
        <f t="shared" si="93"/>
        <v>88.512194508316966</v>
      </c>
      <c r="X348">
        <f t="shared" si="94"/>
        <v>5.0542237641530763</v>
      </c>
      <c r="Y348">
        <f t="shared" si="95"/>
        <v>15.796577271542567</v>
      </c>
      <c r="Z348">
        <f t="shared" si="96"/>
        <v>42.317795070076848</v>
      </c>
      <c r="AA348">
        <f t="shared" si="97"/>
        <v>3.2567292840759352</v>
      </c>
      <c r="AB348">
        <f t="shared" si="98"/>
        <v>6.758351385005188</v>
      </c>
    </row>
    <row r="349" spans="12:28" x14ac:dyDescent="0.25">
      <c r="L349">
        <v>345</v>
      </c>
      <c r="M349">
        <f t="shared" si="103"/>
        <v>172.5</v>
      </c>
      <c r="N349">
        <f t="shared" si="99"/>
        <v>-164957.7699418281</v>
      </c>
      <c r="O349">
        <f t="shared" si="100"/>
        <v>-82448.742089679203</v>
      </c>
      <c r="P349">
        <f t="shared" si="101"/>
        <v>314.34027452176093</v>
      </c>
      <c r="Q349">
        <f t="shared" si="102"/>
        <v>2109.913598938082</v>
      </c>
      <c r="R349">
        <f t="shared" si="88"/>
        <v>110.23053406750122</v>
      </c>
      <c r="S349">
        <f t="shared" si="89"/>
        <v>52.145701441177998</v>
      </c>
      <c r="T349">
        <f t="shared" si="90"/>
        <v>204589.00057168625</v>
      </c>
      <c r="U349">
        <f t="shared" si="91"/>
        <v>171928.83696597259</v>
      </c>
      <c r="V349">
        <f t="shared" si="92"/>
        <v>173596.71936486263</v>
      </c>
      <c r="W349">
        <f t="shared" si="93"/>
        <v>89.190469923136504</v>
      </c>
      <c r="X349">
        <f t="shared" si="94"/>
        <v>5.1098609555197534</v>
      </c>
      <c r="Y349">
        <f t="shared" si="95"/>
        <v>15.930203188844972</v>
      </c>
      <c r="Z349">
        <f t="shared" si="96"/>
        <v>42.169595814324211</v>
      </c>
      <c r="AA349">
        <f t="shared" si="97"/>
        <v>3.2588816576065067</v>
      </c>
      <c r="AB349">
        <f t="shared" si="98"/>
        <v>6.7172239692472786</v>
      </c>
    </row>
    <row r="350" spans="12:28" x14ac:dyDescent="0.25">
      <c r="L350">
        <v>346</v>
      </c>
      <c r="M350">
        <f t="shared" si="103"/>
        <v>173</v>
      </c>
      <c r="N350">
        <f t="shared" si="99"/>
        <v>-164786.82098780875</v>
      </c>
      <c r="O350">
        <f t="shared" si="100"/>
        <v>-81387.267077530007</v>
      </c>
      <c r="P350">
        <f t="shared" si="101"/>
        <v>369.45554155551156</v>
      </c>
      <c r="Q350">
        <f t="shared" si="102"/>
        <v>2135.9864496586711</v>
      </c>
      <c r="R350">
        <f t="shared" si="88"/>
        <v>111.13492445201732</v>
      </c>
      <c r="S350">
        <f t="shared" si="89"/>
        <v>51.965138025310146</v>
      </c>
      <c r="T350">
        <f t="shared" si="90"/>
        <v>203982.66868512379</v>
      </c>
      <c r="U350">
        <f t="shared" si="91"/>
        <v>171215.81736409629</v>
      </c>
      <c r="V350">
        <f t="shared" si="92"/>
        <v>173029.18075114768</v>
      </c>
      <c r="W350">
        <f t="shared" si="93"/>
        <v>89.897411561353252</v>
      </c>
      <c r="X350">
        <f t="shared" si="94"/>
        <v>5.1677577144960711</v>
      </c>
      <c r="Y350">
        <f t="shared" si="95"/>
        <v>16.06975517616798</v>
      </c>
      <c r="Z350">
        <f t="shared" si="96"/>
        <v>42.026761760470002</v>
      </c>
      <c r="AA350">
        <f t="shared" si="97"/>
        <v>3.2618110628064971</v>
      </c>
      <c r="AB350">
        <f t="shared" si="98"/>
        <v>6.6765652020336503</v>
      </c>
    </row>
    <row r="351" spans="12:28" x14ac:dyDescent="0.25">
      <c r="L351">
        <v>347</v>
      </c>
      <c r="M351">
        <f t="shared" si="103"/>
        <v>173.5</v>
      </c>
      <c r="N351">
        <f t="shared" si="99"/>
        <v>-164588.20135147448</v>
      </c>
      <c r="O351">
        <f t="shared" si="100"/>
        <v>-80312.778210447505</v>
      </c>
      <c r="P351">
        <f t="shared" si="101"/>
        <v>425.02300378152023</v>
      </c>
      <c r="Q351">
        <f t="shared" si="102"/>
        <v>2161.969018671326</v>
      </c>
      <c r="R351">
        <f t="shared" si="88"/>
        <v>112.07743956266079</v>
      </c>
      <c r="S351">
        <f t="shared" si="89"/>
        <v>51.790945669860442</v>
      </c>
      <c r="T351">
        <f t="shared" si="90"/>
        <v>203349.63536765316</v>
      </c>
      <c r="U351">
        <f t="shared" si="91"/>
        <v>170476.23259018839</v>
      </c>
      <c r="V351">
        <f t="shared" si="92"/>
        <v>172435.93885314587</v>
      </c>
      <c r="W351">
        <f t="shared" si="93"/>
        <v>90.633983137283238</v>
      </c>
      <c r="X351">
        <f t="shared" si="94"/>
        <v>5.2280128545323272</v>
      </c>
      <c r="Y351">
        <f t="shared" si="95"/>
        <v>16.21544357084522</v>
      </c>
      <c r="Z351">
        <f t="shared" si="96"/>
        <v>41.889117750259281</v>
      </c>
      <c r="AA351">
        <f t="shared" si="97"/>
        <v>3.2655248561049461</v>
      </c>
      <c r="AB351">
        <f t="shared" si="98"/>
        <v>6.6363030634962152</v>
      </c>
    </row>
    <row r="352" spans="12:28" x14ac:dyDescent="0.25">
      <c r="L352">
        <v>348</v>
      </c>
      <c r="M352">
        <f t="shared" si="103"/>
        <v>174</v>
      </c>
      <c r="N352">
        <f t="shared" si="99"/>
        <v>-164361.68016963839</v>
      </c>
      <c r="O352">
        <f t="shared" si="100"/>
        <v>-79225.319832903115</v>
      </c>
      <c r="P352">
        <f t="shared" si="101"/>
        <v>481.0617235628506</v>
      </c>
      <c r="Q352">
        <f t="shared" si="102"/>
        <v>2187.8644915062564</v>
      </c>
      <c r="R352">
        <f t="shared" si="88"/>
        <v>113.0594312143663</v>
      </c>
      <c r="S352">
        <f t="shared" si="89"/>
        <v>51.622879973835062</v>
      </c>
      <c r="T352">
        <f t="shared" si="90"/>
        <v>202689.74718995253</v>
      </c>
      <c r="U352">
        <f t="shared" si="91"/>
        <v>169709.90660737758</v>
      </c>
      <c r="V352">
        <f t="shared" si="92"/>
        <v>171816.86999281769</v>
      </c>
      <c r="W352">
        <f t="shared" si="93"/>
        <v>91.401207591145095</v>
      </c>
      <c r="X352">
        <f t="shared" si="94"/>
        <v>5.2907315831766235</v>
      </c>
      <c r="Y352">
        <f t="shared" si="95"/>
        <v>16.367492040044578</v>
      </c>
      <c r="Z352">
        <f t="shared" si="96"/>
        <v>41.756486138520025</v>
      </c>
      <c r="AA352">
        <f t="shared" si="97"/>
        <v>3.2700313345221068</v>
      </c>
      <c r="AB352">
        <f t="shared" si="98"/>
        <v>6.5963625007929299</v>
      </c>
    </row>
    <row r="353" spans="12:28" x14ac:dyDescent="0.25">
      <c r="L353">
        <v>349</v>
      </c>
      <c r="M353">
        <f t="shared" si="103"/>
        <v>174.5</v>
      </c>
      <c r="N353">
        <f t="shared" si="99"/>
        <v>-164107.01687895518</v>
      </c>
      <c r="O353">
        <f t="shared" si="100"/>
        <v>-78124.934727153261</v>
      </c>
      <c r="P353">
        <f t="shared" si="101"/>
        <v>537.59143917003371</v>
      </c>
      <c r="Q353">
        <f t="shared" si="102"/>
        <v>2213.6759314931737</v>
      </c>
      <c r="R353">
        <f t="shared" si="88"/>
        <v>114.08233532359529</v>
      </c>
      <c r="S353">
        <f t="shared" si="89"/>
        <v>51.460690712929384</v>
      </c>
      <c r="T353">
        <f t="shared" si="90"/>
        <v>202002.84264698203</v>
      </c>
      <c r="U353">
        <f t="shared" si="91"/>
        <v>168916.65529016522</v>
      </c>
      <c r="V353">
        <f t="shared" si="92"/>
        <v>171171.84407614323</v>
      </c>
      <c r="W353">
        <f t="shared" si="93"/>
        <v>92.200170874943268</v>
      </c>
      <c r="X353">
        <f t="shared" si="94"/>
        <v>5.3560259940694097</v>
      </c>
      <c r="Y353">
        <f t="shared" si="95"/>
        <v>16.526138454582608</v>
      </c>
      <c r="Z353">
        <f t="shared" si="96"/>
        <v>41.628685944387307</v>
      </c>
      <c r="AA353">
        <f t="shared" si="97"/>
        <v>3.2753397533776294</v>
      </c>
      <c r="AB353">
        <f t="shared" si="98"/>
        <v>6.5566650151644463</v>
      </c>
    </row>
    <row r="354" spans="12:28" x14ac:dyDescent="0.25">
      <c r="L354">
        <v>350</v>
      </c>
      <c r="M354">
        <f t="shared" si="103"/>
        <v>175</v>
      </c>
      <c r="N354">
        <f t="shared" si="99"/>
        <v>-163823.96086745473</v>
      </c>
      <c r="O354">
        <f t="shared" si="100"/>
        <v>-77011.664175067563</v>
      </c>
      <c r="P354">
        <f t="shared" si="101"/>
        <v>594.63260683183137</v>
      </c>
      <c r="Q354">
        <f t="shared" si="102"/>
        <v>2239.4062768496383</v>
      </c>
      <c r="R354">
        <f t="shared" si="88"/>
        <v>115.14767750205924</v>
      </c>
      <c r="S354">
        <f t="shared" si="89"/>
        <v>51.304120495062101</v>
      </c>
      <c r="T354">
        <f t="shared" si="90"/>
        <v>201288.75192062667</v>
      </c>
      <c r="U354">
        <f t="shared" si="91"/>
        <v>168096.28616396582</v>
      </c>
      <c r="V354">
        <f t="shared" si="92"/>
        <v>170500.72445414463</v>
      </c>
      <c r="W354">
        <f t="shared" si="93"/>
        <v>93.032026059394781</v>
      </c>
      <c r="X354">
        <f t="shared" si="94"/>
        <v>5.4240156050155273</v>
      </c>
      <c r="Y354">
        <f t="shared" si="95"/>
        <v>16.691635837648931</v>
      </c>
      <c r="Z354">
        <f t="shared" si="96"/>
        <v>41.505531937757453</v>
      </c>
      <c r="AA354">
        <f t="shared" si="97"/>
        <v>3.2814603453932056</v>
      </c>
      <c r="AB354">
        <f t="shared" si="98"/>
        <v>6.51712821191144</v>
      </c>
    </row>
    <row r="355" spans="12:28" x14ac:dyDescent="0.25">
      <c r="L355">
        <v>351</v>
      </c>
      <c r="M355">
        <f t="shared" si="103"/>
        <v>175.5</v>
      </c>
      <c r="N355">
        <f t="shared" si="99"/>
        <v>-163512.25110435105</v>
      </c>
      <c r="O355">
        <f t="shared" si="100"/>
        <v>-75885.548021580849</v>
      </c>
      <c r="P355">
        <f t="shared" si="101"/>
        <v>652.20644558286097</v>
      </c>
      <c r="Q355">
        <f t="shared" si="102"/>
        <v>2265.0583370971694</v>
      </c>
      <c r="R355">
        <f t="shared" si="88"/>
        <v>116.25707913482697</v>
      </c>
      <c r="S355">
        <f t="shared" si="89"/>
        <v>51.152903301551554</v>
      </c>
      <c r="T355">
        <f t="shared" si="90"/>
        <v>200547.2966263516</v>
      </c>
      <c r="U355">
        <f t="shared" si="91"/>
        <v>167248.59812867065</v>
      </c>
      <c r="V355">
        <f t="shared" si="92"/>
        <v>169803.36777595745</v>
      </c>
      <c r="W355">
        <f t="shared" si="93"/>
        <v>93.89799779216537</v>
      </c>
      <c r="X355">
        <f t="shared" si="94"/>
        <v>5.4948279471663408</v>
      </c>
      <c r="Y355">
        <f t="shared" si="95"/>
        <v>16.86425339549525</v>
      </c>
      <c r="Z355">
        <f t="shared" si="96"/>
        <v>41.386833651938176</v>
      </c>
      <c r="AA355">
        <f t="shared" si="97"/>
        <v>3.2884043410588752</v>
      </c>
      <c r="AB355">
        <f t="shared" si="98"/>
        <v>6.4776653085544966</v>
      </c>
    </row>
    <row r="356" spans="12:28" x14ac:dyDescent="0.25">
      <c r="L356">
        <v>352</v>
      </c>
      <c r="M356">
        <f t="shared" si="103"/>
        <v>176</v>
      </c>
      <c r="N356">
        <f t="shared" si="99"/>
        <v>-163171.61574666775</v>
      </c>
      <c r="O356">
        <f t="shared" si="100"/>
        <v>-74746.624740119572</v>
      </c>
      <c r="P356">
        <f t="shared" si="101"/>
        <v>710.33498515027441</v>
      </c>
      <c r="Q356">
        <f t="shared" si="102"/>
        <v>2290.6347887479451</v>
      </c>
      <c r="R356">
        <f t="shared" si="88"/>
        <v>117.41226398991496</v>
      </c>
      <c r="S356">
        <f t="shared" si="89"/>
        <v>51.006762898295818</v>
      </c>
      <c r="T356">
        <f t="shared" si="90"/>
        <v>199778.28954289891</v>
      </c>
      <c r="U356">
        <f t="shared" si="91"/>
        <v>166373.38116523967</v>
      </c>
      <c r="V356">
        <f t="shared" si="92"/>
        <v>169079.62383370797</v>
      </c>
      <c r="W356">
        <f t="shared" si="93"/>
        <v>94.799387141018045</v>
      </c>
      <c r="X356">
        <f t="shared" si="94"/>
        <v>5.5685992109768092</v>
      </c>
      <c r="Y356">
        <f t="shared" si="95"/>
        <v>17.0442776379201</v>
      </c>
      <c r="Z356">
        <f t="shared" si="96"/>
        <v>41.272394312357385</v>
      </c>
      <c r="AA356">
        <f t="shared" si="97"/>
        <v>3.2961839900990384</v>
      </c>
      <c r="AB356">
        <f t="shared" si="98"/>
        <v>6.4381845958393926</v>
      </c>
    </row>
    <row r="357" spans="12:28" x14ac:dyDescent="0.25">
      <c r="L357">
        <v>353</v>
      </c>
      <c r="M357">
        <f t="shared" si="103"/>
        <v>176.5</v>
      </c>
      <c r="N357">
        <f t="shared" si="99"/>
        <v>-162801.77172109389</v>
      </c>
      <c r="O357">
        <f t="shared" si="100"/>
        <v>-73594.931500383318</v>
      </c>
      <c r="P357">
        <f t="shared" si="101"/>
        <v>769.04111714523185</v>
      </c>
      <c r="Q357">
        <f t="shared" si="102"/>
        <v>2316.1381701970931</v>
      </c>
      <c r="R357">
        <f t="shared" si="88"/>
        <v>118.61506541186212</v>
      </c>
      <c r="S357">
        <f t="shared" si="89"/>
        <v>50.865411099348279</v>
      </c>
      <c r="T357">
        <f t="shared" si="90"/>
        <v>198981.53432396904</v>
      </c>
      <c r="U357">
        <f t="shared" si="91"/>
        <v>165470.41602424643</v>
      </c>
      <c r="V357">
        <f t="shared" si="92"/>
        <v>168329.33539894596</v>
      </c>
      <c r="W357">
        <f t="shared" si="93"/>
        <v>95.737576859283948</v>
      </c>
      <c r="X357">
        <f t="shared" si="94"/>
        <v>5.6454749553224941</v>
      </c>
      <c r="Y357">
        <f t="shared" si="95"/>
        <v>17.232013597255673</v>
      </c>
      <c r="Z357">
        <f t="shared" si="96"/>
        <v>41.162009669952447</v>
      </c>
      <c r="AA357">
        <f t="shared" si="97"/>
        <v>3.3048125838315636</v>
      </c>
      <c r="AB357">
        <f t="shared" si="98"/>
        <v>6.3985888455642659</v>
      </c>
    </row>
    <row r="358" spans="12:28" x14ac:dyDescent="0.25">
      <c r="L358">
        <v>354</v>
      </c>
      <c r="M358">
        <f t="shared" si="103"/>
        <v>177</v>
      </c>
      <c r="N358">
        <f t="shared" si="99"/>
        <v>-162402.42427934479</v>
      </c>
      <c r="O358">
        <f t="shared" si="100"/>
        <v>-72430.504238897352</v>
      </c>
      <c r="P358">
        <f t="shared" si="101"/>
        <v>828.34864985116292</v>
      </c>
      <c r="Q358">
        <f t="shared" si="102"/>
        <v>2341.5708757467673</v>
      </c>
      <c r="R358">
        <f t="shared" si="88"/>
        <v>119.86743415785705</v>
      </c>
      <c r="S358">
        <f t="shared" si="89"/>
        <v>50.728545862997834</v>
      </c>
      <c r="T358">
        <f t="shared" si="90"/>
        <v>198156.82519073627</v>
      </c>
      <c r="U358">
        <f t="shared" si="91"/>
        <v>164539.47389521275</v>
      </c>
      <c r="V358">
        <f t="shared" si="92"/>
        <v>167552.33805038017</v>
      </c>
      <c r="W358">
        <f t="shared" si="93"/>
        <v>96.714037115341569</v>
      </c>
      <c r="X358">
        <f t="shared" si="94"/>
        <v>5.7256108869865994</v>
      </c>
      <c r="Y358">
        <f t="shared" si="95"/>
        <v>17.427786155528871</v>
      </c>
      <c r="Z358">
        <f t="shared" si="96"/>
        <v>41.055466726427383</v>
      </c>
      <c r="AA358">
        <f t="shared" si="97"/>
        <v>3.3143044781610742</v>
      </c>
      <c r="AB358">
        <f t="shared" si="98"/>
        <v>6.358774658409371</v>
      </c>
    </row>
    <row r="359" spans="12:28" x14ac:dyDescent="0.25">
      <c r="L359">
        <v>355</v>
      </c>
      <c r="M359">
        <f t="shared" si="103"/>
        <v>177.5</v>
      </c>
      <c r="N359">
        <f t="shared" si="99"/>
        <v>-161973.26652514949</v>
      </c>
      <c r="O359">
        <f t="shared" si="100"/>
        <v>-71253.377732791094</v>
      </c>
      <c r="P359">
        <f t="shared" si="101"/>
        <v>888.28236693009148</v>
      </c>
      <c r="Q359">
        <f t="shared" si="102"/>
        <v>2366.9351486782662</v>
      </c>
      <c r="R359">
        <f t="shared" si="88"/>
        <v>121.17144694182394</v>
      </c>
      <c r="S359">
        <f t="shared" si="89"/>
        <v>50.595849197824627</v>
      </c>
      <c r="T359">
        <f t="shared" si="90"/>
        <v>197303.9466039461</v>
      </c>
      <c r="U359">
        <f t="shared" si="91"/>
        <v>163580.31605547399</v>
      </c>
      <c r="V359">
        <f t="shared" si="92"/>
        <v>166748.45999265989</v>
      </c>
      <c r="W359">
        <f t="shared" si="93"/>
        <v>97.730331732576929</v>
      </c>
      <c r="X359">
        <f t="shared" si="94"/>
        <v>5.8091737186733781</v>
      </c>
      <c r="Y359">
        <f t="shared" si="95"/>
        <v>17.631941490573645</v>
      </c>
      <c r="Z359">
        <f t="shared" si="96"/>
        <v>40.952542336899981</v>
      </c>
      <c r="AA359">
        <f t="shared" si="97"/>
        <v>3.3246751168830562</v>
      </c>
      <c r="AB359">
        <f t="shared" si="98"/>
        <v>6.3186317440415909</v>
      </c>
    </row>
    <row r="360" spans="12:28" x14ac:dyDescent="0.25">
      <c r="L360">
        <v>356</v>
      </c>
      <c r="M360">
        <f t="shared" si="103"/>
        <v>178</v>
      </c>
      <c r="N360">
        <f t="shared" si="99"/>
        <v>-161513.97891081672</v>
      </c>
      <c r="O360">
        <f t="shared" si="100"/>
        <v>-70063.585677302239</v>
      </c>
      <c r="P360">
        <f t="shared" si="101"/>
        <v>948.86809040100343</v>
      </c>
      <c r="Q360">
        <f t="shared" si="102"/>
        <v>2392.2330732771784</v>
      </c>
      <c r="R360">
        <f t="shared" si="88"/>
        <v>122.52931575966488</v>
      </c>
      <c r="S360">
        <f t="shared" si="89"/>
        <v>50.466984853178772</v>
      </c>
      <c r="T360">
        <f t="shared" si="90"/>
        <v>196422.67291422881</v>
      </c>
      <c r="U360">
        <f t="shared" si="91"/>
        <v>162592.69349721036</v>
      </c>
      <c r="V360">
        <f t="shared" si="92"/>
        <v>165917.52186594755</v>
      </c>
      <c r="W360">
        <f t="shared" si="93"/>
        <v>98.788124991772179</v>
      </c>
      <c r="X360">
        <f t="shared" si="94"/>
        <v>5.8963421147908779</v>
      </c>
      <c r="Y360">
        <f t="shared" si="95"/>
        <v>17.844848653101828</v>
      </c>
      <c r="Z360">
        <f t="shared" si="96"/>
        <v>40.853001673569935</v>
      </c>
      <c r="AA360">
        <f t="shared" si="97"/>
        <v>3.3359410548957511</v>
      </c>
      <c r="AB360">
        <f t="shared" si="98"/>
        <v>6.2780421247130924</v>
      </c>
    </row>
    <row r="361" spans="12:28" x14ac:dyDescent="0.25">
      <c r="L361">
        <v>357</v>
      </c>
      <c r="M361">
        <f t="shared" si="103"/>
        <v>178.5</v>
      </c>
      <c r="N361">
        <f t="shared" si="99"/>
        <v>-161024.22870114626</v>
      </c>
      <c r="O361">
        <f t="shared" si="100"/>
        <v>-68861.160767557012</v>
      </c>
      <c r="P361">
        <f t="shared" si="101"/>
        <v>1010.1327482808358</v>
      </c>
      <c r="Q361">
        <f t="shared" si="102"/>
        <v>2417.4665657037676</v>
      </c>
      <c r="R361">
        <f t="shared" si="88"/>
        <v>123.94339807761975</v>
      </c>
      <c r="S361">
        <f t="shared" si="89"/>
        <v>50.341595765005501</v>
      </c>
      <c r="T361">
        <f t="shared" si="90"/>
        <v>195512.76798914134</v>
      </c>
      <c r="U361">
        <f t="shared" si="91"/>
        <v>161576.34653116672</v>
      </c>
      <c r="V361">
        <f t="shared" si="92"/>
        <v>165059.33654603187</v>
      </c>
      <c r="W361">
        <f t="shared" si="93"/>
        <v>99.889189053995864</v>
      </c>
      <c r="X361">
        <f t="shared" si="94"/>
        <v>5.9873077354961231</v>
      </c>
      <c r="Y361">
        <f t="shared" si="95"/>
        <v>18.066901288127763</v>
      </c>
      <c r="Z361">
        <f t="shared" si="96"/>
        <v>40.756596531828599</v>
      </c>
      <c r="AA361">
        <f t="shared" si="97"/>
        <v>3.3481199808183009</v>
      </c>
      <c r="AB361">
        <f t="shared" si="98"/>
        <v>6.2368792523585999</v>
      </c>
    </row>
    <row r="362" spans="12:28" x14ac:dyDescent="0.25">
      <c r="L362">
        <v>358</v>
      </c>
      <c r="M362">
        <f t="shared" si="103"/>
        <v>179</v>
      </c>
      <c r="N362">
        <f t="shared" si="99"/>
        <v>-160503.66940224616</v>
      </c>
      <c r="O362">
        <f t="shared" si="100"/>
        <v>-67646.134785234506</v>
      </c>
      <c r="P362">
        <f t="shared" si="101"/>
        <v>1072.1044473196457</v>
      </c>
      <c r="Q362">
        <f t="shared" si="102"/>
        <v>2442.6373635862706</v>
      </c>
      <c r="R362">
        <f t="shared" si="88"/>
        <v>125.41620797571844</v>
      </c>
      <c r="S362">
        <f t="shared" si="89"/>
        <v>50.21930122388531</v>
      </c>
      <c r="T362">
        <f t="shared" si="90"/>
        <v>194573.98481531348</v>
      </c>
      <c r="U362">
        <f t="shared" si="91"/>
        <v>160531.00436545737</v>
      </c>
      <c r="V362">
        <f t="shared" si="92"/>
        <v>164173.70893473821</v>
      </c>
      <c r="W362">
        <f t="shared" si="93"/>
        <v>101.03541206906436</v>
      </c>
      <c r="X362">
        <f t="shared" si="94"/>
        <v>6.0822763909390218</v>
      </c>
      <c r="Y362">
        <f t="shared" si="95"/>
        <v>18.298519515715043</v>
      </c>
      <c r="Z362">
        <f t="shared" si="96"/>
        <v>40.663063457698449</v>
      </c>
      <c r="AA362">
        <f t="shared" si="97"/>
        <v>3.3612307383934494</v>
      </c>
      <c r="AB362">
        <f t="shared" si="98"/>
        <v>6.1950070277934115</v>
      </c>
    </row>
    <row r="363" spans="12:28" x14ac:dyDescent="0.25">
      <c r="L363">
        <v>359</v>
      </c>
      <c r="M363">
        <f t="shared" si="103"/>
        <v>179.5</v>
      </c>
      <c r="N363">
        <f t="shared" si="99"/>
        <v>-159951.94015258938</v>
      </c>
      <c r="O363">
        <f t="shared" si="100"/>
        <v>-66418.53869078838</v>
      </c>
      <c r="P363">
        <f t="shared" si="101"/>
        <v>1134.8125513075049</v>
      </c>
      <c r="Q363">
        <f t="shared" si="102"/>
        <v>2467.747014198213</v>
      </c>
      <c r="R363">
        <f t="shared" si="88"/>
        <v>126.95042834964649</v>
      </c>
      <c r="S363">
        <f t="shared" si="89"/>
        <v>50.099693727439259</v>
      </c>
      <c r="T363">
        <f t="shared" si="90"/>
        <v>193606.06507392463</v>
      </c>
      <c r="U363">
        <f t="shared" si="91"/>
        <v>159456.38465771597</v>
      </c>
      <c r="V363">
        <f t="shared" si="92"/>
        <v>163260.43574040756</v>
      </c>
      <c r="W363">
        <f t="shared" si="93"/>
        <v>102.22880704256276</v>
      </c>
      <c r="X363">
        <f t="shared" si="94"/>
        <v>6.1814693193083672</v>
      </c>
      <c r="Y363">
        <f t="shared" si="95"/>
        <v>18.54015198777536</v>
      </c>
      <c r="Z363">
        <f t="shared" si="96"/>
        <v>40.572121672550651</v>
      </c>
      <c r="AA363">
        <f t="shared" si="97"/>
        <v>3.3752933459047005</v>
      </c>
      <c r="AB363">
        <f t="shared" si="98"/>
        <v>6.1522787089839079</v>
      </c>
    </row>
    <row r="364" spans="12:28" x14ac:dyDescent="0.25">
      <c r="L364">
        <v>360</v>
      </c>
      <c r="M364">
        <f t="shared" si="103"/>
        <v>180</v>
      </c>
      <c r="N364">
        <f t="shared" si="99"/>
        <v>-159368.66507339192</v>
      </c>
      <c r="O364">
        <f t="shared" si="100"/>
        <v>-65178.40272197334</v>
      </c>
      <c r="P364">
        <f t="shared" si="101"/>
        <v>1198.2877654823283</v>
      </c>
      <c r="Q364">
        <f t="shared" si="102"/>
        <v>2492.7968610619328</v>
      </c>
      <c r="R364">
        <f t="shared" si="88"/>
        <v>128.54892428730801</v>
      </c>
      <c r="S364">
        <f t="shared" si="89"/>
        <v>49.98233547377901</v>
      </c>
      <c r="T364">
        <f t="shared" si="90"/>
        <v>192608.7386875739</v>
      </c>
      <c r="U364">
        <f t="shared" si="91"/>
        <v>158352.19303870251</v>
      </c>
      <c r="V364">
        <f t="shared" si="92"/>
        <v>162319.30524823471</v>
      </c>
      <c r="W364">
        <f t="shared" si="93"/>
        <v>103.47152154343166</v>
      </c>
      <c r="X364">
        <f t="shared" si="94"/>
        <v>6.285124604215035</v>
      </c>
      <c r="Y364">
        <f t="shared" si="95"/>
        <v>18.792278139661303</v>
      </c>
      <c r="Z364">
        <f t="shared" si="96"/>
        <v>40.483470767645663</v>
      </c>
      <c r="AA364">
        <f t="shared" si="97"/>
        <v>3.3903290126560259</v>
      </c>
      <c r="AB364">
        <f t="shared" si="98"/>
        <v>6.1085356934773243</v>
      </c>
    </row>
    <row r="365" spans="12:28" x14ac:dyDescent="0.25">
      <c r="L365">
        <v>361</v>
      </c>
      <c r="M365">
        <f t="shared" si="103"/>
        <v>180.5</v>
      </c>
      <c r="N365">
        <f t="shared" si="99"/>
        <v>-158753.45257511485</v>
      </c>
      <c r="O365">
        <f t="shared" si="100"/>
        <v>-63925.756499508156</v>
      </c>
      <c r="P365">
        <f t="shared" si="101"/>
        <v>1262.5622276259824</v>
      </c>
      <c r="Q365">
        <f t="shared" si="102"/>
        <v>2517.7880287988223</v>
      </c>
      <c r="R365">
        <f t="shared" si="88"/>
        <v>130.21475775113103</v>
      </c>
      <c r="S365">
        <f t="shared" si="89"/>
        <v>49.866754446304135</v>
      </c>
      <c r="T365">
        <f t="shared" si="90"/>
        <v>191581.72333642197</v>
      </c>
      <c r="U365">
        <f t="shared" si="91"/>
        <v>157218.12260531296</v>
      </c>
      <c r="V365">
        <f t="shared" si="92"/>
        <v>161350.09708028455</v>
      </c>
      <c r="W365">
        <f t="shared" si="93"/>
        <v>104.76584834438866</v>
      </c>
      <c r="X365">
        <f t="shared" si="94"/>
        <v>6.3934987491902984</v>
      </c>
      <c r="Y365">
        <f t="shared" si="95"/>
        <v>19.055410657552084</v>
      </c>
      <c r="Z365">
        <f t="shared" si="96"/>
        <v>40.396788137086943</v>
      </c>
      <c r="AA365">
        <f t="shared" si="97"/>
        <v>3.4063601513388204</v>
      </c>
      <c r="AB365">
        <f t="shared" si="98"/>
        <v>6.0636061578783664</v>
      </c>
    </row>
    <row r="366" spans="12:28" x14ac:dyDescent="0.25">
      <c r="L366">
        <v>362</v>
      </c>
      <c r="M366">
        <f t="shared" si="103"/>
        <v>181</v>
      </c>
      <c r="N366">
        <f t="shared" si="99"/>
        <v>-158105.89461658295</v>
      </c>
      <c r="O366">
        <f t="shared" si="100"/>
        <v>-62660.629140802957</v>
      </c>
      <c r="P366">
        <f t="shared" si="101"/>
        <v>1327.6696065015478</v>
      </c>
      <c r="Q366">
        <f t="shared" si="102"/>
        <v>2542.7214060219744</v>
      </c>
      <c r="R366">
        <f t="shared" si="88"/>
        <v>131.95120371409922</v>
      </c>
      <c r="S366">
        <f t="shared" si="89"/>
        <v>49.75244003273145</v>
      </c>
      <c r="T366">
        <f t="shared" si="90"/>
        <v>190524.72394128441</v>
      </c>
      <c r="U366">
        <f t="shared" si="91"/>
        <v>156053.85338076091</v>
      </c>
      <c r="V366">
        <f t="shared" si="92"/>
        <v>160352.58194504183</v>
      </c>
      <c r="W366">
        <f t="shared" si="93"/>
        <v>106.11423709920597</v>
      </c>
      <c r="X366">
        <f t="shared" si="94"/>
        <v>6.5068684296859995</v>
      </c>
      <c r="Y366">
        <f t="shared" si="95"/>
        <v>19.330098185207262</v>
      </c>
      <c r="Z366">
        <f t="shared" si="96"/>
        <v>40.311726113191327</v>
      </c>
      <c r="AA366">
        <f t="shared" si="97"/>
        <v>3.4234103848355435</v>
      </c>
      <c r="AB366">
        <f t="shared" si="98"/>
        <v>6.0173035347045811</v>
      </c>
    </row>
    <row r="367" spans="12:28" x14ac:dyDescent="0.25">
      <c r="L367">
        <v>363</v>
      </c>
      <c r="M367">
        <f t="shared" si="103"/>
        <v>181.5</v>
      </c>
      <c r="N367">
        <f t="shared" si="99"/>
        <v>-157425.56591286793</v>
      </c>
      <c r="O367">
        <f t="shared" si="100"/>
        <v>-61383.049382787882</v>
      </c>
      <c r="P367">
        <f t="shared" si="101"/>
        <v>1393.6452083585975</v>
      </c>
      <c r="Q367">
        <f t="shared" si="102"/>
        <v>2567.59762603834</v>
      </c>
      <c r="R367">
        <f t="shared" si="88"/>
        <v>133.76176791684023</v>
      </c>
      <c r="S367">
        <f t="shared" si="89"/>
        <v>49.638838112554325</v>
      </c>
      <c r="T367">
        <f t="shared" si="90"/>
        <v>189437.4321111303</v>
      </c>
      <c r="U367">
        <f t="shared" si="91"/>
        <v>154859.0517395013</v>
      </c>
      <c r="V367">
        <f t="shared" si="92"/>
        <v>159326.52137639918</v>
      </c>
      <c r="W367">
        <f t="shared" si="93"/>
        <v>107.51930717425299</v>
      </c>
      <c r="X367">
        <f t="shared" si="94"/>
        <v>6.6255324460103315</v>
      </c>
      <c r="Y367">
        <f t="shared" si="95"/>
        <v>19.616928296576926</v>
      </c>
      <c r="Z367">
        <f t="shared" si="96"/>
        <v>40.227908762915924</v>
      </c>
      <c r="AA367">
        <f t="shared" si="97"/>
        <v>3.4415045456729958</v>
      </c>
      <c r="AB367">
        <f t="shared" si="98"/>
        <v>5.9694248039653992</v>
      </c>
    </row>
    <row r="368" spans="12:28" x14ac:dyDescent="0.25">
      <c r="L368">
        <v>364</v>
      </c>
      <c r="M368">
        <f t="shared" si="103"/>
        <v>182</v>
      </c>
      <c r="N368">
        <f t="shared" si="99"/>
        <v>-156712.02308769902</v>
      </c>
      <c r="O368">
        <f t="shared" si="100"/>
        <v>-60093.045715004642</v>
      </c>
      <c r="P368">
        <f t="shared" si="101"/>
        <v>1460.5260923170176</v>
      </c>
      <c r="Q368">
        <f t="shared" si="102"/>
        <v>2592.4170450946172</v>
      </c>
      <c r="R368">
        <f t="shared" si="88"/>
        <v>135.65020643537159</v>
      </c>
      <c r="S368">
        <f t="shared" si="89"/>
        <v>49.525345536978286</v>
      </c>
      <c r="T368">
        <f t="shared" si="90"/>
        <v>188319.52555219323</v>
      </c>
      <c r="U368">
        <f t="shared" si="91"/>
        <v>153633.36979425169</v>
      </c>
      <c r="V368">
        <f t="shared" si="92"/>
        <v>158271.66746205089</v>
      </c>
      <c r="W368">
        <f t="shared" si="93"/>
        <v>108.98386176711271</v>
      </c>
      <c r="X368">
        <f t="shared" si="94"/>
        <v>6.7498139041902538</v>
      </c>
      <c r="Y368">
        <f t="shared" si="95"/>
        <v>19.916530764068618</v>
      </c>
      <c r="Z368">
        <f t="shared" si="96"/>
        <v>40.144928297740918</v>
      </c>
      <c r="AA368">
        <f t="shared" si="97"/>
        <v>3.4606686659203643</v>
      </c>
      <c r="AB368">
        <f t="shared" si="98"/>
        <v>5.919748573317003</v>
      </c>
    </row>
    <row r="369" spans="12:28" x14ac:dyDescent="0.25">
      <c r="L369">
        <v>365</v>
      </c>
      <c r="M369">
        <f t="shared" si="103"/>
        <v>182.5</v>
      </c>
      <c r="N369">
        <f t="shared" si="99"/>
        <v>-155964.80376573608</v>
      </c>
      <c r="O369">
        <f t="shared" si="100"/>
        <v>-58790.646524265212</v>
      </c>
      <c r="P369">
        <f t="shared" si="101"/>
        <v>1528.3511955347035</v>
      </c>
      <c r="Q369">
        <f t="shared" si="102"/>
        <v>2617.1797178631064</v>
      </c>
      <c r="R369">
        <f t="shared" si="88"/>
        <v>137.62054727471204</v>
      </c>
      <c r="S369">
        <f t="shared" si="89"/>
        <v>49.411303913466369</v>
      </c>
      <c r="T369">
        <f t="shared" si="90"/>
        <v>187170.66743562615</v>
      </c>
      <c r="U369">
        <f t="shared" si="91"/>
        <v>152376.44474222886</v>
      </c>
      <c r="V369">
        <f t="shared" si="92"/>
        <v>157187.76256134047</v>
      </c>
      <c r="W369">
        <f t="shared" si="93"/>
        <v>110.51090346273698</v>
      </c>
      <c r="X369">
        <f t="shared" si="94"/>
        <v>6.8800626559285298</v>
      </c>
      <c r="Y369">
        <f t="shared" si="95"/>
        <v>20.229581156046528</v>
      </c>
      <c r="Z369">
        <f t="shared" si="96"/>
        <v>40.062341042097323</v>
      </c>
      <c r="AA369">
        <f t="shared" si="97"/>
        <v>3.4809299548156081</v>
      </c>
      <c r="AB369">
        <f t="shared" si="98"/>
        <v>5.8680329165534397</v>
      </c>
    </row>
    <row r="370" spans="12:28" x14ac:dyDescent="0.25">
      <c r="L370">
        <v>366</v>
      </c>
      <c r="M370">
        <f t="shared" si="103"/>
        <v>183</v>
      </c>
      <c r="N370">
        <f t="shared" si="99"/>
        <v>-155183.42559955938</v>
      </c>
      <c r="O370">
        <f t="shared" si="100"/>
        <v>-57475.880252344476</v>
      </c>
      <c r="P370">
        <f t="shared" si="101"/>
        <v>1597.1614691720595</v>
      </c>
      <c r="Q370">
        <f t="shared" si="102"/>
        <v>2641.8853698198395</v>
      </c>
      <c r="R370">
        <f t="shared" si="88"/>
        <v>139.6771142330872</v>
      </c>
      <c r="S370">
        <f t="shared" si="89"/>
        <v>49.2959925930151</v>
      </c>
      <c r="T370">
        <f t="shared" si="90"/>
        <v>185990.50572032339</v>
      </c>
      <c r="U370">
        <f t="shared" si="91"/>
        <v>151087.8981674586</v>
      </c>
      <c r="V370">
        <f t="shared" si="92"/>
        <v>156074.53901270987</v>
      </c>
      <c r="W370">
        <f t="shared" si="93"/>
        <v>112.10365139792802</v>
      </c>
      <c r="X370">
        <f t="shared" si="94"/>
        <v>7.0166580337300513</v>
      </c>
      <c r="Y370">
        <f t="shared" si="95"/>
        <v>20.55680480142912</v>
      </c>
      <c r="Z370">
        <f t="shared" si="96"/>
        <v>39.979662896859892</v>
      </c>
      <c r="AA370">
        <f t="shared" si="97"/>
        <v>3.5023167607698418</v>
      </c>
      <c r="AB370">
        <f t="shared" si="98"/>
        <v>5.8140129353853611</v>
      </c>
    </row>
    <row r="371" spans="12:28" x14ac:dyDescent="0.25">
      <c r="L371">
        <v>367</v>
      </c>
      <c r="M371">
        <f t="shared" si="103"/>
        <v>183.5</v>
      </c>
      <c r="N371">
        <f t="shared" si="99"/>
        <v>-154367.38522569422</v>
      </c>
      <c r="O371">
        <f t="shared" si="100"/>
        <v>-56148.775568360434</v>
      </c>
      <c r="P371">
        <f t="shared" si="101"/>
        <v>1667.0000262886031</v>
      </c>
      <c r="Q371">
        <f t="shared" si="102"/>
        <v>2666.5333661163472</v>
      </c>
      <c r="R371">
        <f t="shared" si="88"/>
        <v>141.82455331555445</v>
      </c>
      <c r="S371">
        <f t="shared" si="89"/>
        <v>49.178620741765009</v>
      </c>
      <c r="T371">
        <f t="shared" si="90"/>
        <v>184778.67242719154</v>
      </c>
      <c r="U371">
        <f t="shared" si="91"/>
        <v>149767.33529572937</v>
      </c>
      <c r="V371">
        <f t="shared" si="92"/>
        <v>154931.71883102643</v>
      </c>
      <c r="W371">
        <f t="shared" si="93"/>
        <v>113.76556022834872</v>
      </c>
      <c r="X371">
        <f t="shared" si="94"/>
        <v>7.1600119230557633</v>
      </c>
      <c r="Y371">
        <f t="shared" si="95"/>
        <v>20.898981164149973</v>
      </c>
      <c r="Z371">
        <f t="shared" si="96"/>
        <v>39.896364224351409</v>
      </c>
      <c r="AA371">
        <f t="shared" si="97"/>
        <v>3.5248585136151922</v>
      </c>
      <c r="AB371">
        <f t="shared" si="98"/>
        <v>5.7573980037984054</v>
      </c>
    </row>
    <row r="372" spans="12:28" x14ac:dyDescent="0.25">
      <c r="L372">
        <v>368</v>
      </c>
      <c r="M372">
        <f t="shared" si="103"/>
        <v>184</v>
      </c>
      <c r="N372">
        <f t="shared" si="99"/>
        <v>-153516.15714338547</v>
      </c>
      <c r="O372">
        <f t="shared" si="100"/>
        <v>-54809.361557709541</v>
      </c>
      <c r="P372">
        <f t="shared" si="101"/>
        <v>1737.9123029463804</v>
      </c>
      <c r="Q372">
        <f t="shared" si="102"/>
        <v>2691.1226764872299</v>
      </c>
      <c r="R372">
        <f t="shared" si="88"/>
        <v>144.06786201543477</v>
      </c>
      <c r="S372">
        <f t="shared" si="89"/>
        <v>49.058318359062611</v>
      </c>
      <c r="T372">
        <f t="shared" si="90"/>
        <v>183534.78286076692</v>
      </c>
      <c r="U372">
        <f t="shared" si="91"/>
        <v>148414.34419844707</v>
      </c>
      <c r="V372">
        <f t="shared" si="92"/>
        <v>153759.01339521923</v>
      </c>
      <c r="W372">
        <f t="shared" si="93"/>
        <v>115.50034111939333</v>
      </c>
      <c r="X372">
        <f t="shared" si="94"/>
        <v>7.3105722202018528</v>
      </c>
      <c r="Y372">
        <f t="shared" si="95"/>
        <v>21.256948675839592</v>
      </c>
      <c r="Z372">
        <f t="shared" si="96"/>
        <v>39.811864069466104</v>
      </c>
      <c r="AA372">
        <f t="shared" si="97"/>
        <v>3.5485856419908313</v>
      </c>
      <c r="AB372">
        <f t="shared" si="98"/>
        <v>5.6978686476056737</v>
      </c>
    </row>
    <row r="373" spans="12:28" x14ac:dyDescent="0.25">
      <c r="L373">
        <v>369</v>
      </c>
      <c r="M373">
        <f t="shared" si="103"/>
        <v>184.5</v>
      </c>
      <c r="N373">
        <f t="shared" si="99"/>
        <v>-152629.19250916035</v>
      </c>
      <c r="O373">
        <f t="shared" si="100"/>
        <v>-53457.667929671043</v>
      </c>
      <c r="P373">
        <f t="shared" si="101"/>
        <v>1809.9462339540978</v>
      </c>
      <c r="Q373">
        <f t="shared" si="102"/>
        <v>2715.6518356667611</v>
      </c>
      <c r="R373">
        <f t="shared" si="88"/>
        <v>146.41242182775517</v>
      </c>
      <c r="S373">
        <f t="shared" si="89"/>
        <v>48.934126080973066</v>
      </c>
      <c r="T373">
        <f t="shared" si="90"/>
        <v>182258.43477364891</v>
      </c>
      <c r="U373">
        <f t="shared" si="91"/>
        <v>147028.49494130147</v>
      </c>
      <c r="V373">
        <f t="shared" si="92"/>
        <v>152556.12312685314</v>
      </c>
      <c r="W373">
        <f t="shared" si="93"/>
        <v>117.31198501357454</v>
      </c>
      <c r="X373">
        <f t="shared" si="94"/>
        <v>7.4688267327071385</v>
      </c>
      <c r="Y373">
        <f t="shared" si="95"/>
        <v>21.631610081473486</v>
      </c>
      <c r="Z373">
        <f t="shared" si="96"/>
        <v>39.725523617508593</v>
      </c>
      <c r="AA373">
        <f t="shared" si="97"/>
        <v>3.5735294595542739</v>
      </c>
      <c r="AB373">
        <f t="shared" si="98"/>
        <v>5.6350730039102022</v>
      </c>
    </row>
    <row r="374" spans="12:28" x14ac:dyDescent="0.25">
      <c r="L374">
        <v>370</v>
      </c>
      <c r="M374">
        <f t="shared" si="103"/>
        <v>185</v>
      </c>
      <c r="N374">
        <f t="shared" si="99"/>
        <v>-151705.91783945484</v>
      </c>
      <c r="O374">
        <f t="shared" si="100"/>
        <v>-52093.725246077542</v>
      </c>
      <c r="P374">
        <f t="shared" si="101"/>
        <v>1883.1524448679754</v>
      </c>
      <c r="Q374">
        <f t="shared" si="102"/>
        <v>2740.1188987072478</v>
      </c>
      <c r="R374">
        <f t="shared" si="88"/>
        <v>148.86403441231042</v>
      </c>
      <c r="S374">
        <f t="shared" si="89"/>
        <v>48.804983580828932</v>
      </c>
      <c r="T374">
        <f t="shared" si="90"/>
        <v>180949.2074687375</v>
      </c>
      <c r="U374">
        <f t="shared" si="91"/>
        <v>145609.33867327534</v>
      </c>
      <c r="V374">
        <f t="shared" si="92"/>
        <v>151322.73716050858</v>
      </c>
      <c r="W374">
        <f t="shared" si="93"/>
        <v>119.20478846353416</v>
      </c>
      <c r="X374">
        <f t="shared" si="94"/>
        <v>7.6353075887328794</v>
      </c>
      <c r="Y374">
        <f t="shared" si="95"/>
        <v>22.023938360043363</v>
      </c>
      <c r="Z374">
        <f t="shared" si="96"/>
        <v>39.636638772795735</v>
      </c>
      <c r="AA374">
        <f t="shared" si="97"/>
        <v>3.5997220122028857</v>
      </c>
      <c r="AB374">
        <f t="shared" si="98"/>
        <v>5.5686227958303052</v>
      </c>
    </row>
    <row r="375" spans="12:28" x14ac:dyDescent="0.25">
      <c r="L375">
        <v>371</v>
      </c>
      <c r="M375">
        <f t="shared" si="103"/>
        <v>185.5</v>
      </c>
      <c r="N375">
        <f t="shared" si="99"/>
        <v>-150745.73361271931</v>
      </c>
      <c r="O375">
        <f t="shared" si="100"/>
        <v>-50717.565173776311</v>
      </c>
      <c r="P375">
        <f t="shared" si="101"/>
        <v>1957.5844620741307</v>
      </c>
      <c r="Q375">
        <f t="shared" si="102"/>
        <v>2764.5213904976622</v>
      </c>
      <c r="R375">
        <f t="shared" si="88"/>
        <v>151.4289618861892</v>
      </c>
      <c r="S375">
        <f t="shared" si="89"/>
        <v>48.669716345741705</v>
      </c>
      <c r="T375">
        <f t="shared" si="90"/>
        <v>179606.66083372218</v>
      </c>
      <c r="U375">
        <f t="shared" si="91"/>
        <v>144156.40665110911</v>
      </c>
      <c r="V375">
        <f t="shared" si="92"/>
        <v>150058.53300713259</v>
      </c>
      <c r="W375">
        <f t="shared" si="93"/>
        <v>121.1833823621552</v>
      </c>
      <c r="X375">
        <f t="shared" si="94"/>
        <v>7.8105962333569012</v>
      </c>
      <c r="Y375">
        <f t="shared" si="95"/>
        <v>22.434983290677096</v>
      </c>
      <c r="Z375">
        <f t="shared" si="96"/>
        <v>39.544431722416164</v>
      </c>
      <c r="AA375">
        <f t="shared" si="97"/>
        <v>3.627195876613782</v>
      </c>
      <c r="AB375">
        <f t="shared" si="98"/>
        <v>5.4980887467117583</v>
      </c>
    </row>
    <row r="376" spans="12:28" x14ac:dyDescent="0.25">
      <c r="L376">
        <v>372</v>
      </c>
      <c r="M376">
        <f t="shared" si="103"/>
        <v>186</v>
      </c>
      <c r="N376">
        <f t="shared" si="99"/>
        <v>-149748.01276144647</v>
      </c>
      <c r="O376">
        <f t="shared" si="100"/>
        <v>-49329.220763984267</v>
      </c>
      <c r="P376">
        <f t="shared" si="101"/>
        <v>2033.2989430172252</v>
      </c>
      <c r="Q376">
        <f t="shared" si="102"/>
        <v>2788.8562486705332</v>
      </c>
      <c r="R376">
        <f t="shared" si="88"/>
        <v>154.11397179839989</v>
      </c>
      <c r="S376">
        <f t="shared" si="89"/>
        <v>48.527020569019683</v>
      </c>
      <c r="T376">
        <f t="shared" si="90"/>
        <v>178230.33430166126</v>
      </c>
      <c r="U376">
        <f t="shared" si="91"/>
        <v>142669.20919387636</v>
      </c>
      <c r="V376">
        <f t="shared" si="92"/>
        <v>148763.17621189135</v>
      </c>
      <c r="W376">
        <f t="shared" si="93"/>
        <v>123.25276395069258</v>
      </c>
      <c r="X376">
        <f t="shared" si="94"/>
        <v>7.995329103485429</v>
      </c>
      <c r="Y376">
        <f t="shared" si="95"/>
        <v>22.865878744221884</v>
      </c>
      <c r="Z376">
        <f t="shared" si="96"/>
        <v>39.448041326167925</v>
      </c>
      <c r="AA376">
        <f t="shared" si="97"/>
        <v>3.6559838980620323</v>
      </c>
      <c r="AB376">
        <f t="shared" si="98"/>
        <v>5.4229953447897286</v>
      </c>
    </row>
    <row r="377" spans="12:28" x14ac:dyDescent="0.25">
      <c r="L377">
        <v>373</v>
      </c>
      <c r="M377">
        <f t="shared" si="103"/>
        <v>186.5</v>
      </c>
      <c r="N377">
        <f t="shared" si="99"/>
        <v>-148712.09904346307</v>
      </c>
      <c r="O377">
        <f t="shared" si="100"/>
        <v>-47928.726762077873</v>
      </c>
      <c r="P377">
        <f t="shared" si="101"/>
        <v>2110.355928916425</v>
      </c>
      <c r="Q377">
        <f t="shared" si="102"/>
        <v>2813.1197589550429</v>
      </c>
      <c r="R377">
        <f t="shared" si="88"/>
        <v>156.92638742457063</v>
      </c>
      <c r="S377">
        <f t="shared" si="89"/>
        <v>48.375445851759444</v>
      </c>
      <c r="T377">
        <f t="shared" si="90"/>
        <v>176819.74573080346</v>
      </c>
      <c r="U377">
        <f t="shared" si="91"/>
        <v>141147.23456182101</v>
      </c>
      <c r="V377">
        <f t="shared" si="92"/>
        <v>147436.32000850307</v>
      </c>
      <c r="W377">
        <f t="shared" si="93"/>
        <v>125.41833254365839</v>
      </c>
      <c r="X377">
        <f t="shared" si="94"/>
        <v>8.1902040896092814</v>
      </c>
      <c r="Y377">
        <f t="shared" si="95"/>
        <v>23.317850791302963</v>
      </c>
      <c r="Z377">
        <f t="shared" si="96"/>
        <v>39.346512145809967</v>
      </c>
      <c r="AA377">
        <f t="shared" si="97"/>
        <v>3.6861188525285322</v>
      </c>
      <c r="AB377">
        <f t="shared" si="98"/>
        <v>5.3428148534209461</v>
      </c>
    </row>
    <row r="378" spans="12:28" x14ac:dyDescent="0.25">
      <c r="L378">
        <v>374</v>
      </c>
      <c r="M378">
        <f t="shared" si="103"/>
        <v>187</v>
      </c>
      <c r="N378">
        <f t="shared" si="99"/>
        <v>-147637.30528057678</v>
      </c>
      <c r="O378">
        <f t="shared" si="100"/>
        <v>-46516.119951868881</v>
      </c>
      <c r="P378">
        <f t="shared" si="101"/>
        <v>2188.8191226287104</v>
      </c>
      <c r="Q378">
        <f t="shared" si="102"/>
        <v>2837.3074818809228</v>
      </c>
      <c r="R378">
        <f t="shared" si="88"/>
        <v>159.87414412002227</v>
      </c>
      <c r="S378">
        <f t="shared" si="89"/>
        <v>48.213375350829068</v>
      </c>
      <c r="T378">
        <f t="shared" si="90"/>
        <v>175374.39019602787</v>
      </c>
      <c r="U378">
        <f t="shared" si="91"/>
        <v>139589.94775305703</v>
      </c>
      <c r="V378">
        <f t="shared" si="92"/>
        <v>146077.60497257972</v>
      </c>
      <c r="W378">
        <f t="shared" si="93"/>
        <v>127.68592947700034</v>
      </c>
      <c r="X378">
        <f t="shared" si="94"/>
        <v>8.3959879125393364</v>
      </c>
      <c r="Y378">
        <f t="shared" si="95"/>
        <v>23.792226730482597</v>
      </c>
      <c r="Z378">
        <f t="shared" si="96"/>
        <v>39.238781893406895</v>
      </c>
      <c r="AA378">
        <f t="shared" si="97"/>
        <v>3.7176330143952256</v>
      </c>
      <c r="AB378">
        <f t="shared" si="98"/>
        <v>5.2569604430269461</v>
      </c>
    </row>
    <row r="379" spans="12:28" x14ac:dyDescent="0.25">
      <c r="L379">
        <v>375</v>
      </c>
      <c r="M379">
        <f t="shared" si="103"/>
        <v>187.5</v>
      </c>
      <c r="N379">
        <f t="shared" si="99"/>
        <v>-146522.91145124743</v>
      </c>
      <c r="O379">
        <f t="shared" si="100"/>
        <v>-45091.439539009567</v>
      </c>
      <c r="P379">
        <f t="shared" si="101"/>
        <v>2268.7561946887217</v>
      </c>
      <c r="Q379">
        <f t="shared" si="102"/>
        <v>2861.4141695563371</v>
      </c>
      <c r="R379">
        <f t="shared" si="88"/>
        <v>162.96585258773294</v>
      </c>
      <c r="S379">
        <f t="shared" si="89"/>
        <v>48.039002942927993</v>
      </c>
      <c r="T379">
        <f t="shared" si="90"/>
        <v>173893.73868339896</v>
      </c>
      <c r="U379">
        <f t="shared" si="91"/>
        <v>137996.78921112817</v>
      </c>
      <c r="V379">
        <f t="shared" si="92"/>
        <v>144686.65867718245</v>
      </c>
      <c r="W379">
        <f t="shared" si="93"/>
        <v>130.06188286578379</v>
      </c>
      <c r="X379">
        <f t="shared" si="94"/>
        <v>8.6135245673308045</v>
      </c>
      <c r="Y379">
        <f t="shared" si="95"/>
        <v>24.290445154618343</v>
      </c>
      <c r="Z379">
        <f t="shared" si="96"/>
        <v>39.12366703850558</v>
      </c>
      <c r="AA379">
        <f t="shared" si="97"/>
        <v>3.7505576063330466</v>
      </c>
      <c r="AB379">
        <f t="shared" si="98"/>
        <v>5.1647782980893657</v>
      </c>
    </row>
    <row r="380" spans="12:28" x14ac:dyDescent="0.25">
      <c r="L380">
        <v>376</v>
      </c>
      <c r="M380">
        <f t="shared" si="103"/>
        <v>188</v>
      </c>
      <c r="N380">
        <f t="shared" si="99"/>
        <v>-145368.1626223296</v>
      </c>
      <c r="O380">
        <f t="shared" si="100"/>
        <v>-43654.727578863538</v>
      </c>
      <c r="P380">
        <f t="shared" si="101"/>
        <v>2350.2391209825882</v>
      </c>
      <c r="Q380">
        <f t="shared" si="102"/>
        <v>2885.4336710278012</v>
      </c>
      <c r="R380">
        <f t="shared" si="88"/>
        <v>166.21087005755621</v>
      </c>
      <c r="S380">
        <f t="shared" si="89"/>
        <v>47.850306892825252</v>
      </c>
      <c r="T380">
        <f t="shared" si="90"/>
        <v>172377.23667833486</v>
      </c>
      <c r="U380">
        <f t="shared" si="91"/>
        <v>136367.1734357684</v>
      </c>
      <c r="V380">
        <f t="shared" si="92"/>
        <v>143263.09535462246</v>
      </c>
      <c r="W380">
        <f t="shared" si="93"/>
        <v>132.55305785159661</v>
      </c>
      <c r="X380">
        <f t="shared" si="94"/>
        <v>8.8437450158282171</v>
      </c>
      <c r="Y380">
        <f t="shared" si="95"/>
        <v>24.814067190131393</v>
      </c>
      <c r="Z380">
        <f t="shared" si="96"/>
        <v>38.999846265715966</v>
      </c>
      <c r="AA380">
        <f t="shared" si="97"/>
        <v>3.7849221020383634</v>
      </c>
      <c r="AB380">
        <f t="shared" si="98"/>
        <v>5.0655385250709228</v>
      </c>
    </row>
    <row r="381" spans="12:28" x14ac:dyDescent="0.25">
      <c r="L381">
        <v>377</v>
      </c>
      <c r="M381">
        <f t="shared" si="103"/>
        <v>188.5</v>
      </c>
      <c r="N381">
        <f t="shared" si="99"/>
        <v>-144172.26670308111</v>
      </c>
      <c r="O381">
        <f t="shared" si="100"/>
        <v>-42206.029454988035</v>
      </c>
      <c r="P381">
        <f t="shared" si="101"/>
        <v>2433.3445560113664</v>
      </c>
      <c r="Q381">
        <f t="shared" si="102"/>
        <v>2909.3588244742136</v>
      </c>
      <c r="R381">
        <f t="shared" si="88"/>
        <v>169.61938053872953</v>
      </c>
      <c r="S381">
        <f t="shared" si="89"/>
        <v>47.645019414910692</v>
      </c>
      <c r="T381">
        <f t="shared" si="90"/>
        <v>170824.30263675246</v>
      </c>
      <c r="U381">
        <f t="shared" si="91"/>
        <v>134700.48748848753</v>
      </c>
      <c r="V381">
        <f t="shared" si="92"/>
        <v>141806.51556955773</v>
      </c>
      <c r="W381">
        <f t="shared" si="93"/>
        <v>135.16691313091982</v>
      </c>
      <c r="X381">
        <f t="shared" si="94"/>
        <v>9.0876783448672001</v>
      </c>
      <c r="Y381">
        <f t="shared" si="95"/>
        <v>25.364789062942503</v>
      </c>
      <c r="Z381">
        <f t="shared" si="96"/>
        <v>38.865841416065798</v>
      </c>
      <c r="AA381">
        <f t="shared" si="97"/>
        <v>3.8207533448998543</v>
      </c>
      <c r="AB381">
        <f t="shared" si="98"/>
        <v>4.9584246539450412</v>
      </c>
    </row>
    <row r="382" spans="12:28" x14ac:dyDescent="0.25">
      <c r="L382">
        <v>378</v>
      </c>
      <c r="M382">
        <f t="shared" si="103"/>
        <v>189</v>
      </c>
      <c r="N382">
        <f t="shared" si="99"/>
        <v>-142934.39200250807</v>
      </c>
      <c r="O382">
        <f t="shared" si="100"/>
        <v>-40745.394415324066</v>
      </c>
      <c r="P382">
        <f t="shared" si="101"/>
        <v>2518.1542462807311</v>
      </c>
      <c r="Q382">
        <f t="shared" si="102"/>
        <v>2933.1813341816692</v>
      </c>
      <c r="R382">
        <f t="shared" si="88"/>
        <v>173.20248550491866</v>
      </c>
      <c r="S382">
        <f t="shared" si="89"/>
        <v>47.420591396830076</v>
      </c>
      <c r="T382">
        <f t="shared" si="90"/>
        <v>169234.32632725706</v>
      </c>
      <c r="U382">
        <f t="shared" si="91"/>
        <v>132996.08938383535</v>
      </c>
      <c r="V382">
        <f t="shared" si="92"/>
        <v>140316.50590968321</v>
      </c>
      <c r="W382">
        <f t="shared" si="93"/>
        <v>137.9115646874981</v>
      </c>
      <c r="X382">
        <f t="shared" si="94"/>
        <v>9.3464646507331519</v>
      </c>
      <c r="Y382">
        <f t="shared" si="95"/>
        <v>25.944456166687406</v>
      </c>
      <c r="Z382">
        <f t="shared" si="96"/>
        <v>38.71999547503124</v>
      </c>
      <c r="AA382">
        <f t="shared" si="97"/>
        <v>3.858074436002104</v>
      </c>
      <c r="AB382">
        <f t="shared" si="98"/>
        <v>4.8425214857967305</v>
      </c>
    </row>
    <row r="383" spans="12:28" x14ac:dyDescent="0.25">
      <c r="L383">
        <v>379</v>
      </c>
      <c r="M383">
        <f t="shared" si="103"/>
        <v>189.5</v>
      </c>
      <c r="N383">
        <f t="shared" si="99"/>
        <v>-141653.66456867958</v>
      </c>
      <c r="O383">
        <f t="shared" si="100"/>
        <v>-39272.876174308629</v>
      </c>
      <c r="P383">
        <f t="shared" si="101"/>
        <v>2604.7554890331903</v>
      </c>
      <c r="Q383">
        <f t="shared" si="102"/>
        <v>2956.8916298800841</v>
      </c>
      <c r="R383">
        <f t="shared" si="88"/>
        <v>176.97230660617606</v>
      </c>
      <c r="S383">
        <f t="shared" si="89"/>
        <v>47.17415140694375</v>
      </c>
      <c r="T383">
        <f t="shared" si="90"/>
        <v>167606.66703096521</v>
      </c>
      <c r="U383">
        <f t="shared" si="91"/>
        <v>131253.30635636405</v>
      </c>
      <c r="V383">
        <f t="shared" si="92"/>
        <v>138792.63870185087</v>
      </c>
      <c r="W383">
        <f t="shared" si="93"/>
        <v>140.7958578083628</v>
      </c>
      <c r="X383">
        <f t="shared" si="94"/>
        <v>9.6213699639935193</v>
      </c>
      <c r="Y383">
        <f t="shared" si="95"/>
        <v>26.555078833819756</v>
      </c>
      <c r="Z383">
        <f t="shared" si="96"/>
        <v>38.560447084432752</v>
      </c>
      <c r="AA383">
        <f t="shared" si="97"/>
        <v>3.8969033324551212</v>
      </c>
      <c r="AB383">
        <f t="shared" si="98"/>
        <v>4.7168009900558729</v>
      </c>
    </row>
    <row r="384" spans="12:28" x14ac:dyDescent="0.25">
      <c r="L384">
        <v>380</v>
      </c>
      <c r="M384">
        <f t="shared" si="103"/>
        <v>190</v>
      </c>
      <c r="N384">
        <f t="shared" si="99"/>
        <v>-140329.16528583723</v>
      </c>
      <c r="O384">
        <f t="shared" si="100"/>
        <v>-37788.533590442712</v>
      </c>
      <c r="P384">
        <f t="shared" si="101"/>
        <v>2693.2416423362783</v>
      </c>
      <c r="Q384">
        <f t="shared" si="102"/>
        <v>2980.4787055835559</v>
      </c>
      <c r="R384">
        <f t="shared" si="88"/>
        <v>180.94210228380425</v>
      </c>
      <c r="S384">
        <f t="shared" si="89"/>
        <v>46.902457927174254</v>
      </c>
      <c r="T384">
        <f t="shared" si="90"/>
        <v>165940.65158385318</v>
      </c>
      <c r="U384">
        <f t="shared" si="91"/>
        <v>129471.43299242195</v>
      </c>
      <c r="V384">
        <f t="shared" si="92"/>
        <v>137234.47176334445</v>
      </c>
      <c r="W384">
        <f t="shared" si="93"/>
        <v>143.82944865014133</v>
      </c>
      <c r="X384">
        <f t="shared" si="94"/>
        <v>9.9138035948602585</v>
      </c>
      <c r="Y384">
        <f t="shared" si="95"/>
        <v>27.19885003880264</v>
      </c>
      <c r="Z384">
        <f t="shared" si="96"/>
        <v>38.385100950844077</v>
      </c>
      <c r="AA384">
        <f t="shared" si="97"/>
        <v>3.9372510810377372</v>
      </c>
      <c r="AB384">
        <f t="shared" si="98"/>
        <v>4.5801058952924398</v>
      </c>
    </row>
    <row r="385" spans="12:28" x14ac:dyDescent="0.25">
      <c r="L385">
        <v>381</v>
      </c>
      <c r="M385">
        <f t="shared" si="103"/>
        <v>190.5</v>
      </c>
      <c r="N385">
        <f t="shared" si="99"/>
        <v>-138959.92670188361</v>
      </c>
      <c r="O385">
        <f t="shared" si="100"/>
        <v>-36292.431430410033</v>
      </c>
      <c r="P385">
        <f t="shared" si="101"/>
        <v>2783.7126934781804</v>
      </c>
      <c r="Q385">
        <f t="shared" si="102"/>
        <v>3003.9299345471431</v>
      </c>
      <c r="R385">
        <f t="shared" si="88"/>
        <v>185.12640050231153</v>
      </c>
      <c r="S385">
        <f t="shared" si="89"/>
        <v>46.601843531078927</v>
      </c>
      <c r="T385">
        <f t="shared" si="90"/>
        <v>164235.57224457595</v>
      </c>
      <c r="U385">
        <f t="shared" si="91"/>
        <v>127649.72921497615</v>
      </c>
      <c r="V385">
        <f t="shared" si="92"/>
        <v>135641.54820036795</v>
      </c>
      <c r="W385">
        <f t="shared" si="93"/>
        <v>147.02289684605279</v>
      </c>
      <c r="X385">
        <f t="shared" si="94"/>
        <v>10.225338361095785</v>
      </c>
      <c r="Y385">
        <f t="shared" si="95"/>
        <v>27.878165295162955</v>
      </c>
      <c r="Z385">
        <f t="shared" si="96"/>
        <v>38.191593395116641</v>
      </c>
      <c r="AA385">
        <f t="shared" si="97"/>
        <v>3.9791195914234945</v>
      </c>
      <c r="AB385">
        <f t="shared" si="98"/>
        <v>4.4311305445387905</v>
      </c>
    </row>
    <row r="386" spans="12:28" x14ac:dyDescent="0.25">
      <c r="L386">
        <v>382</v>
      </c>
      <c r="M386">
        <f t="shared" si="103"/>
        <v>191</v>
      </c>
      <c r="N386">
        <f t="shared" si="99"/>
        <v>-137544.92955508173</v>
      </c>
      <c r="O386">
        <f t="shared" si="100"/>
        <v>-34784.641232695081</v>
      </c>
      <c r="P386">
        <f t="shared" si="101"/>
        <v>2876.2758937293361</v>
      </c>
      <c r="Q386">
        <f t="shared" si="102"/>
        <v>3027.2308563126826</v>
      </c>
      <c r="R386">
        <f t="shared" si="88"/>
        <v>189.54115022039821</v>
      </c>
      <c r="S386">
        <f t="shared" si="89"/>
        <v>46.268149453051919</v>
      </c>
      <c r="T386">
        <f t="shared" si="90"/>
        <v>162490.68436845829</v>
      </c>
      <c r="U386">
        <f t="shared" si="91"/>
        <v>125787.41810868979</v>
      </c>
      <c r="V386">
        <f t="shared" si="92"/>
        <v>134013.39626868666</v>
      </c>
      <c r="W386">
        <f t="shared" si="93"/>
        <v>150.38777091279755</v>
      </c>
      <c r="X386">
        <f t="shared" si="94"/>
        <v>10.557734262429239</v>
      </c>
      <c r="Y386">
        <f t="shared" si="95"/>
        <v>28.595645045171405</v>
      </c>
      <c r="Z386">
        <f t="shared" si="96"/>
        <v>37.977252130215554</v>
      </c>
      <c r="AA386">
        <f t="shared" si="97"/>
        <v>4.0224988263016472</v>
      </c>
      <c r="AB386">
        <f t="shared" si="98"/>
        <v>4.2683984965347177</v>
      </c>
    </row>
    <row r="387" spans="12:28" x14ac:dyDescent="0.25">
      <c r="L387">
        <v>383</v>
      </c>
      <c r="M387">
        <f t="shared" si="103"/>
        <v>191.5</v>
      </c>
      <c r="N387">
        <f t="shared" si="99"/>
        <v>-136083.0989644395</v>
      </c>
      <c r="O387">
        <f t="shared" si="100"/>
        <v>-33265.242285857108</v>
      </c>
      <c r="P387">
        <f t="shared" si="101"/>
        <v>2971.046468839535</v>
      </c>
      <c r="Q387">
        <f t="shared" si="102"/>
        <v>3050.3649310392084</v>
      </c>
      <c r="R387">
        <f t="shared" si="88"/>
        <v>194.2038947162896</v>
      </c>
      <c r="S387">
        <f t="shared" si="89"/>
        <v>45.896648654678927</v>
      </c>
      <c r="T387">
        <f t="shared" si="90"/>
        <v>160705.20386576894</v>
      </c>
      <c r="U387">
        <f t="shared" si="91"/>
        <v>123883.68357149286</v>
      </c>
      <c r="V387">
        <f t="shared" si="92"/>
        <v>132349.52931492467</v>
      </c>
      <c r="W387">
        <f t="shared" si="93"/>
        <v>153.93676854055533</v>
      </c>
      <c r="X387">
        <f t="shared" si="94"/>
        <v>10.912966293047617</v>
      </c>
      <c r="Y387">
        <f t="shared" si="95"/>
        <v>29.354159882686645</v>
      </c>
      <c r="Z387">
        <f t="shared" si="96"/>
        <v>37.739049160269914</v>
      </c>
      <c r="AA387">
        <f t="shared" si="97"/>
        <v>4.0673632504481514</v>
      </c>
      <c r="AB387">
        <f t="shared" si="98"/>
        <v>4.0902362439608577</v>
      </c>
    </row>
    <row r="388" spans="12:28" x14ac:dyDescent="0.25">
      <c r="L388">
        <v>384</v>
      </c>
      <c r="M388">
        <f t="shared" si="103"/>
        <v>192</v>
      </c>
      <c r="N388">
        <f t="shared" si="99"/>
        <v>-134573.30024318022</v>
      </c>
      <c r="O388">
        <f t="shared" si="100"/>
        <v>-31734.322739255669</v>
      </c>
      <c r="P388">
        <f t="shared" si="101"/>
        <v>3068.1484161976796</v>
      </c>
      <c r="Q388">
        <f t="shared" si="102"/>
        <v>3073.3132553665478</v>
      </c>
      <c r="R388">
        <f t="shared" si="88"/>
        <v>199.13397048207207</v>
      </c>
      <c r="S388">
        <f t="shared" si="89"/>
        <v>45.481955070697587</v>
      </c>
      <c r="T388">
        <f t="shared" si="90"/>
        <v>158878.30441938929</v>
      </c>
      <c r="U388">
        <f t="shared" si="91"/>
        <v>121937.66777791952</v>
      </c>
      <c r="V388">
        <f t="shared" si="92"/>
        <v>130649.44582144577</v>
      </c>
      <c r="W388">
        <f t="shared" si="93"/>
        <v>157.68385424128127</v>
      </c>
      <c r="X388">
        <f t="shared" si="94"/>
        <v>11.293257244257463</v>
      </c>
      <c r="Y388">
        <f t="shared" si="95"/>
        <v>30.156858996533344</v>
      </c>
      <c r="Z388">
        <f t="shared" si="96"/>
        <v>37.473545452909079</v>
      </c>
      <c r="AA388">
        <f t="shared" si="97"/>
        <v>4.1136673344393122</v>
      </c>
      <c r="AB388">
        <f t="shared" si="98"/>
        <v>3.8947422833491974</v>
      </c>
    </row>
    <row r="389" spans="12:28" x14ac:dyDescent="0.25">
      <c r="L389">
        <v>385</v>
      </c>
      <c r="M389">
        <f t="shared" si="103"/>
        <v>192.5</v>
      </c>
      <c r="N389">
        <f t="shared" si="99"/>
        <v>-133014.33428877112</v>
      </c>
      <c r="O389">
        <f t="shared" si="100"/>
        <v>-30191.980867188558</v>
      </c>
      <c r="P389">
        <f t="shared" si="101"/>
        <v>3167.7154014387156</v>
      </c>
      <c r="Q389">
        <f t="shared" si="102"/>
        <v>3096.0542329018967</v>
      </c>
      <c r="R389">
        <f t="shared" ref="R389:R452" si="104">SUM(W389:Y389)</f>
        <v>204.3527361326752</v>
      </c>
      <c r="S389">
        <f t="shared" ref="S389:S452" si="105">SUM(Z389:AB389)</f>
        <v>45.017916186703665</v>
      </c>
      <c r="T389">
        <f t="shared" ref="T389:T452" si="106">SQRT(($D$18-N389)^2 + ($E$18 - O389) ^2)</f>
        <v>157009.11443350147</v>
      </c>
      <c r="U389">
        <f t="shared" ref="U389:U452" si="107">SQRT(($D$26-N389)^2 + ($E$26- O389) ^2)</f>
        <v>119948.46843858639</v>
      </c>
      <c r="V389">
        <f t="shared" ref="V389:V452" si="108">SQRT(($D$34-N389)^2 + ($E$34 - O389) ^2)</f>
        <v>128912.62958324241</v>
      </c>
      <c r="W389">
        <f t="shared" ref="W389:W452" si="109">$D$22*(($D$18-N389)/(T389^2+($D$23^2))^(3/2))</f>
        <v>161.64441730647982</v>
      </c>
      <c r="X389">
        <f t="shared" ref="X389:X452" si="110">$D$30*(($D$26-N389)/(U389^2+($D$31^2))^(3/2))</f>
        <v>11.701116552456609</v>
      </c>
      <c r="Y389">
        <f t="shared" ref="Y389:Y452" si="111">$D$38*(($D$34-N389)/(V389^2+($D$39^2))^(3/2))</f>
        <v>31.007202273738773</v>
      </c>
      <c r="Z389">
        <f t="shared" ref="Z389:Z452" si="112">$D$22*(($E$18-O389)/(T389^2+($D$23^2))^(3/2))</f>
        <v>37.176825737135758</v>
      </c>
      <c r="AA389">
        <f t="shared" ref="AA389:AA452" si="113">$D$30*(($E$26-O389)/(U389^2+($D$31^2))^(3/2))</f>
        <v>4.161339847380817</v>
      </c>
      <c r="AB389">
        <f t="shared" ref="AB389:AB452" si="114">$D$38*(($E$34-O389)/(V389^2+($D$39^2))^(3/2))</f>
        <v>3.6797506021870903</v>
      </c>
    </row>
    <row r="390" spans="12:28" x14ac:dyDescent="0.25">
      <c r="L390">
        <v>386</v>
      </c>
      <c r="M390">
        <f t="shared" si="103"/>
        <v>193</v>
      </c>
      <c r="N390">
        <f t="shared" ref="N390:N453" si="115">(N389)+(P389)*(M390-M389)+((1/2*(R389))*((M390-M389)^2))</f>
        <v>-131404.93249603518</v>
      </c>
      <c r="O390">
        <f t="shared" ref="O390:O453" si="116">(O389)+(Q389)*(M390-M389)+((1/2*(S389))*((M390-M389)^2))</f>
        <v>-28638.326511214273</v>
      </c>
      <c r="P390">
        <f t="shared" ref="P390:P453" si="117">P389+(R389*(M390-M389))</f>
        <v>3269.8917695050532</v>
      </c>
      <c r="Q390">
        <f t="shared" ref="Q390:Q453" si="118">Q389+(S389*(M390-M389))</f>
        <v>3118.5631909952485</v>
      </c>
      <c r="R390">
        <f t="shared" si="104"/>
        <v>209.88383667052122</v>
      </c>
      <c r="S390">
        <f t="shared" si="105"/>
        <v>44.497485433571612</v>
      </c>
      <c r="T390">
        <f t="shared" si="106"/>
        <v>155096.7136808644</v>
      </c>
      <c r="U390">
        <f t="shared" si="107"/>
        <v>117915.13583943903</v>
      </c>
      <c r="V390">
        <f t="shared" si="108"/>
        <v>127138.55005211323</v>
      </c>
      <c r="W390">
        <f t="shared" si="109"/>
        <v>165.83545360594124</v>
      </c>
      <c r="X390">
        <f t="shared" si="110"/>
        <v>12.139386505816216</v>
      </c>
      <c r="Y390">
        <f t="shared" si="111"/>
        <v>31.908996558763771</v>
      </c>
      <c r="Z390">
        <f t="shared" si="112"/>
        <v>36.844421404025653</v>
      </c>
      <c r="AA390">
        <f t="shared" si="113"/>
        <v>4.2102765914269407</v>
      </c>
      <c r="AB390">
        <f t="shared" si="114"/>
        <v>3.4427874381190224</v>
      </c>
    </row>
    <row r="391" spans="12:28" x14ac:dyDescent="0.25">
      <c r="L391">
        <v>387</v>
      </c>
      <c r="M391">
        <f t="shared" si="103"/>
        <v>193.5</v>
      </c>
      <c r="N391">
        <f t="shared" si="115"/>
        <v>-129743.75113169884</v>
      </c>
      <c r="O391">
        <f t="shared" si="116"/>
        <v>-27073.482730037453</v>
      </c>
      <c r="P391">
        <f t="shared" si="117"/>
        <v>3374.8336878403138</v>
      </c>
      <c r="Q391">
        <f t="shared" si="118"/>
        <v>3140.8119337120343</v>
      </c>
      <c r="R391">
        <f t="shared" si="104"/>
        <v>215.75350954840283</v>
      </c>
      <c r="S391">
        <f t="shared" si="105"/>
        <v>43.91257003993109</v>
      </c>
      <c r="T391">
        <f t="shared" si="106"/>
        <v>153140.12961149722</v>
      </c>
      <c r="U391">
        <f t="shared" si="107"/>
        <v>115836.66964390263</v>
      </c>
      <c r="V391">
        <f t="shared" si="108"/>
        <v>125326.66289197894</v>
      </c>
      <c r="W391">
        <f t="shared" si="109"/>
        <v>170.27577546922552</v>
      </c>
      <c r="X391">
        <f t="shared" si="110"/>
        <v>12.611297453505211</v>
      </c>
      <c r="Y391">
        <f t="shared" si="111"/>
        <v>32.866436625672101</v>
      </c>
      <c r="Z391">
        <f t="shared" si="112"/>
        <v>36.47121901636298</v>
      </c>
      <c r="AA391">
        <f t="shared" si="113"/>
        <v>4.2603311215853195</v>
      </c>
      <c r="AB391">
        <f t="shared" si="114"/>
        <v>3.1810199019827921</v>
      </c>
    </row>
    <row r="392" spans="12:28" x14ac:dyDescent="0.25">
      <c r="L392">
        <v>388</v>
      </c>
      <c r="M392">
        <f t="shared" si="103"/>
        <v>194</v>
      </c>
      <c r="N392">
        <f t="shared" si="115"/>
        <v>-128029.36509908513</v>
      </c>
      <c r="O392">
        <f t="shared" si="116"/>
        <v>-25497.587691926441</v>
      </c>
      <c r="P392">
        <f t="shared" si="117"/>
        <v>3482.7104426145152</v>
      </c>
      <c r="Q392">
        <f t="shared" si="118"/>
        <v>3162.7682187319997</v>
      </c>
      <c r="R392">
        <f t="shared" si="104"/>
        <v>221.99094033469439</v>
      </c>
      <c r="S392">
        <f t="shared" si="105"/>
        <v>43.253848911608998</v>
      </c>
      <c r="T392">
        <f t="shared" si="106"/>
        <v>151138.33328002857</v>
      </c>
      <c r="U392">
        <f t="shared" si="107"/>
        <v>113712.01544101415</v>
      </c>
      <c r="V392">
        <f t="shared" si="108"/>
        <v>123476.41079993243</v>
      </c>
      <c r="W392">
        <f t="shared" si="109"/>
        <v>174.9862547648687</v>
      </c>
      <c r="X392">
        <f t="shared" si="110"/>
        <v>13.120534086653887</v>
      </c>
      <c r="Y392">
        <f t="shared" si="111"/>
        <v>33.884151483171784</v>
      </c>
      <c r="Z392">
        <f t="shared" si="112"/>
        <v>36.051351338305146</v>
      </c>
      <c r="AA392">
        <f t="shared" si="113"/>
        <v>4.3113028469501815</v>
      </c>
      <c r="AB392">
        <f t="shared" si="114"/>
        <v>2.8911947263536701</v>
      </c>
    </row>
    <row r="393" spans="12:28" x14ac:dyDescent="0.25">
      <c r="L393">
        <v>389</v>
      </c>
      <c r="M393">
        <f t="shared" si="103"/>
        <v>194.5</v>
      </c>
      <c r="N393">
        <f t="shared" si="115"/>
        <v>-126260.26101023603</v>
      </c>
      <c r="O393">
        <f t="shared" si="116"/>
        <v>-23910.796851446488</v>
      </c>
      <c r="P393">
        <f t="shared" si="117"/>
        <v>3593.7059127818625</v>
      </c>
      <c r="Q393">
        <f t="shared" si="118"/>
        <v>3184.395143187804</v>
      </c>
      <c r="R393">
        <f t="shared" si="104"/>
        <v>228.62867747608146</v>
      </c>
      <c r="S393">
        <f t="shared" si="105"/>
        <v>42.510553735980643</v>
      </c>
      <c r="T393">
        <f t="shared" si="106"/>
        <v>149090.23484242012</v>
      </c>
      <c r="U393">
        <f t="shared" si="107"/>
        <v>111540.06102321963</v>
      </c>
      <c r="V393">
        <f t="shared" si="108"/>
        <v>121587.22466113912</v>
      </c>
      <c r="W393">
        <f t="shared" si="109"/>
        <v>179.99010537032831</v>
      </c>
      <c r="X393">
        <f t="shared" si="110"/>
        <v>13.671315411356925</v>
      </c>
      <c r="Y393">
        <f t="shared" si="111"/>
        <v>34.967256694396255</v>
      </c>
      <c r="Z393">
        <f t="shared" si="112"/>
        <v>35.578067040833673</v>
      </c>
      <c r="AA393">
        <f t="shared" si="113"/>
        <v>4.3629217093859314</v>
      </c>
      <c r="AB393">
        <f t="shared" si="114"/>
        <v>2.569564985761041</v>
      </c>
    </row>
    <row r="394" spans="12:28" x14ac:dyDescent="0.25">
      <c r="L394">
        <v>390</v>
      </c>
      <c r="M394">
        <f t="shared" si="103"/>
        <v>195</v>
      </c>
      <c r="N394">
        <f t="shared" si="115"/>
        <v>-124434.8294691606</v>
      </c>
      <c r="O394">
        <f t="shared" si="116"/>
        <v>-22313.28546063559</v>
      </c>
      <c r="P394">
        <f t="shared" si="117"/>
        <v>3708.020251519903</v>
      </c>
      <c r="Q394">
        <f t="shared" si="118"/>
        <v>3205.6504200557943</v>
      </c>
      <c r="R394">
        <f t="shared" si="104"/>
        <v>235.70311776416526</v>
      </c>
      <c r="S394">
        <f t="shared" si="105"/>
        <v>41.670204746204099</v>
      </c>
      <c r="T394">
        <f t="shared" si="106"/>
        <v>146994.67856504081</v>
      </c>
      <c r="U394">
        <f t="shared" si="107"/>
        <v>109319.63237915309</v>
      </c>
      <c r="V394">
        <f t="shared" si="108"/>
        <v>119658.52512276849</v>
      </c>
      <c r="W394">
        <f t="shared" si="109"/>
        <v>185.31321256278349</v>
      </c>
      <c r="X394">
        <f t="shared" si="110"/>
        <v>14.268491752841229</v>
      </c>
      <c r="Y394">
        <f t="shared" si="111"/>
        <v>36.121413448540537</v>
      </c>
      <c r="Z394">
        <f t="shared" si="112"/>
        <v>35.043574274690236</v>
      </c>
      <c r="AA394">
        <f t="shared" si="113"/>
        <v>4.4148283618199802</v>
      </c>
      <c r="AB394">
        <f t="shared" si="114"/>
        <v>2.2118021096938816</v>
      </c>
    </row>
    <row r="395" spans="12:28" x14ac:dyDescent="0.25">
      <c r="L395">
        <v>391</v>
      </c>
      <c r="M395">
        <f t="shared" si="103"/>
        <v>195.5</v>
      </c>
      <c r="N395">
        <f t="shared" si="115"/>
        <v>-122551.35645368013</v>
      </c>
      <c r="O395">
        <f t="shared" si="116"/>
        <v>-20705.251475014415</v>
      </c>
      <c r="P395">
        <f t="shared" si="117"/>
        <v>3825.8718104019858</v>
      </c>
      <c r="Q395">
        <f t="shared" si="118"/>
        <v>3226.4855224288963</v>
      </c>
      <c r="R395">
        <f t="shared" si="104"/>
        <v>243.25507676224194</v>
      </c>
      <c r="S395">
        <f t="shared" si="105"/>
        <v>40.718290299082391</v>
      </c>
      <c r="T395">
        <f t="shared" si="106"/>
        <v>144850.43727989885</v>
      </c>
      <c r="U395">
        <f t="shared" si="107"/>
        <v>107049.48938987816</v>
      </c>
      <c r="V395">
        <f t="shared" si="108"/>
        <v>117689.72469376127</v>
      </c>
      <c r="W395">
        <f t="shared" si="109"/>
        <v>190.98451852721013</v>
      </c>
      <c r="X395">
        <f t="shared" si="110"/>
        <v>14.917663074132911</v>
      </c>
      <c r="Y395">
        <f t="shared" si="111"/>
        <v>37.352895160898896</v>
      </c>
      <c r="Z395">
        <f t="shared" si="112"/>
        <v>34.438852065021834</v>
      </c>
      <c r="AA395">
        <f t="shared" si="113"/>
        <v>4.4665483904903542</v>
      </c>
      <c r="AB395">
        <f t="shared" si="114"/>
        <v>1.8128898435702019</v>
      </c>
    </row>
    <row r="396" spans="12:28" x14ac:dyDescent="0.25">
      <c r="L396">
        <v>392</v>
      </c>
      <c r="M396">
        <f t="shared" si="103"/>
        <v>196</v>
      </c>
      <c r="N396">
        <f t="shared" si="115"/>
        <v>-120608.01366388384</v>
      </c>
      <c r="O396">
        <f t="shared" si="116"/>
        <v>-19086.918927512579</v>
      </c>
      <c r="P396">
        <f t="shared" si="117"/>
        <v>3947.4993487831066</v>
      </c>
      <c r="Q396">
        <f t="shared" si="118"/>
        <v>3246.8446675784376</v>
      </c>
      <c r="R396">
        <f t="shared" si="104"/>
        <v>251.33046179358436</v>
      </c>
      <c r="S396">
        <f t="shared" si="105"/>
        <v>39.637876448865789</v>
      </c>
      <c r="T396">
        <f t="shared" si="106"/>
        <v>142656.20620892561</v>
      </c>
      <c r="U396">
        <f t="shared" si="107"/>
        <v>104728.32122252285</v>
      </c>
      <c r="V396">
        <f t="shared" si="108"/>
        <v>115680.23050473584</v>
      </c>
      <c r="W396">
        <f t="shared" si="109"/>
        <v>197.03647526477712</v>
      </c>
      <c r="X396">
        <f t="shared" si="110"/>
        <v>15.625324142004677</v>
      </c>
      <c r="Y396">
        <f t="shared" si="111"/>
        <v>38.668662386802566</v>
      </c>
      <c r="Z396">
        <f t="shared" si="112"/>
        <v>33.753421883980209</v>
      </c>
      <c r="AA396">
        <f t="shared" si="113"/>
        <v>4.5174585997988776</v>
      </c>
      <c r="AB396">
        <f t="shared" si="114"/>
        <v>1.3669959650866987</v>
      </c>
    </row>
    <row r="397" spans="12:28" x14ac:dyDescent="0.25">
      <c r="L397">
        <v>393</v>
      </c>
      <c r="M397">
        <f t="shared" si="103"/>
        <v>196.5</v>
      </c>
      <c r="N397">
        <f t="shared" si="115"/>
        <v>-118602.84768176809</v>
      </c>
      <c r="O397">
        <f t="shared" si="116"/>
        <v>-17458.541859167253</v>
      </c>
      <c r="P397">
        <f t="shared" si="117"/>
        <v>4073.1645796798989</v>
      </c>
      <c r="Q397">
        <f t="shared" si="118"/>
        <v>3266.6636058028703</v>
      </c>
      <c r="R397">
        <f t="shared" si="104"/>
        <v>259.9810693408017</v>
      </c>
      <c r="S397">
        <f t="shared" si="105"/>
        <v>38.4091288016782</v>
      </c>
      <c r="T397">
        <f t="shared" si="106"/>
        <v>140410.59606716075</v>
      </c>
      <c r="U397">
        <f t="shared" si="107"/>
        <v>102354.74142405714</v>
      </c>
      <c r="V397">
        <f t="shared" si="108"/>
        <v>113629.44789745429</v>
      </c>
      <c r="W397">
        <f t="shared" si="109"/>
        <v>203.5055788112661</v>
      </c>
      <c r="X397">
        <f t="shared" si="110"/>
        <v>16.399043739167368</v>
      </c>
      <c r="Y397">
        <f t="shared" si="111"/>
        <v>40.076446790368195</v>
      </c>
      <c r="Z397">
        <f t="shared" si="112"/>
        <v>32.975069681112174</v>
      </c>
      <c r="AA397">
        <f t="shared" si="113"/>
        <v>4.5667426402888998</v>
      </c>
      <c r="AB397">
        <f t="shared" si="114"/>
        <v>0.86731648027712394</v>
      </c>
    </row>
    <row r="398" spans="12:28" x14ac:dyDescent="0.25">
      <c r="L398">
        <v>394</v>
      </c>
      <c r="M398">
        <f t="shared" si="103"/>
        <v>197</v>
      </c>
      <c r="N398">
        <f t="shared" si="115"/>
        <v>-116533.76775826054</v>
      </c>
      <c r="O398">
        <f t="shared" si="116"/>
        <v>-15820.408915165608</v>
      </c>
      <c r="P398">
        <f t="shared" si="117"/>
        <v>4203.1551143503002</v>
      </c>
      <c r="Q398">
        <f t="shared" si="118"/>
        <v>3285.8681702037093</v>
      </c>
      <c r="R398">
        <f t="shared" si="104"/>
        <v>269.26553413554052</v>
      </c>
      <c r="S398">
        <f t="shared" si="105"/>
        <v>37.008723784359681</v>
      </c>
      <c r="T398">
        <f t="shared" si="106"/>
        <v>138112.1253390206</v>
      </c>
      <c r="U398">
        <f t="shared" si="107"/>
        <v>99927.282731755229</v>
      </c>
      <c r="V398">
        <f t="shared" si="108"/>
        <v>111536.7850583012</v>
      </c>
      <c r="W398">
        <f t="shared" si="109"/>
        <v>210.43300199902572</v>
      </c>
      <c r="X398">
        <f t="shared" si="110"/>
        <v>17.247687361642431</v>
      </c>
      <c r="Y398">
        <f t="shared" si="111"/>
        <v>41.584844774872366</v>
      </c>
      <c r="Z398">
        <f t="shared" si="112"/>
        <v>32.089505935431866</v>
      </c>
      <c r="AA398">
        <f t="shared" si="113"/>
        <v>4.6133322137986559</v>
      </c>
      <c r="AB398">
        <f t="shared" si="114"/>
        <v>0.3058856351291554</v>
      </c>
    </row>
    <row r="399" spans="12:28" x14ac:dyDescent="0.25">
      <c r="L399">
        <v>395</v>
      </c>
      <c r="M399">
        <f t="shared" si="103"/>
        <v>197.5</v>
      </c>
      <c r="N399">
        <f t="shared" si="115"/>
        <v>-114398.53200931846</v>
      </c>
      <c r="O399">
        <f t="shared" si="116"/>
        <v>-14172.848739590709</v>
      </c>
      <c r="P399">
        <f t="shared" si="117"/>
        <v>4337.7878814180704</v>
      </c>
      <c r="Q399">
        <f t="shared" si="118"/>
        <v>3304.3725320958893</v>
      </c>
      <c r="R399">
        <f t="shared" si="104"/>
        <v>279.25046420494613</v>
      </c>
      <c r="S399">
        <f t="shared" si="105"/>
        <v>35.409119599856588</v>
      </c>
      <c r="T399">
        <f t="shared" si="106"/>
        <v>135759.21160293699</v>
      </c>
      <c r="U399">
        <f t="shared" si="107"/>
        <v>97444.391638007844</v>
      </c>
      <c r="V399">
        <f t="shared" si="108"/>
        <v>109401.65896823262</v>
      </c>
      <c r="W399">
        <f t="shared" si="109"/>
        <v>217.86534722533182</v>
      </c>
      <c r="X399">
        <f t="shared" si="110"/>
        <v>18.181695877273309</v>
      </c>
      <c r="Y399">
        <f t="shared" si="111"/>
        <v>43.203421102341004</v>
      </c>
      <c r="Z399">
        <f t="shared" si="112"/>
        <v>31.079947715947359</v>
      </c>
      <c r="AA399">
        <f t="shared" si="113"/>
        <v>4.6558285909274781</v>
      </c>
      <c r="AB399">
        <f t="shared" si="114"/>
        <v>-0.32665670701825145</v>
      </c>
    </row>
    <row r="400" spans="12:28" x14ac:dyDescent="0.25">
      <c r="L400">
        <v>396</v>
      </c>
      <c r="M400">
        <f t="shared" si="103"/>
        <v>198</v>
      </c>
      <c r="N400">
        <f t="shared" si="115"/>
        <v>-112194.7317605838</v>
      </c>
      <c r="O400">
        <f t="shared" si="116"/>
        <v>-12516.236333592782</v>
      </c>
      <c r="P400">
        <f t="shared" si="117"/>
        <v>4477.4131135205434</v>
      </c>
      <c r="Q400">
        <f t="shared" si="118"/>
        <v>3322.0770918958174</v>
      </c>
      <c r="R400">
        <f t="shared" si="104"/>
        <v>290.01180519809867</v>
      </c>
      <c r="S400">
        <f t="shared" si="105"/>
        <v>33.577647922060642</v>
      </c>
      <c r="T400">
        <f t="shared" si="106"/>
        <v>133350.16175673349</v>
      </c>
      <c r="U400">
        <f t="shared" si="107"/>
        <v>94904.422779110799</v>
      </c>
      <c r="V400">
        <f t="shared" si="108"/>
        <v>107223.50301670842</v>
      </c>
      <c r="W400">
        <f t="shared" si="109"/>
        <v>225.85554610273621</v>
      </c>
      <c r="X400">
        <f t="shared" si="110"/>
        <v>19.213436775697303</v>
      </c>
      <c r="Y400">
        <f t="shared" si="111"/>
        <v>44.942822319665126</v>
      </c>
      <c r="Z400">
        <f t="shared" si="112"/>
        <v>29.926601991621723</v>
      </c>
      <c r="AA400">
        <f t="shared" si="113"/>
        <v>4.6923970053471082</v>
      </c>
      <c r="AB400">
        <f t="shared" si="114"/>
        <v>-1.0413510749081953</v>
      </c>
    </row>
    <row r="401" spans="12:28" x14ac:dyDescent="0.25">
      <c r="L401">
        <v>397</v>
      </c>
      <c r="M401">
        <f t="shared" ref="M401:M464" si="119">L401*$D$5</f>
        <v>198.5</v>
      </c>
      <c r="N401">
        <f t="shared" si="115"/>
        <v>-109919.77372817376</v>
      </c>
      <c r="O401">
        <f t="shared" si="116"/>
        <v>-10851.000581654615</v>
      </c>
      <c r="P401">
        <f t="shared" si="117"/>
        <v>4622.4190161195929</v>
      </c>
      <c r="Q401">
        <f t="shared" si="118"/>
        <v>3338.8659158568476</v>
      </c>
      <c r="R401">
        <f t="shared" si="104"/>
        <v>301.63648914625708</v>
      </c>
      <c r="S401">
        <f t="shared" si="105"/>
        <v>31.475374881257231</v>
      </c>
      <c r="T401">
        <f t="shared" si="106"/>
        <v>130883.16096816842</v>
      </c>
      <c r="U401">
        <f t="shared" si="107"/>
        <v>92305.633265701224</v>
      </c>
      <c r="V401">
        <f t="shared" si="108"/>
        <v>105001.7767247041</v>
      </c>
      <c r="W401">
        <f t="shared" si="109"/>
        <v>234.46393983530854</v>
      </c>
      <c r="X401">
        <f t="shared" si="110"/>
        <v>20.357650375846255</v>
      </c>
      <c r="Y401">
        <f t="shared" si="111"/>
        <v>46.814898935102264</v>
      </c>
      <c r="Z401">
        <f t="shared" si="112"/>
        <v>28.606023086850318</v>
      </c>
      <c r="AA401">
        <f t="shared" si="113"/>
        <v>4.7206233092965828</v>
      </c>
      <c r="AB401">
        <f t="shared" si="114"/>
        <v>-1.8512715148896668</v>
      </c>
    </row>
    <row r="402" spans="12:28" x14ac:dyDescent="0.25">
      <c r="L402">
        <v>398</v>
      </c>
      <c r="M402">
        <f t="shared" si="119"/>
        <v>199</v>
      </c>
      <c r="N402">
        <f t="shared" si="115"/>
        <v>-107570.85965897069</v>
      </c>
      <c r="O402">
        <f t="shared" si="116"/>
        <v>-9177.6332018660341</v>
      </c>
      <c r="P402">
        <f t="shared" si="117"/>
        <v>4773.2372606927211</v>
      </c>
      <c r="Q402">
        <f t="shared" si="118"/>
        <v>3354.6036032974762</v>
      </c>
      <c r="R402">
        <f t="shared" si="104"/>
        <v>314.22443839313905</v>
      </c>
      <c r="S402">
        <f t="shared" si="105"/>
        <v>29.05566276800694</v>
      </c>
      <c r="T402">
        <f t="shared" si="106"/>
        <v>128356.26014081061</v>
      </c>
      <c r="U402">
        <f t="shared" si="107"/>
        <v>89646.177144574627</v>
      </c>
      <c r="V402">
        <f t="shared" si="108"/>
        <v>102735.97814939162</v>
      </c>
      <c r="W402">
        <f t="shared" si="109"/>
        <v>243.75958319127096</v>
      </c>
      <c r="X402">
        <f t="shared" si="110"/>
        <v>21.632021353071135</v>
      </c>
      <c r="Y402">
        <f t="shared" si="111"/>
        <v>48.832833848796938</v>
      </c>
      <c r="Z402">
        <f t="shared" si="112"/>
        <v>27.09030862662663</v>
      </c>
      <c r="AA402">
        <f t="shared" si="113"/>
        <v>4.7373175567728358</v>
      </c>
      <c r="AB402">
        <f t="shared" si="114"/>
        <v>-2.7719634153925252</v>
      </c>
    </row>
    <row r="403" spans="12:28" x14ac:dyDescent="0.25">
      <c r="L403">
        <v>399</v>
      </c>
      <c r="M403">
        <f t="shared" si="119"/>
        <v>199.5</v>
      </c>
      <c r="N403">
        <f t="shared" si="115"/>
        <v>-105144.96297382518</v>
      </c>
      <c r="O403">
        <f t="shared" si="116"/>
        <v>-7496.6994423712949</v>
      </c>
      <c r="P403">
        <f t="shared" si="117"/>
        <v>4930.3494798892907</v>
      </c>
      <c r="Q403">
        <f t="shared" si="118"/>
        <v>3369.1314346814797</v>
      </c>
      <c r="R403">
        <f t="shared" si="104"/>
        <v>327.89101613852648</v>
      </c>
      <c r="S403">
        <f t="shared" si="105"/>
        <v>26.26234017309605</v>
      </c>
      <c r="T403">
        <f t="shared" si="106"/>
        <v>125767.36164312679</v>
      </c>
      <c r="U403">
        <f t="shared" si="107"/>
        <v>86924.100289797294</v>
      </c>
      <c r="V403">
        <f t="shared" si="108"/>
        <v>100425.65971048897</v>
      </c>
      <c r="W403">
        <f t="shared" si="109"/>
        <v>253.8218267104138</v>
      </c>
      <c r="X403">
        <f t="shared" si="110"/>
        <v>23.057917207518738</v>
      </c>
      <c r="Y403">
        <f t="shared" si="111"/>
        <v>51.011272220593931</v>
      </c>
      <c r="Z403">
        <f t="shared" si="112"/>
        <v>25.346086689698573</v>
      </c>
      <c r="AA403">
        <f t="shared" si="113"/>
        <v>4.7382420880382465</v>
      </c>
      <c r="AB403">
        <f t="shared" si="114"/>
        <v>-3.8219886046407736</v>
      </c>
    </row>
    <row r="404" spans="12:28" x14ac:dyDescent="0.25">
      <c r="L404">
        <v>400</v>
      </c>
      <c r="M404">
        <f t="shared" si="119"/>
        <v>200</v>
      </c>
      <c r="N404">
        <f t="shared" si="115"/>
        <v>-102638.80185686323</v>
      </c>
      <c r="O404">
        <f t="shared" si="116"/>
        <v>-5808.850932508918</v>
      </c>
      <c r="P404">
        <f t="shared" si="117"/>
        <v>5094.294987958554</v>
      </c>
      <c r="Q404">
        <f t="shared" si="118"/>
        <v>3382.2626047680278</v>
      </c>
      <c r="R404">
        <f t="shared" si="104"/>
        <v>342.77004281746832</v>
      </c>
      <c r="S404">
        <f t="shared" si="105"/>
        <v>23.027355056407202</v>
      </c>
      <c r="T404">
        <f t="shared" si="106"/>
        <v>123114.20299611316</v>
      </c>
      <c r="U404">
        <f t="shared" si="107"/>
        <v>84137.336184028245</v>
      </c>
      <c r="V404">
        <f t="shared" si="108"/>
        <v>98070.448399222892</v>
      </c>
      <c r="W404">
        <f t="shared" si="109"/>
        <v>264.74224722738103</v>
      </c>
      <c r="X404">
        <f t="shared" si="110"/>
        <v>24.661351315803795</v>
      </c>
      <c r="Y404">
        <f t="shared" si="111"/>
        <v>53.366444274283502</v>
      </c>
      <c r="Z404">
        <f t="shared" si="112"/>
        <v>23.333230939079353</v>
      </c>
      <c r="AA404">
        <f t="shared" si="113"/>
        <v>4.7177308720067801</v>
      </c>
      <c r="AB404">
        <f t="shared" si="114"/>
        <v>-5.0236067546789283</v>
      </c>
    </row>
    <row r="405" spans="12:28" x14ac:dyDescent="0.25">
      <c r="L405">
        <v>401</v>
      </c>
      <c r="M405">
        <f t="shared" si="119"/>
        <v>200.5</v>
      </c>
      <c r="N405">
        <f t="shared" si="115"/>
        <v>-100048.80810753176</v>
      </c>
      <c r="O405">
        <f t="shared" si="116"/>
        <v>-4114.841210742853</v>
      </c>
      <c r="P405">
        <f t="shared" si="117"/>
        <v>5265.6800093672882</v>
      </c>
      <c r="Q405">
        <f t="shared" si="118"/>
        <v>3393.7762822962313</v>
      </c>
      <c r="R405">
        <f t="shared" si="104"/>
        <v>359.01753518357998</v>
      </c>
      <c r="S405">
        <f t="shared" si="105"/>
        <v>19.267738064148325</v>
      </c>
      <c r="T405">
        <f t="shared" si="106"/>
        <v>120394.33814900117</v>
      </c>
      <c r="U405">
        <f t="shared" si="107"/>
        <v>81283.70329802233</v>
      </c>
      <c r="V405">
        <f t="shared" si="108"/>
        <v>95670.071623939628</v>
      </c>
      <c r="W405">
        <f t="shared" si="109"/>
        <v>276.62701719542633</v>
      </c>
      <c r="X405">
        <f t="shared" si="110"/>
        <v>26.474251245975786</v>
      </c>
      <c r="Y405">
        <f t="shared" si="111"/>
        <v>55.916266742177875</v>
      </c>
      <c r="Z405">
        <f t="shared" si="112"/>
        <v>21.003218408292987</v>
      </c>
      <c r="AA405">
        <f t="shared" si="113"/>
        <v>4.6681501117204016</v>
      </c>
      <c r="AB405">
        <f t="shared" si="114"/>
        <v>-6.4036304558650636</v>
      </c>
    </row>
    <row r="406" spans="12:28" x14ac:dyDescent="0.25">
      <c r="L406">
        <v>402</v>
      </c>
      <c r="M406">
        <f t="shared" si="119"/>
        <v>201</v>
      </c>
      <c r="N406">
        <f t="shared" si="115"/>
        <v>-97371.090910950166</v>
      </c>
      <c r="O406">
        <f t="shared" si="116"/>
        <v>-2415.544602336719</v>
      </c>
      <c r="P406">
        <f t="shared" si="117"/>
        <v>5445.1887769590785</v>
      </c>
      <c r="Q406">
        <f t="shared" si="118"/>
        <v>3403.4101513283053</v>
      </c>
      <c r="R406">
        <f t="shared" si="104"/>
        <v>376.81637653292995</v>
      </c>
      <c r="S406">
        <f t="shared" si="105"/>
        <v>14.881635452178767</v>
      </c>
      <c r="T406">
        <f t="shared" si="106"/>
        <v>117605.11588947044</v>
      </c>
      <c r="U406">
        <f t="shared" si="107"/>
        <v>78360.905153801839</v>
      </c>
      <c r="V406">
        <f t="shared" si="108"/>
        <v>93224.390337157995</v>
      </c>
      <c r="W406">
        <f t="shared" si="109"/>
        <v>289.59983043985056</v>
      </c>
      <c r="X406">
        <f t="shared" si="110"/>
        <v>28.536146503114189</v>
      </c>
      <c r="Y406">
        <f t="shared" si="111"/>
        <v>58.680399589965191</v>
      </c>
      <c r="Z406">
        <f t="shared" si="112"/>
        <v>18.297013709152694</v>
      </c>
      <c r="AA406">
        <f t="shared" si="113"/>
        <v>4.5791237465683334</v>
      </c>
      <c r="AB406">
        <f t="shared" si="114"/>
        <v>-7.9945020035422631</v>
      </c>
    </row>
    <row r="407" spans="12:28" x14ac:dyDescent="0.25">
      <c r="L407">
        <v>403</v>
      </c>
      <c r="M407">
        <f t="shared" si="119"/>
        <v>201.5</v>
      </c>
      <c r="N407">
        <f t="shared" si="115"/>
        <v>-94601.394475404013</v>
      </c>
      <c r="O407">
        <f t="shared" si="116"/>
        <v>-711.97932224104397</v>
      </c>
      <c r="P407">
        <f t="shared" si="117"/>
        <v>5633.5969652255435</v>
      </c>
      <c r="Q407">
        <f t="shared" si="118"/>
        <v>3410.8509690543947</v>
      </c>
      <c r="R407">
        <f t="shared" si="104"/>
        <v>396.38219794137342</v>
      </c>
      <c r="S407">
        <f t="shared" si="105"/>
        <v>9.7430714567047865</v>
      </c>
      <c r="T407">
        <f t="shared" si="106"/>
        <v>114743.65482886133</v>
      </c>
      <c r="U407">
        <f t="shared" si="107"/>
        <v>75366.53473973021</v>
      </c>
      <c r="V407">
        <f t="shared" si="108"/>
        <v>90733.441612368202</v>
      </c>
      <c r="W407">
        <f t="shared" si="109"/>
        <v>303.8055383393995</v>
      </c>
      <c r="X407">
        <f t="shared" si="110"/>
        <v>30.896439068910823</v>
      </c>
      <c r="Y407">
        <f t="shared" si="111"/>
        <v>61.680220533063107</v>
      </c>
      <c r="Z407">
        <f t="shared" si="112"/>
        <v>15.142319697945728</v>
      </c>
      <c r="AA407">
        <f t="shared" si="113"/>
        <v>4.4364052276016217</v>
      </c>
      <c r="AB407">
        <f t="shared" si="114"/>
        <v>-9.8356534688425619</v>
      </c>
    </row>
    <row r="408" spans="12:28" x14ac:dyDescent="0.25">
      <c r="L408">
        <v>404</v>
      </c>
      <c r="M408">
        <f t="shared" si="119"/>
        <v>202</v>
      </c>
      <c r="N408">
        <f t="shared" si="115"/>
        <v>-91735.048218048571</v>
      </c>
      <c r="O408">
        <f t="shared" si="116"/>
        <v>994.66404621824142</v>
      </c>
      <c r="P408">
        <f t="shared" si="117"/>
        <v>5831.7880641962302</v>
      </c>
      <c r="Q408">
        <f t="shared" si="118"/>
        <v>3415.7225047827469</v>
      </c>
      <c r="R408">
        <f t="shared" si="104"/>
        <v>417.97085048493477</v>
      </c>
      <c r="S408">
        <f t="shared" si="105"/>
        <v>3.6949515475936892</v>
      </c>
      <c r="T408">
        <f t="shared" si="106"/>
        <v>111806.81426635988</v>
      </c>
      <c r="U408">
        <f t="shared" si="107"/>
        <v>72298.085856309001</v>
      </c>
      <c r="V408">
        <f t="shared" si="108"/>
        <v>88197.493543402903</v>
      </c>
      <c r="W408">
        <f t="shared" si="109"/>
        <v>319.41469950711513</v>
      </c>
      <c r="X408">
        <f t="shared" si="110"/>
        <v>33.617493105818568</v>
      </c>
      <c r="Y408">
        <f t="shared" si="111"/>
        <v>64.938657872001045</v>
      </c>
      <c r="Z408">
        <f t="shared" si="112"/>
        <v>11.44997205895141</v>
      </c>
      <c r="AA408">
        <f t="shared" si="113"/>
        <v>4.2202079299037756</v>
      </c>
      <c r="AB408">
        <f t="shared" si="114"/>
        <v>-11.975228441261496</v>
      </c>
    </row>
    <row r="409" spans="12:28" x14ac:dyDescent="0.25">
      <c r="L409">
        <v>405</v>
      </c>
      <c r="M409">
        <f t="shared" si="119"/>
        <v>202.5</v>
      </c>
      <c r="N409">
        <f t="shared" si="115"/>
        <v>-88766.907829639837</v>
      </c>
      <c r="O409">
        <f t="shared" si="116"/>
        <v>2702.987167553064</v>
      </c>
      <c r="P409">
        <f t="shared" si="117"/>
        <v>6040.7734894386977</v>
      </c>
      <c r="Q409">
        <f t="shared" si="118"/>
        <v>3417.5699805565437</v>
      </c>
      <c r="R409">
        <f t="shared" si="104"/>
        <v>441.88799023139927</v>
      </c>
      <c r="S409">
        <f t="shared" si="105"/>
        <v>-3.460407911303955</v>
      </c>
      <c r="T409">
        <f t="shared" si="106"/>
        <v>108791.16005803869</v>
      </c>
      <c r="U409">
        <f t="shared" si="107"/>
        <v>69152.975414851651</v>
      </c>
      <c r="V409">
        <f t="shared" si="108"/>
        <v>85617.116291042665</v>
      </c>
      <c r="W409">
        <f t="shared" si="109"/>
        <v>336.62931272186114</v>
      </c>
      <c r="X409">
        <f t="shared" si="110"/>
        <v>36.778889507711639</v>
      </c>
      <c r="Y409">
        <f t="shared" si="111"/>
        <v>68.479788001826478</v>
      </c>
      <c r="Z409">
        <f t="shared" si="112"/>
        <v>7.1091646028130739</v>
      </c>
      <c r="AA409">
        <f t="shared" si="113"/>
        <v>3.902691529562198</v>
      </c>
      <c r="AB409">
        <f t="shared" si="114"/>
        <v>-14.472264043679226</v>
      </c>
    </row>
    <row r="410" spans="12:28" x14ac:dyDescent="0.25">
      <c r="L410">
        <v>406</v>
      </c>
      <c r="M410">
        <f t="shared" si="119"/>
        <v>203</v>
      </c>
      <c r="N410">
        <f t="shared" si="115"/>
        <v>-85691.285086141565</v>
      </c>
      <c r="O410">
        <f t="shared" si="116"/>
        <v>4411.3396068424227</v>
      </c>
      <c r="P410">
        <f t="shared" si="117"/>
        <v>6261.7174845543977</v>
      </c>
      <c r="Q410">
        <f t="shared" si="118"/>
        <v>3415.8397766008916</v>
      </c>
      <c r="R410">
        <f t="shared" si="104"/>
        <v>468.50150066269089</v>
      </c>
      <c r="S410">
        <f t="shared" si="105"/>
        <v>-11.97429003868811</v>
      </c>
      <c r="T410">
        <f t="shared" si="106"/>
        <v>105692.92438105079</v>
      </c>
      <c r="U410">
        <f t="shared" si="107"/>
        <v>65928.583036940618</v>
      </c>
      <c r="V410">
        <f t="shared" si="108"/>
        <v>82993.274391273066</v>
      </c>
      <c r="W410">
        <f t="shared" si="109"/>
        <v>355.69009407518973</v>
      </c>
      <c r="X410">
        <f t="shared" si="110"/>
        <v>40.483355714682993</v>
      </c>
      <c r="Y410">
        <f t="shared" si="111"/>
        <v>72.328050872818139</v>
      </c>
      <c r="Z410">
        <f t="shared" si="112"/>
        <v>1.9810589912867966</v>
      </c>
      <c r="AA410">
        <f t="shared" si="113"/>
        <v>3.4441056582783798</v>
      </c>
      <c r="AB410">
        <f t="shared" si="114"/>
        <v>-17.399454688253286</v>
      </c>
    </row>
    <row r="411" spans="12:28" x14ac:dyDescent="0.25">
      <c r="L411">
        <v>407</v>
      </c>
      <c r="M411">
        <f t="shared" si="119"/>
        <v>203.5</v>
      </c>
      <c r="N411">
        <f t="shared" si="115"/>
        <v>-82501.863656281537</v>
      </c>
      <c r="O411">
        <f t="shared" si="116"/>
        <v>6117.7627088880326</v>
      </c>
      <c r="P411">
        <f t="shared" si="117"/>
        <v>6495.9682348857432</v>
      </c>
      <c r="Q411">
        <f t="shared" si="118"/>
        <v>3409.8526315815475</v>
      </c>
      <c r="R411">
        <f t="shared" si="104"/>
        <v>498.2577691381486</v>
      </c>
      <c r="S411">
        <f t="shared" si="105"/>
        <v>-22.169757201927183</v>
      </c>
      <c r="T411">
        <f t="shared" si="106"/>
        <v>102507.95796661013</v>
      </c>
      <c r="U411">
        <f t="shared" si="107"/>
        <v>62622.318121360753</v>
      </c>
      <c r="V411">
        <f t="shared" si="108"/>
        <v>80327.447189772909</v>
      </c>
      <c r="W411">
        <f t="shared" si="109"/>
        <v>376.88578484275223</v>
      </c>
      <c r="X411">
        <f t="shared" si="110"/>
        <v>44.865129946898243</v>
      </c>
      <c r="Y411">
        <f t="shared" si="111"/>
        <v>76.506854348498109</v>
      </c>
      <c r="Z411">
        <f t="shared" si="112"/>
        <v>-4.1098655261514425</v>
      </c>
      <c r="AA411">
        <f t="shared" si="113"/>
        <v>2.7867501920949125</v>
      </c>
      <c r="AB411">
        <f t="shared" si="114"/>
        <v>-20.846641867870652</v>
      </c>
    </row>
    <row r="412" spans="12:28" x14ac:dyDescent="0.25">
      <c r="L412">
        <v>408</v>
      </c>
      <c r="M412">
        <f t="shared" si="119"/>
        <v>204</v>
      </c>
      <c r="N412">
        <f t="shared" si="115"/>
        <v>-79191.597317696389</v>
      </c>
      <c r="O412">
        <f t="shared" si="116"/>
        <v>7819.9178050285655</v>
      </c>
      <c r="P412">
        <f t="shared" si="117"/>
        <v>6745.0971194548174</v>
      </c>
      <c r="Q412">
        <f t="shared" si="118"/>
        <v>3398.7677529805837</v>
      </c>
      <c r="R412">
        <f t="shared" si="104"/>
        <v>531.70325331147922</v>
      </c>
      <c r="S412">
        <f t="shared" si="105"/>
        <v>-34.467556610493475</v>
      </c>
      <c r="T412">
        <f t="shared" si="106"/>
        <v>99231.672941975281</v>
      </c>
      <c r="U412">
        <f t="shared" si="107"/>
        <v>59231.730950539961</v>
      </c>
      <c r="V412">
        <f t="shared" si="108"/>
        <v>77621.786639960003</v>
      </c>
      <c r="W412">
        <f t="shared" si="109"/>
        <v>400.56515027926287</v>
      </c>
      <c r="X412">
        <f t="shared" si="110"/>
        <v>50.101891971434952</v>
      </c>
      <c r="Y412">
        <f t="shared" si="111"/>
        <v>81.036211060781355</v>
      </c>
      <c r="Z412">
        <f t="shared" si="112"/>
        <v>-11.387666192415635</v>
      </c>
      <c r="AA412">
        <f t="shared" si="113"/>
        <v>1.8452997988052682</v>
      </c>
      <c r="AB412">
        <f t="shared" si="114"/>
        <v>-24.925190216883109</v>
      </c>
    </row>
    <row r="413" spans="12:28" x14ac:dyDescent="0.25">
      <c r="L413">
        <v>409</v>
      </c>
      <c r="M413">
        <f t="shared" si="119"/>
        <v>204.5</v>
      </c>
      <c r="N413">
        <f t="shared" si="115"/>
        <v>-75752.585851305048</v>
      </c>
      <c r="O413">
        <f t="shared" si="116"/>
        <v>9514.9932369425442</v>
      </c>
      <c r="P413">
        <f t="shared" si="117"/>
        <v>7010.9487461105573</v>
      </c>
      <c r="Q413">
        <f t="shared" si="118"/>
        <v>3381.533974675337</v>
      </c>
      <c r="R413">
        <f t="shared" si="104"/>
        <v>569.51336389678465</v>
      </c>
      <c r="S413">
        <f t="shared" si="105"/>
        <v>-49.423885490751175</v>
      </c>
      <c r="T413">
        <f t="shared" si="106"/>
        <v>95858.973816441314</v>
      </c>
      <c r="U413">
        <f t="shared" si="107"/>
        <v>55754.695413636255</v>
      </c>
      <c r="V413">
        <f t="shared" si="108"/>
        <v>74879.324903831977</v>
      </c>
      <c r="W413">
        <f t="shared" si="109"/>
        <v>427.15257065125633</v>
      </c>
      <c r="X413">
        <f t="shared" si="110"/>
        <v>56.431937745157668</v>
      </c>
      <c r="Y413">
        <f t="shared" si="111"/>
        <v>85.928855500370673</v>
      </c>
      <c r="Z413">
        <f t="shared" si="112"/>
        <v>-20.141398276470245</v>
      </c>
      <c r="AA413">
        <f t="shared" si="113"/>
        <v>0.49091662818717702</v>
      </c>
      <c r="AB413">
        <f t="shared" si="114"/>
        <v>-29.773403842468106</v>
      </c>
    </row>
    <row r="414" spans="12:28" x14ac:dyDescent="0.25">
      <c r="L414">
        <v>410</v>
      </c>
      <c r="M414">
        <f t="shared" si="119"/>
        <v>205</v>
      </c>
      <c r="N414">
        <f t="shared" si="115"/>
        <v>-72175.922307762681</v>
      </c>
      <c r="O414">
        <f t="shared" si="116"/>
        <v>11199.58223859387</v>
      </c>
      <c r="P414">
        <f t="shared" si="117"/>
        <v>7295.70542805895</v>
      </c>
      <c r="Q414">
        <f t="shared" si="118"/>
        <v>3356.8220319299617</v>
      </c>
      <c r="R414">
        <f t="shared" si="104"/>
        <v>612.53147125862711</v>
      </c>
      <c r="S414">
        <f t="shared" si="105"/>
        <v>-67.786929383737487</v>
      </c>
      <c r="T414">
        <f t="shared" si="106"/>
        <v>92384.173283197102</v>
      </c>
      <c r="U414">
        <f t="shared" si="107"/>
        <v>52189.710348045017</v>
      </c>
      <c r="V414">
        <f t="shared" si="108"/>
        <v>72104.248469666563</v>
      </c>
      <c r="W414">
        <f t="shared" si="109"/>
        <v>457.16846066232876</v>
      </c>
      <c r="X414">
        <f t="shared" si="110"/>
        <v>64.179019600130545</v>
      </c>
      <c r="Y414">
        <f t="shared" si="111"/>
        <v>91.183990996167864</v>
      </c>
      <c r="Z414">
        <f t="shared" si="112"/>
        <v>-30.748306041400841</v>
      </c>
      <c r="AA414">
        <f t="shared" si="113"/>
        <v>-1.4755467387536774</v>
      </c>
      <c r="AB414">
        <f t="shared" si="114"/>
        <v>-35.563076603582978</v>
      </c>
    </row>
    <row r="415" spans="12:28" x14ac:dyDescent="0.25">
      <c r="L415">
        <v>411</v>
      </c>
      <c r="M415">
        <f t="shared" si="119"/>
        <v>205.5</v>
      </c>
      <c r="N415">
        <f t="shared" si="115"/>
        <v>-68451.503159825879</v>
      </c>
      <c r="O415">
        <f t="shared" si="116"/>
        <v>12869.519888385883</v>
      </c>
      <c r="P415">
        <f t="shared" si="117"/>
        <v>7601.9711636882639</v>
      </c>
      <c r="Q415">
        <f t="shared" si="118"/>
        <v>3322.9285672380929</v>
      </c>
      <c r="R415">
        <f t="shared" si="104"/>
        <v>661.82169041777001</v>
      </c>
      <c r="S415">
        <f t="shared" si="105"/>
        <v>-90.584169211688277</v>
      </c>
      <c r="T415">
        <f t="shared" si="106"/>
        <v>88800.888252913268</v>
      </c>
      <c r="U415">
        <f t="shared" si="107"/>
        <v>48536.401832402647</v>
      </c>
      <c r="V415">
        <f t="shared" si="108"/>
        <v>69302.261089018808</v>
      </c>
      <c r="W415">
        <f t="shared" si="109"/>
        <v>491.25621612375983</v>
      </c>
      <c r="X415">
        <f t="shared" si="110"/>
        <v>73.788103231599436</v>
      </c>
      <c r="Y415">
        <f t="shared" si="111"/>
        <v>96.777371062410737</v>
      </c>
      <c r="Z415">
        <f t="shared" si="112"/>
        <v>-43.707008077563259</v>
      </c>
      <c r="AA415">
        <f t="shared" si="113"/>
        <v>-4.3700693671132358</v>
      </c>
      <c r="AB415">
        <f t="shared" si="114"/>
        <v>-42.507091767011779</v>
      </c>
    </row>
    <row r="416" spans="12:28" x14ac:dyDescent="0.25">
      <c r="L416">
        <v>412</v>
      </c>
      <c r="M416">
        <f t="shared" si="119"/>
        <v>206</v>
      </c>
      <c r="N416">
        <f t="shared" si="115"/>
        <v>-64567.78986667953</v>
      </c>
      <c r="O416">
        <f t="shared" si="116"/>
        <v>14519.66115085347</v>
      </c>
      <c r="P416">
        <f t="shared" si="117"/>
        <v>7932.8820088971488</v>
      </c>
      <c r="Q416">
        <f t="shared" si="118"/>
        <v>3277.6364826322488</v>
      </c>
      <c r="R416">
        <f t="shared" si="104"/>
        <v>718.73931940501416</v>
      </c>
      <c r="S416">
        <f t="shared" si="105"/>
        <v>-119.26208033790212</v>
      </c>
      <c r="T416">
        <f t="shared" si="106"/>
        <v>85101.909681051999</v>
      </c>
      <c r="U416">
        <f t="shared" si="107"/>
        <v>44796.37519397118</v>
      </c>
      <c r="V416">
        <f t="shared" si="108"/>
        <v>66481.064853551317</v>
      </c>
      <c r="W416">
        <f t="shared" si="109"/>
        <v>530.21801667492571</v>
      </c>
      <c r="X416">
        <f t="shared" si="110"/>
        <v>85.875525934814306</v>
      </c>
      <c r="Y416">
        <f t="shared" si="111"/>
        <v>102.64577679527423</v>
      </c>
      <c r="Z416">
        <f t="shared" si="112"/>
        <v>-59.685796007915144</v>
      </c>
      <c r="AA416">
        <f t="shared" si="113"/>
        <v>-8.7087172044595444</v>
      </c>
      <c r="AB416">
        <f t="shared" si="114"/>
        <v>-50.867567125527422</v>
      </c>
    </row>
    <row r="417" spans="12:28" x14ac:dyDescent="0.25">
      <c r="L417">
        <v>413</v>
      </c>
      <c r="M417">
        <f t="shared" si="119"/>
        <v>206.5</v>
      </c>
      <c r="N417">
        <f t="shared" si="115"/>
        <v>-60511.506447305328</v>
      </c>
      <c r="O417">
        <f t="shared" si="116"/>
        <v>16143.571632127358</v>
      </c>
      <c r="P417">
        <f t="shared" si="117"/>
        <v>8292.2516685996561</v>
      </c>
      <c r="Q417">
        <f t="shared" si="118"/>
        <v>3218.0054424632976</v>
      </c>
      <c r="R417">
        <f t="shared" si="104"/>
        <v>785.01968573864394</v>
      </c>
      <c r="S417">
        <f t="shared" si="105"/>
        <v>-155.91862085718071</v>
      </c>
      <c r="T417">
        <f t="shared" si="106"/>
        <v>81279.037021453682</v>
      </c>
      <c r="U417">
        <f t="shared" si="107"/>
        <v>40974.694959561828</v>
      </c>
      <c r="V417">
        <f t="shared" si="108"/>
        <v>63650.99686615025</v>
      </c>
      <c r="W417">
        <f t="shared" si="109"/>
        <v>575.06264151360779</v>
      </c>
      <c r="X417">
        <f t="shared" si="110"/>
        <v>101.29396394579202</v>
      </c>
      <c r="Y417">
        <f t="shared" si="111"/>
        <v>108.66308027924414</v>
      </c>
      <c r="Z417">
        <f t="shared" si="112"/>
        <v>-79.594234680746624</v>
      </c>
      <c r="AA417">
        <f t="shared" si="113"/>
        <v>-15.361233831493141</v>
      </c>
      <c r="AB417">
        <f t="shared" si="114"/>
        <v>-60.963152344940937</v>
      </c>
    </row>
    <row r="418" spans="12:28" x14ac:dyDescent="0.25">
      <c r="L418">
        <v>414</v>
      </c>
      <c r="M418">
        <f t="shared" si="119"/>
        <v>207</v>
      </c>
      <c r="N418">
        <f t="shared" si="115"/>
        <v>-56267.253152288169</v>
      </c>
      <c r="O418">
        <f t="shared" si="116"/>
        <v>17733.084525751859</v>
      </c>
      <c r="P418">
        <f t="shared" si="117"/>
        <v>8684.7615114689779</v>
      </c>
      <c r="Q418">
        <f t="shared" si="118"/>
        <v>3140.0461320347072</v>
      </c>
      <c r="R418">
        <f t="shared" si="104"/>
        <v>862.87002579268642</v>
      </c>
      <c r="S418">
        <f t="shared" si="105"/>
        <v>-203.70588635609096</v>
      </c>
      <c r="T418">
        <f t="shared" si="106"/>
        <v>77322.86430891676</v>
      </c>
      <c r="U418">
        <f t="shared" si="107"/>
        <v>37082.532916382326</v>
      </c>
      <c r="V418">
        <f t="shared" si="108"/>
        <v>60825.866770238608</v>
      </c>
      <c r="W418">
        <f t="shared" si="109"/>
        <v>627.06945670821483</v>
      </c>
      <c r="X418">
        <f t="shared" si="110"/>
        <v>121.19652259548437</v>
      </c>
      <c r="Y418">
        <f t="shared" si="111"/>
        <v>114.60404648898721</v>
      </c>
      <c r="Z418">
        <f t="shared" si="112"/>
        <v>-104.69143788146832</v>
      </c>
      <c r="AA418">
        <f t="shared" si="113"/>
        <v>-25.842126767158945</v>
      </c>
      <c r="AB418">
        <f t="shared" si="114"/>
        <v>-73.172321707463723</v>
      </c>
    </row>
    <row r="419" spans="12:28" x14ac:dyDescent="0.25">
      <c r="L419">
        <v>415</v>
      </c>
      <c r="M419">
        <f t="shared" si="119"/>
        <v>207.5</v>
      </c>
      <c r="N419">
        <f t="shared" si="115"/>
        <v>-51817.013643329592</v>
      </c>
      <c r="O419">
        <f t="shared" si="116"/>
        <v>19277.644355974702</v>
      </c>
      <c r="P419">
        <f t="shared" si="117"/>
        <v>9116.1965243653212</v>
      </c>
      <c r="Q419">
        <f t="shared" si="118"/>
        <v>3038.1931888566619</v>
      </c>
      <c r="R419">
        <f t="shared" si="104"/>
        <v>954.98659676918089</v>
      </c>
      <c r="S419">
        <f t="shared" si="105"/>
        <v>-267.5501701059581</v>
      </c>
      <c r="T419">
        <f t="shared" si="106"/>
        <v>73222.500483129392</v>
      </c>
      <c r="U419">
        <f t="shared" si="107"/>
        <v>33142.073591973247</v>
      </c>
      <c r="V419">
        <f t="shared" si="108"/>
        <v>58024.043887636726</v>
      </c>
      <c r="W419">
        <f t="shared" si="109"/>
        <v>687.87367993666101</v>
      </c>
      <c r="X419">
        <f t="shared" si="110"/>
        <v>147.0217431612665</v>
      </c>
      <c r="Y419">
        <f t="shared" si="111"/>
        <v>120.09117367125339</v>
      </c>
      <c r="Z419">
        <f t="shared" si="112"/>
        <v>-136.75332996644897</v>
      </c>
      <c r="AA419">
        <f t="shared" si="113"/>
        <v>-42.870630818353099</v>
      </c>
      <c r="AB419">
        <f t="shared" si="114"/>
        <v>-87.926209321156037</v>
      </c>
    </row>
    <row r="420" spans="12:28" x14ac:dyDescent="0.25">
      <c r="L420">
        <v>416</v>
      </c>
      <c r="M420">
        <f t="shared" si="119"/>
        <v>208</v>
      </c>
      <c r="N420">
        <f t="shared" si="115"/>
        <v>-47139.542056550781</v>
      </c>
      <c r="O420">
        <f t="shared" si="116"/>
        <v>20763.297179139787</v>
      </c>
      <c r="P420">
        <f t="shared" si="117"/>
        <v>9593.6898227499114</v>
      </c>
      <c r="Q420">
        <f t="shared" si="118"/>
        <v>2904.4181038036827</v>
      </c>
      <c r="R420">
        <f t="shared" si="104"/>
        <v>1064.1994865194374</v>
      </c>
      <c r="S420">
        <f t="shared" si="105"/>
        <v>-355.44213550810338</v>
      </c>
      <c r="T420">
        <f t="shared" si="106"/>
        <v>68965.206050016466</v>
      </c>
      <c r="U420">
        <f t="shared" si="107"/>
        <v>29195.946794131665</v>
      </c>
      <c r="V420">
        <f t="shared" si="108"/>
        <v>55269.832909637786</v>
      </c>
      <c r="W420">
        <f t="shared" si="109"/>
        <v>759.57803394202051</v>
      </c>
      <c r="X420">
        <f t="shared" si="110"/>
        <v>180.10117053194983</v>
      </c>
      <c r="Y420">
        <f t="shared" si="111"/>
        <v>124.52028204546713</v>
      </c>
      <c r="Z420">
        <f t="shared" si="112"/>
        <v>-178.33684760151789</v>
      </c>
      <c r="AA420">
        <f t="shared" si="113"/>
        <v>-71.426497053895943</v>
      </c>
      <c r="AB420">
        <f t="shared" si="114"/>
        <v>-105.67879085268954</v>
      </c>
    </row>
    <row r="421" spans="12:28" x14ac:dyDescent="0.25">
      <c r="L421">
        <v>417</v>
      </c>
      <c r="M421">
        <f t="shared" si="119"/>
        <v>208.5</v>
      </c>
      <c r="N421">
        <f t="shared" si="115"/>
        <v>-42209.672209360899</v>
      </c>
      <c r="O421">
        <f t="shared" si="116"/>
        <v>22171.075964103115</v>
      </c>
      <c r="P421">
        <f t="shared" si="117"/>
        <v>10125.789566009629</v>
      </c>
      <c r="Q421">
        <f t="shared" si="118"/>
        <v>2726.6970360496312</v>
      </c>
      <c r="R421">
        <f t="shared" si="104"/>
        <v>1191.7336108270656</v>
      </c>
      <c r="S421">
        <f t="shared" si="105"/>
        <v>-480.53397495678195</v>
      </c>
      <c r="T421">
        <f t="shared" si="106"/>
        <v>64535.9525083587</v>
      </c>
      <c r="U421">
        <f t="shared" si="107"/>
        <v>25325.967499213657</v>
      </c>
      <c r="V421">
        <f t="shared" si="108"/>
        <v>52595.138504021539</v>
      </c>
      <c r="W421">
        <f t="shared" si="109"/>
        <v>844.89193799113411</v>
      </c>
      <c r="X421">
        <f t="shared" si="110"/>
        <v>219.87677006775306</v>
      </c>
      <c r="Y421">
        <f t="shared" si="111"/>
        <v>126.9649027681786</v>
      </c>
      <c r="Z421">
        <f t="shared" si="112"/>
        <v>-233.20655990405683</v>
      </c>
      <c r="AA421">
        <f t="shared" si="113"/>
        <v>-120.49420837955107</v>
      </c>
      <c r="AB421">
        <f t="shared" si="114"/>
        <v>-126.83320667317406</v>
      </c>
    </row>
    <row r="422" spans="12:28" x14ac:dyDescent="0.25">
      <c r="L422">
        <v>418</v>
      </c>
      <c r="M422">
        <f t="shared" si="119"/>
        <v>209</v>
      </c>
      <c r="N422">
        <f t="shared" si="115"/>
        <v>-36997.810725002702</v>
      </c>
      <c r="O422">
        <f t="shared" si="116"/>
        <v>23474.357735258334</v>
      </c>
      <c r="P422">
        <f t="shared" si="117"/>
        <v>10721.656371423162</v>
      </c>
      <c r="Q422">
        <f t="shared" si="118"/>
        <v>2486.4300485712401</v>
      </c>
      <c r="R422">
        <f t="shared" si="104"/>
        <v>1331.1810633630719</v>
      </c>
      <c r="S422">
        <f t="shared" si="105"/>
        <v>-663.00994275971811</v>
      </c>
      <c r="T422">
        <f t="shared" si="106"/>
        <v>59917.045330803259</v>
      </c>
      <c r="U422">
        <f t="shared" si="107"/>
        <v>21690.640511998095</v>
      </c>
      <c r="V422">
        <f t="shared" si="108"/>
        <v>50041.343850197823</v>
      </c>
      <c r="W422">
        <f t="shared" si="109"/>
        <v>947.28115634103131</v>
      </c>
      <c r="X422">
        <f t="shared" si="110"/>
        <v>257.82653414295368</v>
      </c>
      <c r="Y422">
        <f t="shared" si="111"/>
        <v>126.07337287908696</v>
      </c>
      <c r="Z422">
        <f t="shared" si="112"/>
        <v>-307.03654641311772</v>
      </c>
      <c r="AA422">
        <f t="shared" si="113"/>
        <v>-204.3820237140217</v>
      </c>
      <c r="AB422">
        <f t="shared" si="114"/>
        <v>-151.5913726325787</v>
      </c>
    </row>
    <row r="423" spans="12:28" x14ac:dyDescent="0.25">
      <c r="L423">
        <v>419</v>
      </c>
      <c r="M423">
        <f t="shared" si="119"/>
        <v>209.5</v>
      </c>
      <c r="N423">
        <f t="shared" si="115"/>
        <v>-31470.584906370739</v>
      </c>
      <c r="O423">
        <f t="shared" si="116"/>
        <v>24634.696516698987</v>
      </c>
      <c r="P423">
        <f t="shared" si="117"/>
        <v>11387.246903104697</v>
      </c>
      <c r="Q423">
        <f t="shared" si="118"/>
        <v>2154.9250771913812</v>
      </c>
      <c r="R423">
        <f t="shared" si="104"/>
        <v>1453.7090196902343</v>
      </c>
      <c r="S423">
        <f t="shared" si="105"/>
        <v>-923.37595487791259</v>
      </c>
      <c r="T423">
        <f t="shared" si="106"/>
        <v>55088.496239294742</v>
      </c>
      <c r="U423">
        <f t="shared" si="107"/>
        <v>18594.31795549763</v>
      </c>
      <c r="V423">
        <f t="shared" si="108"/>
        <v>47661.315899335103</v>
      </c>
      <c r="W423">
        <f t="shared" si="109"/>
        <v>1071.0418789956184</v>
      </c>
      <c r="X423">
        <f t="shared" si="110"/>
        <v>262.66203776800677</v>
      </c>
      <c r="Y423">
        <f t="shared" si="111"/>
        <v>120.00510292660921</v>
      </c>
      <c r="Z423">
        <f t="shared" si="112"/>
        <v>-408.5747672968659</v>
      </c>
      <c r="AA423">
        <f t="shared" si="113"/>
        <v>-335.11623344137996</v>
      </c>
      <c r="AB423">
        <f t="shared" si="114"/>
        <v>-179.68495413966673</v>
      </c>
    </row>
    <row r="424" spans="12:28" x14ac:dyDescent="0.25">
      <c r="L424">
        <v>420</v>
      </c>
      <c r="M424">
        <f t="shared" si="119"/>
        <v>210</v>
      </c>
      <c r="N424">
        <f t="shared" si="115"/>
        <v>-25595.247827357111</v>
      </c>
      <c r="O424">
        <f t="shared" si="116"/>
        <v>25596.737060934938</v>
      </c>
      <c r="P424">
        <f t="shared" si="117"/>
        <v>12114.101412949814</v>
      </c>
      <c r="Q424">
        <f t="shared" si="118"/>
        <v>1693.2370997524249</v>
      </c>
      <c r="R424">
        <f t="shared" si="104"/>
        <v>1500.1289170590931</v>
      </c>
      <c r="S424">
        <f t="shared" si="105"/>
        <v>-1242.7647143106076</v>
      </c>
      <c r="T424">
        <f t="shared" si="106"/>
        <v>50031.512089835982</v>
      </c>
      <c r="U424">
        <f t="shared" si="107"/>
        <v>16570.003174335419</v>
      </c>
      <c r="V424">
        <f t="shared" si="108"/>
        <v>45522.074788666498</v>
      </c>
      <c r="W424">
        <f t="shared" si="109"/>
        <v>1220.965752825037</v>
      </c>
      <c r="X424">
        <f t="shared" si="110"/>
        <v>172.65126007045291</v>
      </c>
      <c r="Y424">
        <f t="shared" si="111"/>
        <v>106.51190416360309</v>
      </c>
      <c r="Z424">
        <f t="shared" si="112"/>
        <v>-551.54674598029135</v>
      </c>
      <c r="AA424">
        <f t="shared" si="113"/>
        <v>-481.26488578252645</v>
      </c>
      <c r="AB424">
        <f t="shared" si="114"/>
        <v>-209.95308254778982</v>
      </c>
    </row>
    <row r="425" spans="12:28" x14ac:dyDescent="0.25">
      <c r="L425">
        <v>421</v>
      </c>
      <c r="M425">
        <f t="shared" si="119"/>
        <v>210.5</v>
      </c>
      <c r="N425">
        <f t="shared" si="115"/>
        <v>-19350.681006249815</v>
      </c>
      <c r="O425">
        <f t="shared" si="116"/>
        <v>26288.010021522325</v>
      </c>
      <c r="P425">
        <f t="shared" si="117"/>
        <v>12864.165871479361</v>
      </c>
      <c r="Q425">
        <f t="shared" si="118"/>
        <v>1071.854742597121</v>
      </c>
      <c r="R425">
        <f t="shared" si="104"/>
        <v>1462.9298468792329</v>
      </c>
      <c r="S425">
        <f t="shared" si="105"/>
        <v>-1521.3439449470436</v>
      </c>
      <c r="T425">
        <f t="shared" si="106"/>
        <v>44739.864397783604</v>
      </c>
      <c r="U425">
        <f t="shared" si="107"/>
        <v>16300.947384028219</v>
      </c>
      <c r="V425">
        <f t="shared" si="108"/>
        <v>43710.888996684414</v>
      </c>
      <c r="W425">
        <f t="shared" si="109"/>
        <v>1400.4732064270252</v>
      </c>
      <c r="X425">
        <f t="shared" si="110"/>
        <v>-20.886347640822923</v>
      </c>
      <c r="Y425">
        <f t="shared" si="111"/>
        <v>83.342988093030783</v>
      </c>
      <c r="Z425">
        <f t="shared" si="112"/>
        <v>-757.63079293486601</v>
      </c>
      <c r="AA425">
        <f t="shared" si="113"/>
        <v>-523.92898245882577</v>
      </c>
      <c r="AB425">
        <f t="shared" si="114"/>
        <v>-239.78416955335175</v>
      </c>
    </row>
    <row r="426" spans="12:28" x14ac:dyDescent="0.25">
      <c r="L426">
        <v>422</v>
      </c>
      <c r="M426">
        <f t="shared" si="119"/>
        <v>211</v>
      </c>
      <c r="N426">
        <f t="shared" si="115"/>
        <v>-12735.731839650232</v>
      </c>
      <c r="O426">
        <f t="shared" si="116"/>
        <v>26633.769399702505</v>
      </c>
      <c r="P426">
        <f t="shared" si="117"/>
        <v>13595.630794918978</v>
      </c>
      <c r="Q426">
        <f t="shared" si="118"/>
        <v>311.1827701235992</v>
      </c>
      <c r="R426">
        <f t="shared" si="104"/>
        <v>1477.1573367657845</v>
      </c>
      <c r="S426">
        <f t="shared" si="105"/>
        <v>-1731.1991624790176</v>
      </c>
      <c r="T426">
        <f t="shared" si="106"/>
        <v>39238.350086579769</v>
      </c>
      <c r="U426">
        <f t="shared" si="107"/>
        <v>18150.809247742945</v>
      </c>
      <c r="V426">
        <f t="shared" si="108"/>
        <v>42346.33752194613</v>
      </c>
      <c r="W426">
        <f t="shared" si="109"/>
        <v>1605.1892398681043</v>
      </c>
      <c r="X426">
        <f t="shared" si="110"/>
        <v>-177.20199864612979</v>
      </c>
      <c r="Y426">
        <f t="shared" si="111"/>
        <v>49.170095543810099</v>
      </c>
      <c r="Z426">
        <f t="shared" si="112"/>
        <v>-1060.807011381034</v>
      </c>
      <c r="AA426">
        <f t="shared" si="113"/>
        <v>-405.75831144760457</v>
      </c>
      <c r="AB426">
        <f t="shared" si="114"/>
        <v>-264.63383965037883</v>
      </c>
    </row>
    <row r="427" spans="12:28" x14ac:dyDescent="0.25">
      <c r="L427">
        <v>423</v>
      </c>
      <c r="M427">
        <f t="shared" si="119"/>
        <v>211.5</v>
      </c>
      <c r="N427">
        <f t="shared" si="115"/>
        <v>-5753.2717750950205</v>
      </c>
      <c r="O427">
        <f t="shared" si="116"/>
        <v>26572.960889454425</v>
      </c>
      <c r="P427">
        <f t="shared" si="117"/>
        <v>14334.20946330187</v>
      </c>
      <c r="Q427">
        <f t="shared" si="118"/>
        <v>-554.41681111590958</v>
      </c>
      <c r="R427">
        <f t="shared" si="104"/>
        <v>1598.3009553563129</v>
      </c>
      <c r="S427">
        <f t="shared" si="105"/>
        <v>-2036.5787095362778</v>
      </c>
      <c r="T427">
        <f t="shared" si="106"/>
        <v>33594.994398865972</v>
      </c>
      <c r="U427">
        <f t="shared" si="107"/>
        <v>21854.800336715278</v>
      </c>
      <c r="V427">
        <f t="shared" si="108"/>
        <v>41579.784697413503</v>
      </c>
      <c r="W427">
        <f t="shared" si="109"/>
        <v>1804.97071146857</v>
      </c>
      <c r="X427">
        <f t="shared" si="110"/>
        <v>-211.71257112497179</v>
      </c>
      <c r="Y427">
        <f t="shared" si="111"/>
        <v>5.0428150127146445</v>
      </c>
      <c r="Z427">
        <f t="shared" si="112"/>
        <v>-1511.9850753401417</v>
      </c>
      <c r="AA427">
        <f t="shared" si="113"/>
        <v>-246.28139918654182</v>
      </c>
      <c r="AB427">
        <f t="shared" si="114"/>
        <v>-278.31223500959413</v>
      </c>
    </row>
    <row r="428" spans="12:28" x14ac:dyDescent="0.25">
      <c r="L428">
        <v>424</v>
      </c>
      <c r="M428">
        <f t="shared" si="119"/>
        <v>212</v>
      </c>
      <c r="N428">
        <f t="shared" si="115"/>
        <v>1613.6205759754534</v>
      </c>
      <c r="O428">
        <f t="shared" si="116"/>
        <v>26041.180145204435</v>
      </c>
      <c r="P428">
        <f t="shared" si="117"/>
        <v>15133.359940980026</v>
      </c>
      <c r="Q428">
        <f t="shared" si="118"/>
        <v>-1572.7061658840485</v>
      </c>
      <c r="R428">
        <f t="shared" si="104"/>
        <v>1673.3762008823714</v>
      </c>
      <c r="S428">
        <f t="shared" si="105"/>
        <v>-2581.0486403132813</v>
      </c>
      <c r="T428">
        <f t="shared" si="106"/>
        <v>27942.623538729116</v>
      </c>
      <c r="U428">
        <f t="shared" si="107"/>
        <v>26915.944249703192</v>
      </c>
      <c r="V428">
        <f t="shared" si="108"/>
        <v>41570.644027174851</v>
      </c>
      <c r="W428">
        <f t="shared" si="109"/>
        <v>1898.1289438222168</v>
      </c>
      <c r="X428">
        <f t="shared" si="110"/>
        <v>-180.4499197604402</v>
      </c>
      <c r="Y428">
        <f t="shared" si="111"/>
        <v>-44.302823179405195</v>
      </c>
      <c r="Z428">
        <f t="shared" si="112"/>
        <v>-2172.1988937965566</v>
      </c>
      <c r="AA428">
        <f t="shared" si="113"/>
        <v>-133.92618140444375</v>
      </c>
      <c r="AB428">
        <f t="shared" si="114"/>
        <v>-274.92356511228076</v>
      </c>
    </row>
    <row r="429" spans="12:28" x14ac:dyDescent="0.25">
      <c r="L429">
        <v>425</v>
      </c>
      <c r="M429">
        <f t="shared" si="119"/>
        <v>212.5</v>
      </c>
      <c r="N429">
        <f t="shared" si="115"/>
        <v>9389.4725715757631</v>
      </c>
      <c r="O429">
        <f t="shared" si="116"/>
        <v>24932.195982223253</v>
      </c>
      <c r="P429">
        <f t="shared" si="117"/>
        <v>15970.048041421212</v>
      </c>
      <c r="Q429">
        <f t="shared" si="118"/>
        <v>-2863.2304860406894</v>
      </c>
      <c r="R429">
        <f t="shared" si="104"/>
        <v>1390.6323196557189</v>
      </c>
      <c r="S429">
        <f t="shared" si="105"/>
        <v>-3364.2805444836795</v>
      </c>
      <c r="T429">
        <f t="shared" si="106"/>
        <v>22580.42800708392</v>
      </c>
      <c r="U429">
        <f t="shared" si="107"/>
        <v>32965.308657540707</v>
      </c>
      <c r="V429">
        <f t="shared" si="108"/>
        <v>42445.697035751669</v>
      </c>
      <c r="W429">
        <f t="shared" si="109"/>
        <v>1619.3937587843391</v>
      </c>
      <c r="X429">
        <f t="shared" si="110"/>
        <v>-137.90577604126969</v>
      </c>
      <c r="Y429">
        <f t="shared" si="111"/>
        <v>-90.855663087350379</v>
      </c>
      <c r="Z429">
        <f t="shared" si="112"/>
        <v>-3042.0800464649678</v>
      </c>
      <c r="AA429">
        <f t="shared" si="113"/>
        <v>-70.067132709296459</v>
      </c>
      <c r="AB429">
        <f t="shared" si="114"/>
        <v>-252.13336530941521</v>
      </c>
    </row>
    <row r="430" spans="12:28" x14ac:dyDescent="0.25">
      <c r="L430">
        <v>426</v>
      </c>
      <c r="M430">
        <f t="shared" si="119"/>
        <v>213</v>
      </c>
      <c r="N430">
        <f t="shared" si="115"/>
        <v>17548.325632243334</v>
      </c>
      <c r="O430">
        <f t="shared" si="116"/>
        <v>23080.045671142449</v>
      </c>
      <c r="P430">
        <f t="shared" si="117"/>
        <v>16665.364201249071</v>
      </c>
      <c r="Q430">
        <f t="shared" si="118"/>
        <v>-4545.3707582825291</v>
      </c>
      <c r="R430">
        <f t="shared" si="104"/>
        <v>288.70491400587821</v>
      </c>
      <c r="S430">
        <f t="shared" si="105"/>
        <v>-4066.1807592603491</v>
      </c>
      <c r="T430">
        <f t="shared" si="106"/>
        <v>18245.513384832771</v>
      </c>
      <c r="U430">
        <f t="shared" si="107"/>
        <v>39761.342438908592</v>
      </c>
      <c r="V430">
        <f t="shared" si="108"/>
        <v>44255.133794103218</v>
      </c>
      <c r="W430">
        <f t="shared" si="109"/>
        <v>517.58945131680059</v>
      </c>
      <c r="X430">
        <f t="shared" si="110"/>
        <v>-102.47458265160094</v>
      </c>
      <c r="Y430">
        <f t="shared" si="111"/>
        <v>-126.40995465932143</v>
      </c>
      <c r="Z430">
        <f t="shared" si="112"/>
        <v>-3816.9999416652222</v>
      </c>
      <c r="AA430">
        <f t="shared" si="113"/>
        <v>-35.697256765643992</v>
      </c>
      <c r="AB430">
        <f t="shared" si="114"/>
        <v>-213.48356082948277</v>
      </c>
    </row>
    <row r="431" spans="12:28" x14ac:dyDescent="0.25">
      <c r="L431">
        <v>427</v>
      </c>
      <c r="M431">
        <f t="shared" si="119"/>
        <v>213.5</v>
      </c>
      <c r="N431">
        <f t="shared" si="115"/>
        <v>25917.095847118602</v>
      </c>
      <c r="O431">
        <f t="shared" si="116"/>
        <v>20299.087697093641</v>
      </c>
      <c r="P431">
        <f t="shared" si="117"/>
        <v>16809.716658252011</v>
      </c>
      <c r="Q431">
        <f t="shared" si="118"/>
        <v>-6578.4611379127036</v>
      </c>
      <c r="R431">
        <f t="shared" si="104"/>
        <v>-1655.2988143351413</v>
      </c>
      <c r="S431">
        <f t="shared" si="105"/>
        <v>-3887.4369498311062</v>
      </c>
      <c r="T431">
        <f t="shared" si="106"/>
        <v>16403.478522171761</v>
      </c>
      <c r="U431">
        <f t="shared" si="107"/>
        <v>47057.952552420953</v>
      </c>
      <c r="V431">
        <f t="shared" si="108"/>
        <v>46924.326397584286</v>
      </c>
      <c r="W431">
        <f t="shared" si="109"/>
        <v>-1432.1413300789834</v>
      </c>
      <c r="X431">
        <f t="shared" si="110"/>
        <v>-76.579149367176356</v>
      </c>
      <c r="Y431">
        <f t="shared" si="111"/>
        <v>-146.57833488898163</v>
      </c>
      <c r="Z431">
        <f t="shared" si="112"/>
        <v>-3702.9070289912988</v>
      </c>
      <c r="AA431">
        <f t="shared" si="113"/>
        <v>-17.176508238398849</v>
      </c>
      <c r="AB431">
        <f t="shared" si="114"/>
        <v>-167.35341260140819</v>
      </c>
    </row>
    <row r="432" spans="12:28" x14ac:dyDescent="0.25">
      <c r="L432">
        <v>428</v>
      </c>
      <c r="M432">
        <f t="shared" si="119"/>
        <v>214</v>
      </c>
      <c r="N432">
        <f t="shared" si="115"/>
        <v>34115.041824452717</v>
      </c>
      <c r="O432">
        <f t="shared" si="116"/>
        <v>16523.927509408401</v>
      </c>
      <c r="P432">
        <f t="shared" si="117"/>
        <v>15982.067251084442</v>
      </c>
      <c r="Q432">
        <f t="shared" si="118"/>
        <v>-8522.1796128282567</v>
      </c>
      <c r="R432">
        <f t="shared" si="104"/>
        <v>-3196.1463833995126</v>
      </c>
      <c r="S432">
        <f t="shared" si="105"/>
        <v>-2567.0757675343916</v>
      </c>
      <c r="T432">
        <f t="shared" si="106"/>
        <v>18221.836102548754</v>
      </c>
      <c r="U432">
        <f t="shared" si="107"/>
        <v>54506.874628896876</v>
      </c>
      <c r="V432">
        <f t="shared" si="108"/>
        <v>50236.883885718082</v>
      </c>
      <c r="W432">
        <f t="shared" si="109"/>
        <v>-2985.1951882590879</v>
      </c>
      <c r="X432">
        <f t="shared" si="110"/>
        <v>-58.559917971473169</v>
      </c>
      <c r="Y432">
        <f t="shared" si="111"/>
        <v>-152.39127716895138</v>
      </c>
      <c r="Z432">
        <f t="shared" si="112"/>
        <v>-2437.1995052353541</v>
      </c>
      <c r="AA432">
        <f t="shared" si="113"/>
        <v>-7.0597868341693166</v>
      </c>
      <c r="AB432">
        <f t="shared" si="114"/>
        <v>-122.81647546486809</v>
      </c>
    </row>
    <row r="433" spans="12:28" x14ac:dyDescent="0.25">
      <c r="L433">
        <v>429</v>
      </c>
      <c r="M433">
        <f t="shared" si="119"/>
        <v>214.5</v>
      </c>
      <c r="N433">
        <f t="shared" si="115"/>
        <v>41706.557152070003</v>
      </c>
      <c r="O433">
        <f t="shared" si="116"/>
        <v>11941.953232052472</v>
      </c>
      <c r="P433">
        <f t="shared" si="117"/>
        <v>14383.994059384686</v>
      </c>
      <c r="Q433">
        <f t="shared" si="118"/>
        <v>-9805.7174965954528</v>
      </c>
      <c r="R433">
        <f t="shared" si="104"/>
        <v>-3456.2120418098611</v>
      </c>
      <c r="S433">
        <f t="shared" si="105"/>
        <v>-1130.1188674688713</v>
      </c>
      <c r="T433">
        <f t="shared" si="106"/>
        <v>22789.588369957128</v>
      </c>
      <c r="U433">
        <f t="shared" si="107"/>
        <v>61737.106977223681</v>
      </c>
      <c r="V433">
        <f t="shared" si="108"/>
        <v>53920.045669098647</v>
      </c>
      <c r="W433">
        <f t="shared" si="109"/>
        <v>-3261.7251808815204</v>
      </c>
      <c r="X433">
        <f t="shared" si="110"/>
        <v>-46.202313421199811</v>
      </c>
      <c r="Y433">
        <f t="shared" si="111"/>
        <v>-148.28454750714064</v>
      </c>
      <c r="Z433">
        <f t="shared" si="112"/>
        <v>-1043.1292029804056</v>
      </c>
      <c r="AA433">
        <f t="shared" si="113"/>
        <v>-1.4540226520090409</v>
      </c>
      <c r="AB433">
        <f t="shared" si="114"/>
        <v>-85.535641836456534</v>
      </c>
    </row>
    <row r="434" spans="12:28" x14ac:dyDescent="0.25">
      <c r="L434">
        <v>430</v>
      </c>
      <c r="M434">
        <f t="shared" si="119"/>
        <v>215</v>
      </c>
      <c r="N434">
        <f t="shared" si="115"/>
        <v>48466.527676536112</v>
      </c>
      <c r="O434">
        <f t="shared" si="116"/>
        <v>6897.8296253211365</v>
      </c>
      <c r="P434">
        <f t="shared" si="117"/>
        <v>12655.888038479756</v>
      </c>
      <c r="Q434">
        <f t="shared" si="118"/>
        <v>-10370.776930329888</v>
      </c>
      <c r="R434">
        <f t="shared" si="104"/>
        <v>-2995.6593201217815</v>
      </c>
      <c r="S434">
        <f t="shared" si="105"/>
        <v>-243.12130622963701</v>
      </c>
      <c r="T434">
        <f t="shared" si="106"/>
        <v>28529.720560246344</v>
      </c>
      <c r="U434">
        <f t="shared" si="107"/>
        <v>68536.770226758003</v>
      </c>
      <c r="V434">
        <f t="shared" si="108"/>
        <v>57777.024188559539</v>
      </c>
      <c r="W434">
        <f t="shared" si="109"/>
        <v>-2819.1917303334176</v>
      </c>
      <c r="X434">
        <f t="shared" si="110"/>
        <v>-37.604497923432291</v>
      </c>
      <c r="Y434">
        <f t="shared" si="111"/>
        <v>-138.86309186493196</v>
      </c>
      <c r="Z434">
        <f t="shared" si="112"/>
        <v>-187.95216775585891</v>
      </c>
      <c r="AA434">
        <f t="shared" si="113"/>
        <v>1.7038334405371494</v>
      </c>
      <c r="AB434">
        <f t="shared" si="114"/>
        <v>-56.872971914315258</v>
      </c>
    </row>
    <row r="435" spans="12:28" x14ac:dyDescent="0.25">
      <c r="L435">
        <v>431</v>
      </c>
      <c r="M435">
        <f t="shared" si="119"/>
        <v>215.5</v>
      </c>
      <c r="N435">
        <f t="shared" si="115"/>
        <v>54420.014280760763</v>
      </c>
      <c r="O435">
        <f t="shared" si="116"/>
        <v>1682.0509968774877</v>
      </c>
      <c r="P435">
        <f t="shared" si="117"/>
        <v>11158.058378418866</v>
      </c>
      <c r="Q435">
        <f t="shared" si="118"/>
        <v>-10492.337583444707</v>
      </c>
      <c r="R435">
        <f t="shared" si="104"/>
        <v>-2420.5150367891315</v>
      </c>
      <c r="S435">
        <f t="shared" si="105"/>
        <v>185.80040409231231</v>
      </c>
      <c r="T435">
        <f t="shared" si="106"/>
        <v>34579.562875708776</v>
      </c>
      <c r="U435">
        <f t="shared" si="107"/>
        <v>74883.421403987551</v>
      </c>
      <c r="V435">
        <f t="shared" si="108"/>
        <v>61717.330812246197</v>
      </c>
      <c r="W435">
        <f t="shared" si="109"/>
        <v>-2261.7986468608879</v>
      </c>
      <c r="X435">
        <f t="shared" si="110"/>
        <v>-31.416494023488642</v>
      </c>
      <c r="Y435">
        <f t="shared" si="111"/>
        <v>-127.29989590475493</v>
      </c>
      <c r="Z435">
        <f t="shared" si="112"/>
        <v>218.02816536919991</v>
      </c>
      <c r="AA435">
        <f t="shared" si="113"/>
        <v>3.5114316715717022</v>
      </c>
      <c r="AB435">
        <f t="shared" si="114"/>
        <v>-35.739192948459319</v>
      </c>
    </row>
    <row r="436" spans="12:28" x14ac:dyDescent="0.25">
      <c r="L436">
        <v>432</v>
      </c>
      <c r="M436">
        <f t="shared" si="119"/>
        <v>216</v>
      </c>
      <c r="N436">
        <f t="shared" si="115"/>
        <v>59696.479090371555</v>
      </c>
      <c r="O436">
        <f t="shared" si="116"/>
        <v>-3540.8927443333268</v>
      </c>
      <c r="P436">
        <f t="shared" si="117"/>
        <v>9947.8008600242993</v>
      </c>
      <c r="Q436">
        <f t="shared" si="118"/>
        <v>-10399.437381398551</v>
      </c>
      <c r="R436">
        <f t="shared" si="104"/>
        <v>-1935.2909624372819</v>
      </c>
      <c r="S436">
        <f t="shared" si="105"/>
        <v>369.90740243389126</v>
      </c>
      <c r="T436">
        <f t="shared" si="106"/>
        <v>40604.892575187434</v>
      </c>
      <c r="U436">
        <f t="shared" si="107"/>
        <v>80838.632816961763</v>
      </c>
      <c r="V436">
        <f t="shared" si="108"/>
        <v>65703.466771455496</v>
      </c>
      <c r="W436">
        <f t="shared" si="109"/>
        <v>-1793.1013036991278</v>
      </c>
      <c r="X436">
        <f t="shared" si="110"/>
        <v>-26.792211734166706</v>
      </c>
      <c r="Y436">
        <f t="shared" si="111"/>
        <v>-115.39744700398728</v>
      </c>
      <c r="Z436">
        <f t="shared" si="112"/>
        <v>385.79456580402643</v>
      </c>
      <c r="AA436">
        <f t="shared" si="113"/>
        <v>4.5521517338856983</v>
      </c>
      <c r="AB436">
        <f t="shared" si="114"/>
        <v>-20.43931510402086</v>
      </c>
    </row>
    <row r="437" spans="12:28" x14ac:dyDescent="0.25">
      <c r="L437">
        <v>433</v>
      </c>
      <c r="M437">
        <f t="shared" si="119"/>
        <v>216.5</v>
      </c>
      <c r="N437">
        <f t="shared" si="115"/>
        <v>64428.468150079047</v>
      </c>
      <c r="O437">
        <f t="shared" si="116"/>
        <v>-8694.373009728366</v>
      </c>
      <c r="P437">
        <f t="shared" si="117"/>
        <v>8980.155378805659</v>
      </c>
      <c r="Q437">
        <f t="shared" si="118"/>
        <v>-10214.483680181605</v>
      </c>
      <c r="R437">
        <f t="shared" si="104"/>
        <v>-1562.8663598299006</v>
      </c>
      <c r="S437">
        <f t="shared" si="105"/>
        <v>438.18528890917599</v>
      </c>
      <c r="T437">
        <f t="shared" si="106"/>
        <v>46491.124252830938</v>
      </c>
      <c r="U437">
        <f t="shared" si="107"/>
        <v>86473.382126500481</v>
      </c>
      <c r="V437">
        <f t="shared" si="108"/>
        <v>69714.224670485884</v>
      </c>
      <c r="W437">
        <f t="shared" si="109"/>
        <v>-1435.5805834003384</v>
      </c>
      <c r="X437">
        <f t="shared" si="110"/>
        <v>-23.220920536073972</v>
      </c>
      <c r="Y437">
        <f t="shared" si="111"/>
        <v>-104.06485589348834</v>
      </c>
      <c r="Z437">
        <f t="shared" si="112"/>
        <v>442.49502207004895</v>
      </c>
      <c r="AA437">
        <f t="shared" si="113"/>
        <v>5.1416371709951711</v>
      </c>
      <c r="AB437">
        <f t="shared" si="114"/>
        <v>-9.4513703318681248</v>
      </c>
    </row>
    <row r="438" spans="12:28" x14ac:dyDescent="0.25">
      <c r="L438">
        <v>434</v>
      </c>
      <c r="M438">
        <f t="shared" si="119"/>
        <v>217</v>
      </c>
      <c r="N438">
        <f t="shared" si="115"/>
        <v>68723.187544503133</v>
      </c>
      <c r="O438">
        <f t="shared" si="116"/>
        <v>-13746.841688705521</v>
      </c>
      <c r="P438">
        <f t="shared" si="117"/>
        <v>8198.7221988907095</v>
      </c>
      <c r="Q438">
        <f t="shared" si="118"/>
        <v>-9995.3910357270179</v>
      </c>
      <c r="R438">
        <f t="shared" si="104"/>
        <v>-1282.1514891978777</v>
      </c>
      <c r="S438">
        <f t="shared" si="105"/>
        <v>453.29178301316313</v>
      </c>
      <c r="T438">
        <f t="shared" si="106"/>
        <v>52205.297411260981</v>
      </c>
      <c r="U438">
        <f t="shared" si="107"/>
        <v>91846.156687395021</v>
      </c>
      <c r="V438">
        <f t="shared" si="108"/>
        <v>73733.837466085737</v>
      </c>
      <c r="W438">
        <f t="shared" si="109"/>
        <v>-1168.0658667735206</v>
      </c>
      <c r="X438">
        <f t="shared" si="110"/>
        <v>-20.387964796630822</v>
      </c>
      <c r="Y438">
        <f t="shared" si="111"/>
        <v>-93.697657627726315</v>
      </c>
      <c r="Z438">
        <f t="shared" si="112"/>
        <v>449.42761321563478</v>
      </c>
      <c r="AA438">
        <f t="shared" si="113"/>
        <v>5.4568572858999929</v>
      </c>
      <c r="AB438">
        <f t="shared" si="114"/>
        <v>-1.5926874883716904</v>
      </c>
    </row>
    <row r="439" spans="12:28" x14ac:dyDescent="0.25">
      <c r="L439">
        <v>435</v>
      </c>
      <c r="M439">
        <f t="shared" si="119"/>
        <v>217.5</v>
      </c>
      <c r="N439">
        <f t="shared" si="115"/>
        <v>72662.279707798749</v>
      </c>
      <c r="O439">
        <f t="shared" si="116"/>
        <v>-18687.875733692385</v>
      </c>
      <c r="P439">
        <f t="shared" si="117"/>
        <v>7557.6464542917711</v>
      </c>
      <c r="Q439">
        <f t="shared" si="118"/>
        <v>-9768.7451442204365</v>
      </c>
      <c r="R439">
        <f t="shared" si="104"/>
        <v>-1069.1178431534565</v>
      </c>
      <c r="S439">
        <f t="shared" si="105"/>
        <v>444.39813729658027</v>
      </c>
      <c r="T439">
        <f t="shared" si="106"/>
        <v>57744.533601002302</v>
      </c>
      <c r="U439">
        <f t="shared" si="107"/>
        <v>97001.506662309679</v>
      </c>
      <c r="V439">
        <f t="shared" si="108"/>
        <v>77749.791747885261</v>
      </c>
      <c r="W439">
        <f t="shared" si="109"/>
        <v>-966.61065352120841</v>
      </c>
      <c r="X439">
        <f t="shared" si="110"/>
        <v>-18.091585389192808</v>
      </c>
      <c r="Y439">
        <f t="shared" si="111"/>
        <v>-84.415604243055384</v>
      </c>
      <c r="Z439">
        <f t="shared" si="112"/>
        <v>434.78848941821946</v>
      </c>
      <c r="AA439">
        <f t="shared" si="113"/>
        <v>5.6010833653919549</v>
      </c>
      <c r="AB439">
        <f t="shared" si="114"/>
        <v>4.0085645129688627</v>
      </c>
    </row>
    <row r="440" spans="12:28" x14ac:dyDescent="0.25">
      <c r="L440">
        <v>436</v>
      </c>
      <c r="M440">
        <f t="shared" si="119"/>
        <v>218</v>
      </c>
      <c r="N440">
        <f t="shared" si="115"/>
        <v>76307.463204550455</v>
      </c>
      <c r="O440">
        <f t="shared" si="116"/>
        <v>-23516.698538640532</v>
      </c>
      <c r="P440">
        <f t="shared" si="117"/>
        <v>7023.0875327150425</v>
      </c>
      <c r="Q440">
        <f t="shared" si="118"/>
        <v>-9546.5460755721469</v>
      </c>
      <c r="R440">
        <f t="shared" si="104"/>
        <v>-905.01872966546171</v>
      </c>
      <c r="S440">
        <f t="shared" si="105"/>
        <v>425.16775584267123</v>
      </c>
      <c r="T440">
        <f t="shared" si="106"/>
        <v>63116.816365177248</v>
      </c>
      <c r="U440">
        <f t="shared" si="107"/>
        <v>101973.01873449636</v>
      </c>
      <c r="V440">
        <f t="shared" si="108"/>
        <v>81752.294932664779</v>
      </c>
      <c r="W440">
        <f t="shared" si="109"/>
        <v>-812.62186209669005</v>
      </c>
      <c r="X440">
        <f t="shared" si="110"/>
        <v>-16.196990639272531</v>
      </c>
      <c r="Y440">
        <f t="shared" si="111"/>
        <v>-76.199876929499183</v>
      </c>
      <c r="Z440">
        <f t="shared" si="112"/>
        <v>411.54922187024215</v>
      </c>
      <c r="AA440">
        <f t="shared" si="113"/>
        <v>5.6368388744355356</v>
      </c>
      <c r="AB440">
        <f t="shared" si="114"/>
        <v>7.9816950979935841</v>
      </c>
    </row>
    <row r="441" spans="12:28" x14ac:dyDescent="0.25">
      <c r="L441">
        <v>437</v>
      </c>
      <c r="M441">
        <f t="shared" si="119"/>
        <v>218.5</v>
      </c>
      <c r="N441">
        <f t="shared" si="115"/>
        <v>79705.87962969979</v>
      </c>
      <c r="O441">
        <f t="shared" si="116"/>
        <v>-28236.825606946273</v>
      </c>
      <c r="P441">
        <f t="shared" si="117"/>
        <v>6570.5781678823114</v>
      </c>
      <c r="Q441">
        <f t="shared" si="118"/>
        <v>-9333.9621976508115</v>
      </c>
      <c r="R441">
        <f t="shared" si="104"/>
        <v>-776.46377699679397</v>
      </c>
      <c r="S441">
        <f t="shared" si="105"/>
        <v>402.09281965140406</v>
      </c>
      <c r="T441">
        <f t="shared" si="106"/>
        <v>68333.583535350757</v>
      </c>
      <c r="U441">
        <f t="shared" si="107"/>
        <v>106786.31590811721</v>
      </c>
      <c r="V441">
        <f t="shared" si="108"/>
        <v>85733.888258902021</v>
      </c>
      <c r="W441">
        <f t="shared" si="109"/>
        <v>-692.88436930524483</v>
      </c>
      <c r="X441">
        <f t="shared" si="110"/>
        <v>-14.610781814134326</v>
      </c>
      <c r="Y441">
        <f t="shared" si="111"/>
        <v>-68.968625877414908</v>
      </c>
      <c r="Z441">
        <f t="shared" si="112"/>
        <v>385.71204529950199</v>
      </c>
      <c r="AA441">
        <f t="shared" si="113"/>
        <v>5.6031792536513869</v>
      </c>
      <c r="AB441">
        <f t="shared" si="114"/>
        <v>10.777595098250663</v>
      </c>
    </row>
    <row r="442" spans="12:28" x14ac:dyDescent="0.25">
      <c r="L442">
        <v>438</v>
      </c>
      <c r="M442">
        <f t="shared" si="119"/>
        <v>219</v>
      </c>
      <c r="N442">
        <f t="shared" si="115"/>
        <v>82894.110741516342</v>
      </c>
      <c r="O442">
        <f t="shared" si="116"/>
        <v>-32853.545103315249</v>
      </c>
      <c r="P442">
        <f t="shared" si="117"/>
        <v>6182.3462793839144</v>
      </c>
      <c r="Q442">
        <f t="shared" si="118"/>
        <v>-9132.9157878251099</v>
      </c>
      <c r="R442">
        <f t="shared" si="104"/>
        <v>-674.07813735148329</v>
      </c>
      <c r="S442">
        <f t="shared" si="105"/>
        <v>378.27478797946333</v>
      </c>
      <c r="T442">
        <f t="shared" si="106"/>
        <v>73406.811964931723</v>
      </c>
      <c r="U442">
        <f t="shared" si="107"/>
        <v>111461.31325805068</v>
      </c>
      <c r="V442">
        <f t="shared" si="108"/>
        <v>89689.039329218213</v>
      </c>
      <c r="W442">
        <f t="shared" si="109"/>
        <v>-598.19499722600642</v>
      </c>
      <c r="X442">
        <f t="shared" si="110"/>
        <v>-13.266198662763065</v>
      </c>
      <c r="Y442">
        <f t="shared" si="111"/>
        <v>-62.616941462713854</v>
      </c>
      <c r="Z442">
        <f t="shared" si="112"/>
        <v>360.03055041407913</v>
      </c>
      <c r="AA442">
        <f t="shared" si="113"/>
        <v>5.5251329609370359</v>
      </c>
      <c r="AB442">
        <f t="shared" si="114"/>
        <v>12.7191046044472</v>
      </c>
    </row>
    <row r="443" spans="12:28" x14ac:dyDescent="0.25">
      <c r="L443">
        <v>439</v>
      </c>
      <c r="M443">
        <f t="shared" si="119"/>
        <v>219.5</v>
      </c>
      <c r="N443">
        <f t="shared" si="115"/>
        <v>85901.024114039377</v>
      </c>
      <c r="O443">
        <f t="shared" si="116"/>
        <v>-37372.71864873037</v>
      </c>
      <c r="P443">
        <f t="shared" si="117"/>
        <v>5845.3072107081725</v>
      </c>
      <c r="Q443">
        <f t="shared" si="118"/>
        <v>-8943.7783938353787</v>
      </c>
      <c r="R443">
        <f t="shared" si="104"/>
        <v>-591.27608279771243</v>
      </c>
      <c r="S443">
        <f t="shared" si="105"/>
        <v>355.17037410602495</v>
      </c>
      <c r="T443">
        <f t="shared" si="106"/>
        <v>78347.892536836385</v>
      </c>
      <c r="U443">
        <f t="shared" si="107"/>
        <v>116013.79823354684</v>
      </c>
      <c r="V443">
        <f t="shared" si="108"/>
        <v>93613.752860978799</v>
      </c>
      <c r="W443">
        <f t="shared" si="109"/>
        <v>-522.1247914030173</v>
      </c>
      <c r="X443">
        <f t="shared" si="110"/>
        <v>-12.114252251098605</v>
      </c>
      <c r="Y443">
        <f t="shared" si="111"/>
        <v>-57.03703914359653</v>
      </c>
      <c r="Z443">
        <f t="shared" si="112"/>
        <v>335.71324851283879</v>
      </c>
      <c r="AA443">
        <f t="shared" si="113"/>
        <v>5.419070007416126</v>
      </c>
      <c r="AB443">
        <f t="shared" si="114"/>
        <v>14.038055585770024</v>
      </c>
    </row>
    <row r="444" spans="12:28" x14ac:dyDescent="0.25">
      <c r="L444">
        <v>440</v>
      </c>
      <c r="M444">
        <f t="shared" si="119"/>
        <v>220</v>
      </c>
      <c r="N444">
        <f t="shared" si="115"/>
        <v>88749.768209043759</v>
      </c>
      <c r="O444">
        <f t="shared" si="116"/>
        <v>-41800.211548884807</v>
      </c>
      <c r="P444">
        <f t="shared" si="117"/>
        <v>5549.6691693093162</v>
      </c>
      <c r="Q444">
        <f t="shared" si="118"/>
        <v>-8766.1932067823655</v>
      </c>
      <c r="R444">
        <f t="shared" si="104"/>
        <v>-523.37419061690389</v>
      </c>
      <c r="S444">
        <f t="shared" si="105"/>
        <v>333.42194067332417</v>
      </c>
      <c r="T444">
        <f t="shared" si="106"/>
        <v>83167.243731036418</v>
      </c>
      <c r="U444">
        <f t="shared" si="107"/>
        <v>120456.523285499</v>
      </c>
      <c r="V444">
        <f t="shared" si="108"/>
        <v>97505.232568895561</v>
      </c>
      <c r="W444">
        <f t="shared" si="109"/>
        <v>-460.12827711793835</v>
      </c>
      <c r="X444">
        <f t="shared" si="110"/>
        <v>-11.118184473848064</v>
      </c>
      <c r="Y444">
        <f t="shared" si="111"/>
        <v>-52.127729025117489</v>
      </c>
      <c r="Z444">
        <f t="shared" si="112"/>
        <v>313.22433907363603</v>
      </c>
      <c r="AA444">
        <f t="shared" si="113"/>
        <v>5.29586699143844</v>
      </c>
      <c r="AB444">
        <f t="shared" si="114"/>
        <v>14.901734608249663</v>
      </c>
    </row>
    <row r="445" spans="12:28" x14ac:dyDescent="0.25">
      <c r="L445">
        <v>441</v>
      </c>
      <c r="M445">
        <f t="shared" si="119"/>
        <v>220.5</v>
      </c>
      <c r="N445">
        <f t="shared" si="115"/>
        <v>91459.181019871306</v>
      </c>
      <c r="O445">
        <f t="shared" si="116"/>
        <v>-46141.630409691825</v>
      </c>
      <c r="P445">
        <f t="shared" si="117"/>
        <v>5287.9820740008645</v>
      </c>
      <c r="Q445">
        <f t="shared" si="118"/>
        <v>-8599.4822364457032</v>
      </c>
      <c r="R445">
        <f t="shared" si="104"/>
        <v>-466.99011872607474</v>
      </c>
      <c r="S445">
        <f t="shared" si="105"/>
        <v>313.26441639364822</v>
      </c>
      <c r="T445">
        <f t="shared" si="106"/>
        <v>87874.233498746675</v>
      </c>
      <c r="U445">
        <f t="shared" si="107"/>
        <v>124799.96674149747</v>
      </c>
      <c r="V445">
        <f t="shared" si="108"/>
        <v>101361.60391192586</v>
      </c>
      <c r="W445">
        <f t="shared" si="109"/>
        <v>-408.9420010739783</v>
      </c>
      <c r="X445">
        <f t="shared" si="110"/>
        <v>-10.24988335003192</v>
      </c>
      <c r="Y445">
        <f t="shared" si="111"/>
        <v>-47.798234302064557</v>
      </c>
      <c r="Z445">
        <f t="shared" si="112"/>
        <v>292.67003035074612</v>
      </c>
      <c r="AA445">
        <f t="shared" si="113"/>
        <v>5.1628332230195895</v>
      </c>
      <c r="AB445">
        <f t="shared" si="114"/>
        <v>15.431552819882468</v>
      </c>
    </row>
    <row r="446" spans="12:28" x14ac:dyDescent="0.25">
      <c r="L446">
        <v>442</v>
      </c>
      <c r="M446">
        <f t="shared" si="119"/>
        <v>221</v>
      </c>
      <c r="N446">
        <f t="shared" si="115"/>
        <v>94044.798292030988</v>
      </c>
      <c r="O446">
        <f t="shared" si="116"/>
        <v>-50402.213475865472</v>
      </c>
      <c r="P446">
        <f t="shared" si="117"/>
        <v>5054.4870146378271</v>
      </c>
      <c r="Q446">
        <f t="shared" si="118"/>
        <v>-8442.8500282488785</v>
      </c>
      <c r="R446">
        <f t="shared" si="104"/>
        <v>-419.64143842997674</v>
      </c>
      <c r="S446">
        <f t="shared" si="105"/>
        <v>294.72993482823836</v>
      </c>
      <c r="T446">
        <f t="shared" si="106"/>
        <v>92477.226451342736</v>
      </c>
      <c r="U446">
        <f t="shared" si="107"/>
        <v>129052.87060059555</v>
      </c>
      <c r="V446">
        <f t="shared" si="108"/>
        <v>105181.69416633227</v>
      </c>
      <c r="W446">
        <f t="shared" si="109"/>
        <v>-366.18481496044598</v>
      </c>
      <c r="X446">
        <f t="shared" si="110"/>
        <v>-9.4874916926745456</v>
      </c>
      <c r="Y446">
        <f t="shared" si="111"/>
        <v>-43.969131776856202</v>
      </c>
      <c r="Z446">
        <f t="shared" si="112"/>
        <v>273.98885212767669</v>
      </c>
      <c r="AA446">
        <f t="shared" si="113"/>
        <v>5.024915709912495</v>
      </c>
      <c r="AB446">
        <f t="shared" si="114"/>
        <v>15.716166990649178</v>
      </c>
    </row>
    <row r="447" spans="12:28" x14ac:dyDescent="0.25">
      <c r="L447">
        <v>443</v>
      </c>
      <c r="M447">
        <f t="shared" si="119"/>
        <v>221.5</v>
      </c>
      <c r="N447">
        <f t="shared" si="115"/>
        <v>96519.586619546157</v>
      </c>
      <c r="O447">
        <f t="shared" si="116"/>
        <v>-54586.797248136383</v>
      </c>
      <c r="P447">
        <f t="shared" si="117"/>
        <v>4844.6662954228386</v>
      </c>
      <c r="Q447">
        <f t="shared" si="118"/>
        <v>-8295.4850608347588</v>
      </c>
      <c r="R447">
        <f t="shared" si="104"/>
        <v>-379.47725946891768</v>
      </c>
      <c r="S447">
        <f t="shared" si="105"/>
        <v>277.75278904204436</v>
      </c>
      <c r="T447">
        <f t="shared" si="106"/>
        <v>96983.676681783632</v>
      </c>
      <c r="U447">
        <f t="shared" si="107"/>
        <v>133222.62737523907</v>
      </c>
      <c r="V447">
        <f t="shared" si="108"/>
        <v>108964.86123410883</v>
      </c>
      <c r="W447">
        <f t="shared" si="109"/>
        <v>-330.09158228522352</v>
      </c>
      <c r="X447">
        <f t="shared" si="110"/>
        <v>-8.8137687342183604</v>
      </c>
      <c r="Y447">
        <f t="shared" si="111"/>
        <v>-40.571908449475814</v>
      </c>
      <c r="Z447">
        <f t="shared" si="112"/>
        <v>257.04660801084185</v>
      </c>
      <c r="AA447">
        <f t="shared" si="113"/>
        <v>4.8854712820739854</v>
      </c>
      <c r="AB447">
        <f t="shared" si="114"/>
        <v>15.820709749128513</v>
      </c>
    </row>
    <row r="448" spans="12:28" x14ac:dyDescent="0.25">
      <c r="L448">
        <v>444</v>
      </c>
      <c r="M448">
        <f t="shared" si="119"/>
        <v>222</v>
      </c>
      <c r="N448">
        <f t="shared" si="115"/>
        <v>98894.485109823974</v>
      </c>
      <c r="O448">
        <f t="shared" si="116"/>
        <v>-58699.820679923512</v>
      </c>
      <c r="P448">
        <f t="shared" si="117"/>
        <v>4654.9276656883794</v>
      </c>
      <c r="Q448">
        <f t="shared" si="118"/>
        <v>-8156.6086663137366</v>
      </c>
      <c r="R448">
        <f t="shared" si="104"/>
        <v>-345.09681204681948</v>
      </c>
      <c r="S448">
        <f t="shared" si="105"/>
        <v>262.22387640029137</v>
      </c>
      <c r="T448">
        <f t="shared" si="106"/>
        <v>101400.23143661284</v>
      </c>
      <c r="U448">
        <f t="shared" si="107"/>
        <v>137315.56339681166</v>
      </c>
      <c r="V448">
        <f t="shared" si="108"/>
        <v>112710.86178222978</v>
      </c>
      <c r="W448">
        <f t="shared" si="109"/>
        <v>-299.33394684356682</v>
      </c>
      <c r="X448">
        <f t="shared" si="110"/>
        <v>-8.2149411408258395</v>
      </c>
      <c r="Y448">
        <f t="shared" si="111"/>
        <v>-37.547924062426844</v>
      </c>
      <c r="Z448">
        <f t="shared" si="112"/>
        <v>241.68379717297461</v>
      </c>
      <c r="AA448">
        <f t="shared" si="113"/>
        <v>4.7467717510156353</v>
      </c>
      <c r="AB448">
        <f t="shared" si="114"/>
        <v>15.793307476301122</v>
      </c>
    </row>
    <row r="449" spans="12:28" x14ac:dyDescent="0.25">
      <c r="L449">
        <v>445</v>
      </c>
      <c r="M449">
        <f t="shared" si="119"/>
        <v>222.5</v>
      </c>
      <c r="N449">
        <f t="shared" si="115"/>
        <v>101178.81184116231</v>
      </c>
      <c r="O449">
        <f t="shared" si="116"/>
        <v>-62745.347028530348</v>
      </c>
      <c r="P449">
        <f t="shared" si="117"/>
        <v>4482.37925966497</v>
      </c>
      <c r="Q449">
        <f t="shared" si="118"/>
        <v>-8025.4967281135905</v>
      </c>
      <c r="R449">
        <f t="shared" si="104"/>
        <v>-315.4251218270532</v>
      </c>
      <c r="S449">
        <f t="shared" si="105"/>
        <v>248.01895036751415</v>
      </c>
      <c r="T449">
        <f t="shared" si="106"/>
        <v>105732.83092757348</v>
      </c>
      <c r="U449">
        <f t="shared" si="107"/>
        <v>141337.14994132693</v>
      </c>
      <c r="V449">
        <f t="shared" si="108"/>
        <v>116419.75024400174</v>
      </c>
      <c r="W449">
        <f t="shared" si="109"/>
        <v>-272.89805535081268</v>
      </c>
      <c r="X449">
        <f t="shared" si="110"/>
        <v>-7.6798805585211891</v>
      </c>
      <c r="Y449">
        <f t="shared" si="111"/>
        <v>-34.847185917719315</v>
      </c>
      <c r="Z449">
        <f t="shared" si="112"/>
        <v>227.73890186179875</v>
      </c>
      <c r="AA449">
        <f t="shared" si="113"/>
        <v>4.6103404372340533</v>
      </c>
      <c r="AB449">
        <f t="shared" si="114"/>
        <v>15.669708068481354</v>
      </c>
    </row>
    <row r="450" spans="12:28" x14ac:dyDescent="0.25">
      <c r="L450">
        <v>446</v>
      </c>
      <c r="M450">
        <f t="shared" si="119"/>
        <v>223</v>
      </c>
      <c r="N450">
        <f t="shared" si="115"/>
        <v>103380.57333076642</v>
      </c>
      <c r="O450">
        <f t="shared" si="116"/>
        <v>-66727.093023791211</v>
      </c>
      <c r="P450">
        <f t="shared" si="117"/>
        <v>4324.6666987514436</v>
      </c>
      <c r="Q450">
        <f t="shared" si="118"/>
        <v>-7901.4872529298336</v>
      </c>
      <c r="R450">
        <f t="shared" si="104"/>
        <v>-289.62653878390518</v>
      </c>
      <c r="S450">
        <f t="shared" si="105"/>
        <v>235.01304713186781</v>
      </c>
      <c r="T450">
        <f t="shared" si="106"/>
        <v>109986.79867425415</v>
      </c>
      <c r="U450">
        <f t="shared" si="107"/>
        <v>145292.16317238222</v>
      </c>
      <c r="V450">
        <f t="shared" si="108"/>
        <v>120091.80166937954</v>
      </c>
      <c r="W450">
        <f t="shared" si="109"/>
        <v>-249.99989914773911</v>
      </c>
      <c r="X450">
        <f t="shared" si="110"/>
        <v>-7.1995041396582362</v>
      </c>
      <c r="Y450">
        <f t="shared" si="111"/>
        <v>-32.427135496507859</v>
      </c>
      <c r="Z450">
        <f t="shared" si="112"/>
        <v>215.05927946757953</v>
      </c>
      <c r="AA450">
        <f t="shared" si="113"/>
        <v>4.477179907146537</v>
      </c>
      <c r="AB450">
        <f t="shared" si="114"/>
        <v>15.476587757141756</v>
      </c>
    </row>
    <row r="451" spans="12:28" x14ac:dyDescent="0.25">
      <c r="L451">
        <v>447</v>
      </c>
      <c r="M451">
        <f t="shared" si="119"/>
        <v>223.5</v>
      </c>
      <c r="N451">
        <f t="shared" si="115"/>
        <v>105506.70336279416</v>
      </c>
      <c r="O451">
        <f t="shared" si="116"/>
        <v>-70648.460019364647</v>
      </c>
      <c r="P451">
        <f t="shared" si="117"/>
        <v>4179.8534293594912</v>
      </c>
      <c r="Q451">
        <f t="shared" si="118"/>
        <v>-7783.9807293638996</v>
      </c>
      <c r="R451">
        <f t="shared" si="104"/>
        <v>-267.04369068581752</v>
      </c>
      <c r="S451">
        <f t="shared" si="105"/>
        <v>223.08753284646994</v>
      </c>
      <c r="T451">
        <f t="shared" si="106"/>
        <v>114166.92088023695</v>
      </c>
      <c r="U451">
        <f t="shared" si="107"/>
        <v>149184.80717717693</v>
      </c>
      <c r="V451">
        <f t="shared" si="108"/>
        <v>123727.45285763951</v>
      </c>
      <c r="W451">
        <f t="shared" si="109"/>
        <v>-230.02582369625924</v>
      </c>
      <c r="X451">
        <f t="shared" si="110"/>
        <v>-6.766330503240793</v>
      </c>
      <c r="Y451">
        <f t="shared" si="111"/>
        <v>-30.25153648631748</v>
      </c>
      <c r="Z451">
        <f t="shared" si="112"/>
        <v>203.50567432680944</v>
      </c>
      <c r="AA451">
        <f t="shared" si="113"/>
        <v>4.3479282018189869</v>
      </c>
      <c r="AB451">
        <f t="shared" si="114"/>
        <v>15.233930317841518</v>
      </c>
    </row>
    <row r="452" spans="12:28" x14ac:dyDescent="0.25">
      <c r="L452">
        <v>448</v>
      </c>
      <c r="M452">
        <f t="shared" si="119"/>
        <v>224</v>
      </c>
      <c r="N452">
        <f t="shared" si="115"/>
        <v>107563.24961613819</v>
      </c>
      <c r="O452">
        <f t="shared" si="116"/>
        <v>-74512.56444244078</v>
      </c>
      <c r="P452">
        <f t="shared" si="117"/>
        <v>4046.3315840165824</v>
      </c>
      <c r="Q452">
        <f t="shared" si="118"/>
        <v>-7672.4369629406647</v>
      </c>
      <c r="R452">
        <f t="shared" si="104"/>
        <v>-247.15375645665529</v>
      </c>
      <c r="S452">
        <f t="shared" si="105"/>
        <v>212.13319971524612</v>
      </c>
      <c r="T452">
        <f t="shared" si="106"/>
        <v>118277.5151394018</v>
      </c>
      <c r="U452">
        <f t="shared" si="107"/>
        <v>153018.80995899453</v>
      </c>
      <c r="V452">
        <f t="shared" si="108"/>
        <v>127327.25745362106</v>
      </c>
      <c r="W452">
        <f t="shared" si="109"/>
        <v>-212.49011372735404</v>
      </c>
      <c r="X452">
        <f t="shared" si="110"/>
        <v>-6.3741460515616604</v>
      </c>
      <c r="Y452">
        <f t="shared" si="111"/>
        <v>-28.289496677739571</v>
      </c>
      <c r="Z452">
        <f t="shared" si="112"/>
        <v>192.95348145706424</v>
      </c>
      <c r="AA452">
        <f t="shared" si="113"/>
        <v>4.2229672775597216</v>
      </c>
      <c r="AB452">
        <f t="shared" si="114"/>
        <v>14.956750980622148</v>
      </c>
    </row>
    <row r="453" spans="12:28" x14ac:dyDescent="0.25">
      <c r="L453">
        <v>449</v>
      </c>
      <c r="M453">
        <f t="shared" si="119"/>
        <v>224.5</v>
      </c>
      <c r="N453">
        <f t="shared" si="115"/>
        <v>109555.5211885894</v>
      </c>
      <c r="O453">
        <f t="shared" si="116"/>
        <v>-78322.266273946705</v>
      </c>
      <c r="P453">
        <f t="shared" si="117"/>
        <v>3922.7547057882548</v>
      </c>
      <c r="Q453">
        <f t="shared" si="118"/>
        <v>-7566.3703630830414</v>
      </c>
      <c r="R453">
        <f t="shared" ref="R453:R516" si="120">SUM(W453:Y453)</f>
        <v>-229.53670922036724</v>
      </c>
      <c r="S453">
        <f t="shared" ref="S453:S516" si="121">SUM(Z453:AB453)</f>
        <v>202.05126325746198</v>
      </c>
      <c r="T453">
        <f t="shared" ref="T453:T516" si="122">SQRT(($D$18-N453)^2 + ($E$18 - O453) ^2)</f>
        <v>122322.48947918923</v>
      </c>
      <c r="U453">
        <f t="shared" ref="U453:U516" si="123">SQRT(($D$26-N453)^2 + ($E$26- O453) ^2)</f>
        <v>156797.49931109545</v>
      </c>
      <c r="V453">
        <f t="shared" ref="V453:V516" si="124">SQRT(($D$34-N453)^2 + ($E$34 - O453) ^2)</f>
        <v>130891.85169772014</v>
      </c>
      <c r="W453">
        <f t="shared" ref="W453:W516" si="125">$D$22*(($D$18-N453)/(T453^2+($D$23^2))^(3/2))</f>
        <v>-197.00433066776685</v>
      </c>
      <c r="X453">
        <f t="shared" ref="X453:X516" si="126">$D$30*(($D$26-N453)/(U453^2+($D$31^2))^(3/2))</f>
        <v>-6.0177509390596065</v>
      </c>
      <c r="Y453">
        <f t="shared" ref="Y453:Y516" si="127">$D$38*(($D$34-N453)/(V453^2+($D$39^2))^(3/2))</f>
        <v>-26.514627613540782</v>
      </c>
      <c r="Z453">
        <f t="shared" ref="Z453:Z516" si="128">$D$22*(($E$18-O453)/(T453^2+($D$23^2))^(3/2))</f>
        <v>183.29240988339859</v>
      </c>
      <c r="AA453">
        <f t="shared" ref="AA453:AA516" si="129">$D$30*(($E$26-O453)/(U453^2+($D$31^2))^(3/2))</f>
        <v>4.1024990361948959</v>
      </c>
      <c r="AB453">
        <f t="shared" ref="AB453:AB516" si="130">$D$38*(($E$34-O453)/(V453^2+($D$39^2))^(3/2))</f>
        <v>14.656354337868503</v>
      </c>
    </row>
    <row r="454" spans="12:28" x14ac:dyDescent="0.25">
      <c r="L454">
        <v>450</v>
      </c>
      <c r="M454">
        <f t="shared" si="119"/>
        <v>225</v>
      </c>
      <c r="N454">
        <f t="shared" ref="N454:N517" si="131">(N453)+(P453)*(M454-M453)+((1/2*(R453))*((M454-M453)^2))</f>
        <v>111488.20645283097</v>
      </c>
      <c r="O454">
        <f t="shared" ref="O454:O517" si="132">(O453)+(Q453)*(M454-M453)+((1/2*(S453))*((M454-M453)^2))</f>
        <v>-82080.19504758103</v>
      </c>
      <c r="P454">
        <f t="shared" ref="P454:P517" si="133">P453+(R453*(M454-M453))</f>
        <v>3807.9863511780713</v>
      </c>
      <c r="Q454">
        <f t="shared" ref="Q454:Q517" si="134">Q453+(S453*(M454-M453))</f>
        <v>-7465.34473145431</v>
      </c>
      <c r="R454">
        <f t="shared" si="120"/>
        <v>-213.85194910942252</v>
      </c>
      <c r="S454">
        <f t="shared" si="121"/>
        <v>192.7532723788899</v>
      </c>
      <c r="T454">
        <f t="shared" si="122"/>
        <v>126305.39295485597</v>
      </c>
      <c r="U454">
        <f t="shared" si="123"/>
        <v>160523.86351001795</v>
      </c>
      <c r="V454">
        <f t="shared" si="124"/>
        <v>134421.92830866133</v>
      </c>
      <c r="W454">
        <f t="shared" si="125"/>
        <v>-183.2548531356172</v>
      </c>
      <c r="X454">
        <f t="shared" si="126"/>
        <v>-5.6927633915363431</v>
      </c>
      <c r="Y454">
        <f t="shared" si="127"/>
        <v>-24.904332582268978</v>
      </c>
      <c r="Z454">
        <f t="shared" si="128"/>
        <v>174.42541474121956</v>
      </c>
      <c r="AA454">
        <f t="shared" si="129"/>
        <v>3.9865990843858636</v>
      </c>
      <c r="AB454">
        <f t="shared" si="130"/>
        <v>14.341258553284478</v>
      </c>
    </row>
    <row r="455" spans="12:28" x14ac:dyDescent="0.25">
      <c r="L455">
        <v>451</v>
      </c>
      <c r="M455">
        <f t="shared" si="119"/>
        <v>225.5</v>
      </c>
      <c r="N455">
        <f t="shared" si="131"/>
        <v>113365.46813478132</v>
      </c>
      <c r="O455">
        <f t="shared" si="132"/>
        <v>-85788.773254260814</v>
      </c>
      <c r="P455">
        <f t="shared" si="133"/>
        <v>3701.0603766233603</v>
      </c>
      <c r="Q455">
        <f t="shared" si="134"/>
        <v>-7368.968095264865</v>
      </c>
      <c r="R455">
        <f t="shared" si="120"/>
        <v>-199.82089702499056</v>
      </c>
      <c r="S455">
        <f t="shared" si="121"/>
        <v>184.16048730369539</v>
      </c>
      <c r="T455">
        <f t="shared" si="122"/>
        <v>130229.45899081531</v>
      </c>
      <c r="U455">
        <f t="shared" si="123"/>
        <v>164200.6004019643</v>
      </c>
      <c r="V455">
        <f t="shared" si="124"/>
        <v>137918.21658363004</v>
      </c>
      <c r="W455">
        <f t="shared" si="125"/>
        <v>-170.98622138786914</v>
      </c>
      <c r="X455">
        <f t="shared" si="126"/>
        <v>-5.3954673494681904</v>
      </c>
      <c r="Y455">
        <f t="shared" si="127"/>
        <v>-23.439208287653233</v>
      </c>
      <c r="Z455">
        <f t="shared" si="128"/>
        <v>166.26735337283756</v>
      </c>
      <c r="AA455">
        <f t="shared" si="129"/>
        <v>3.8752550099150409</v>
      </c>
      <c r="AB455">
        <f t="shared" si="130"/>
        <v>14.017878920942785</v>
      </c>
    </row>
    <row r="456" spans="12:28" x14ac:dyDescent="0.25">
      <c r="L456">
        <v>452</v>
      </c>
      <c r="M456">
        <f t="shared" si="119"/>
        <v>226</v>
      </c>
      <c r="N456">
        <f t="shared" si="131"/>
        <v>115191.02071096488</v>
      </c>
      <c r="O456">
        <f t="shared" si="132"/>
        <v>-89450.237240980277</v>
      </c>
      <c r="P456">
        <f t="shared" si="133"/>
        <v>3601.1499281108649</v>
      </c>
      <c r="Q456">
        <f t="shared" si="134"/>
        <v>-7276.8878516130171</v>
      </c>
      <c r="R456">
        <f t="shared" si="120"/>
        <v>-187.21387879034026</v>
      </c>
      <c r="S456">
        <f t="shared" si="121"/>
        <v>176.20302892096348</v>
      </c>
      <c r="T456">
        <f t="shared" si="122"/>
        <v>134097.64255523958</v>
      </c>
      <c r="U456">
        <f t="shared" si="123"/>
        <v>167830.15750501992</v>
      </c>
      <c r="V456">
        <f t="shared" si="124"/>
        <v>141381.46726067684</v>
      </c>
      <c r="W456">
        <f t="shared" si="125"/>
        <v>-159.98864176958659</v>
      </c>
      <c r="X456">
        <f t="shared" si="126"/>
        <v>-5.1226926750120843</v>
      </c>
      <c r="Y456">
        <f t="shared" si="127"/>
        <v>-22.102544345741602</v>
      </c>
      <c r="Z456">
        <f t="shared" si="128"/>
        <v>158.7435984837492</v>
      </c>
      <c r="AA456">
        <f t="shared" si="129"/>
        <v>3.7683937820972728</v>
      </c>
      <c r="AB456">
        <f t="shared" si="130"/>
        <v>13.691036655117024</v>
      </c>
    </row>
    <row r="457" spans="12:28" x14ac:dyDescent="0.25">
      <c r="L457">
        <v>453</v>
      </c>
      <c r="M457">
        <f t="shared" si="119"/>
        <v>226.5</v>
      </c>
      <c r="N457">
        <f t="shared" si="131"/>
        <v>116968.19394017151</v>
      </c>
      <c r="O457">
        <f t="shared" si="132"/>
        <v>-93066.655788171673</v>
      </c>
      <c r="P457">
        <f t="shared" si="133"/>
        <v>3507.5429887156947</v>
      </c>
      <c r="Q457">
        <f t="shared" si="134"/>
        <v>-7188.7863371525355</v>
      </c>
      <c r="R457">
        <f t="shared" si="120"/>
        <v>-175.84013532046197</v>
      </c>
      <c r="S457">
        <f t="shared" si="121"/>
        <v>168.81896314879094</v>
      </c>
      <c r="T457">
        <f t="shared" si="122"/>
        <v>137912.65211536779</v>
      </c>
      <c r="U457">
        <f t="shared" si="123"/>
        <v>171414.76507754487</v>
      </c>
      <c r="V457">
        <f t="shared" si="124"/>
        <v>144812.44103659107</v>
      </c>
      <c r="W457">
        <f t="shared" si="125"/>
        <v>-150.08850967494831</v>
      </c>
      <c r="X457">
        <f t="shared" si="126"/>
        <v>-4.8717201105855521</v>
      </c>
      <c r="Y457">
        <f t="shared" si="127"/>
        <v>-20.87990553492811</v>
      </c>
      <c r="Z457">
        <f t="shared" si="128"/>
        <v>151.78872182701599</v>
      </c>
      <c r="AA457">
        <f t="shared" si="129"/>
        <v>3.6659014424426162</v>
      </c>
      <c r="AB457">
        <f t="shared" si="130"/>
        <v>13.364339879332325</v>
      </c>
    </row>
    <row r="458" spans="12:28" x14ac:dyDescent="0.25">
      <c r="L458">
        <v>454</v>
      </c>
      <c r="M458">
        <f t="shared" si="119"/>
        <v>227</v>
      </c>
      <c r="N458">
        <f t="shared" si="131"/>
        <v>118699.9854176143</v>
      </c>
      <c r="O458">
        <f t="shared" si="132"/>
        <v>-96639.946586354345</v>
      </c>
      <c r="P458">
        <f t="shared" si="133"/>
        <v>3419.6229210554638</v>
      </c>
      <c r="Q458">
        <f t="shared" si="134"/>
        <v>-7104.3768555781398</v>
      </c>
      <c r="R458">
        <f t="shared" si="120"/>
        <v>-165.54013685078294</v>
      </c>
      <c r="S458">
        <f t="shared" si="121"/>
        <v>161.95340561407218</v>
      </c>
      <c r="T458">
        <f t="shared" si="122"/>
        <v>141676.97718230099</v>
      </c>
      <c r="U458">
        <f t="shared" si="123"/>
        <v>174956.46362105897</v>
      </c>
      <c r="V458">
        <f t="shared" si="124"/>
        <v>148211.89989653591</v>
      </c>
      <c r="W458">
        <f t="shared" si="125"/>
        <v>-141.14114828472535</v>
      </c>
      <c r="X458">
        <f t="shared" si="126"/>
        <v>-4.6402052456542888</v>
      </c>
      <c r="Y458">
        <f t="shared" si="127"/>
        <v>-19.758783320403307</v>
      </c>
      <c r="Z458">
        <f t="shared" si="128"/>
        <v>145.34529779409721</v>
      </c>
      <c r="AA458">
        <f t="shared" si="129"/>
        <v>3.5676372860198819</v>
      </c>
      <c r="AB458">
        <f t="shared" si="130"/>
        <v>13.040470533955101</v>
      </c>
    </row>
    <row r="459" spans="12:28" x14ac:dyDescent="0.25">
      <c r="L459">
        <v>455</v>
      </c>
      <c r="M459">
        <f t="shared" si="119"/>
        <v>227.5</v>
      </c>
      <c r="N459">
        <f t="shared" si="131"/>
        <v>120389.10436103569</v>
      </c>
      <c r="O459">
        <f t="shared" si="132"/>
        <v>-100171.89083844164</v>
      </c>
      <c r="P459">
        <f t="shared" si="133"/>
        <v>3336.8528526300724</v>
      </c>
      <c r="Q459">
        <f t="shared" si="134"/>
        <v>-7023.4001527711034</v>
      </c>
      <c r="R459">
        <f t="shared" si="120"/>
        <v>-156.17961392219379</v>
      </c>
      <c r="S459">
        <f t="shared" si="121"/>
        <v>155.55768815044638</v>
      </c>
      <c r="T459">
        <f t="shared" si="122"/>
        <v>145392.91212759994</v>
      </c>
      <c r="U459">
        <f t="shared" si="123"/>
        <v>178457.12693588698</v>
      </c>
      <c r="V459">
        <f t="shared" si="124"/>
        <v>151580.60061056004</v>
      </c>
      <c r="W459">
        <f t="shared" si="125"/>
        <v>-133.02519169015471</v>
      </c>
      <c r="X459">
        <f t="shared" si="126"/>
        <v>-4.4261172202509664</v>
      </c>
      <c r="Y459">
        <f t="shared" si="127"/>
        <v>-18.728305011788105</v>
      </c>
      <c r="Z459">
        <f t="shared" si="128"/>
        <v>139.36284249418907</v>
      </c>
      <c r="AA459">
        <f t="shared" si="129"/>
        <v>3.47344407849201</v>
      </c>
      <c r="AB459">
        <f t="shared" si="130"/>
        <v>12.721401577765292</v>
      </c>
    </row>
    <row r="460" spans="12:28" x14ac:dyDescent="0.25">
      <c r="L460">
        <v>456</v>
      </c>
      <c r="M460">
        <f t="shared" si="119"/>
        <v>228</v>
      </c>
      <c r="N460">
        <f t="shared" si="131"/>
        <v>122038.00833561046</v>
      </c>
      <c r="O460">
        <f t="shared" si="132"/>
        <v>-103664.14620380838</v>
      </c>
      <c r="P460">
        <f t="shared" si="133"/>
        <v>3258.7630456689753</v>
      </c>
      <c r="Q460">
        <f t="shared" si="134"/>
        <v>-6945.6213086958805</v>
      </c>
      <c r="R460">
        <f t="shared" si="120"/>
        <v>-147.64488064055885</v>
      </c>
      <c r="S460">
        <f t="shared" si="121"/>
        <v>149.58860432552282</v>
      </c>
      <c r="T460">
        <f t="shared" si="122"/>
        <v>149062.57684375631</v>
      </c>
      <c r="U460">
        <f t="shared" si="123"/>
        <v>181918.48159048511</v>
      </c>
      <c r="V460">
        <f t="shared" si="124"/>
        <v>154919.28990261006</v>
      </c>
      <c r="W460">
        <f t="shared" si="125"/>
        <v>-125.63820098057268</v>
      </c>
      <c r="X460">
        <f t="shared" si="126"/>
        <v>-4.227688954426168</v>
      </c>
      <c r="Y460">
        <f t="shared" si="127"/>
        <v>-17.778990705560009</v>
      </c>
      <c r="Z460">
        <f t="shared" si="128"/>
        <v>133.79688669767816</v>
      </c>
      <c r="AA460">
        <f t="shared" si="129"/>
        <v>3.3831554036205542</v>
      </c>
      <c r="AB460">
        <f t="shared" si="130"/>
        <v>12.408562224224106</v>
      </c>
    </row>
    <row r="461" spans="12:28" x14ac:dyDescent="0.25">
      <c r="L461">
        <v>457</v>
      </c>
      <c r="M461">
        <f t="shared" si="119"/>
        <v>228.5</v>
      </c>
      <c r="N461">
        <f t="shared" si="131"/>
        <v>123648.93424836488</v>
      </c>
      <c r="O461">
        <f t="shared" si="132"/>
        <v>-107118.25828261563</v>
      </c>
      <c r="P461">
        <f t="shared" si="133"/>
        <v>3184.940605348696</v>
      </c>
      <c r="Q461">
        <f t="shared" si="134"/>
        <v>-6870.8270065331189</v>
      </c>
      <c r="R461">
        <f t="shared" si="120"/>
        <v>-139.83914006174791</v>
      </c>
      <c r="S461">
        <f t="shared" si="121"/>
        <v>144.00773800642</v>
      </c>
      <c r="T461">
        <f t="shared" si="122"/>
        <v>152687.93472684466</v>
      </c>
      <c r="U461">
        <f t="shared" si="123"/>
        <v>185342.12347398128</v>
      </c>
      <c r="V461">
        <f t="shared" si="124"/>
        <v>158228.70091188513</v>
      </c>
      <c r="W461">
        <f t="shared" si="125"/>
        <v>-118.89321380933171</v>
      </c>
      <c r="X461">
        <f t="shared" si="126"/>
        <v>-4.0433764662277776</v>
      </c>
      <c r="Y461">
        <f t="shared" si="127"/>
        <v>-16.902549786188409</v>
      </c>
      <c r="Z461">
        <f t="shared" si="128"/>
        <v>128.6081728730866</v>
      </c>
      <c r="AA461">
        <f t="shared" si="129"/>
        <v>3.2966009235178495</v>
      </c>
      <c r="AB461">
        <f t="shared" si="130"/>
        <v>12.102964209815545</v>
      </c>
    </row>
    <row r="462" spans="12:28" x14ac:dyDescent="0.25">
      <c r="L462">
        <v>458</v>
      </c>
      <c r="M462">
        <f t="shared" si="119"/>
        <v>229</v>
      </c>
      <c r="N462">
        <f t="shared" si="131"/>
        <v>125223.92465853151</v>
      </c>
      <c r="O462">
        <f t="shared" si="132"/>
        <v>-110535.67081863139</v>
      </c>
      <c r="P462">
        <f t="shared" si="133"/>
        <v>3115.0210353178218</v>
      </c>
      <c r="Q462">
        <f t="shared" si="134"/>
        <v>-6798.8231375299092</v>
      </c>
      <c r="R462">
        <f t="shared" si="120"/>
        <v>-132.67954275493958</v>
      </c>
      <c r="S462">
        <f t="shared" si="121"/>
        <v>138.78087208432285</v>
      </c>
      <c r="T462">
        <f t="shared" si="122"/>
        <v>156270.8083810136</v>
      </c>
      <c r="U462">
        <f t="shared" si="123"/>
        <v>188729.5319575723</v>
      </c>
      <c r="V462">
        <f t="shared" si="124"/>
        <v>161509.55065331829</v>
      </c>
      <c r="W462">
        <f t="shared" si="125"/>
        <v>-112.71600717536901</v>
      </c>
      <c r="X462">
        <f t="shared" si="126"/>
        <v>-3.8718254109057524</v>
      </c>
      <c r="Y462">
        <f t="shared" si="127"/>
        <v>-16.09171016866479</v>
      </c>
      <c r="Z462">
        <f t="shared" si="128"/>
        <v>123.76196329175842</v>
      </c>
      <c r="AA462">
        <f t="shared" si="129"/>
        <v>3.2136101148174769</v>
      </c>
      <c r="AB462">
        <f t="shared" si="130"/>
        <v>11.805298677746968</v>
      </c>
    </row>
    <row r="463" spans="12:28" x14ac:dyDescent="0.25">
      <c r="L463">
        <v>459</v>
      </c>
      <c r="M463">
        <f t="shared" si="119"/>
        <v>229.5</v>
      </c>
      <c r="N463">
        <f t="shared" si="131"/>
        <v>126764.85023334606</v>
      </c>
      <c r="O463">
        <f t="shared" si="132"/>
        <v>-113917.73477838581</v>
      </c>
      <c r="P463">
        <f t="shared" si="133"/>
        <v>3048.681263940352</v>
      </c>
      <c r="Q463">
        <f t="shared" si="134"/>
        <v>-6729.4327014877481</v>
      </c>
      <c r="R463">
        <f t="shared" si="120"/>
        <v>-126.09482789404011</v>
      </c>
      <c r="S463">
        <f t="shared" si="121"/>
        <v>133.87747116944365</v>
      </c>
      <c r="T463">
        <f t="shared" si="122"/>
        <v>159812.8933790116</v>
      </c>
      <c r="U463">
        <f t="shared" si="123"/>
        <v>192082.08208113234</v>
      </c>
      <c r="V463">
        <f t="shared" si="124"/>
        <v>164762.53825036561</v>
      </c>
      <c r="W463">
        <f t="shared" si="125"/>
        <v>-107.04290983667408</v>
      </c>
      <c r="X463">
        <f t="shared" si="126"/>
        <v>-3.7118433985584351</v>
      </c>
      <c r="Y463">
        <f t="shared" si="127"/>
        <v>-15.340074658807591</v>
      </c>
      <c r="Z463">
        <f t="shared" si="128"/>
        <v>119.2274454939338</v>
      </c>
      <c r="AA463">
        <f t="shared" si="129"/>
        <v>3.134014888920313</v>
      </c>
      <c r="AB463">
        <f t="shared" si="130"/>
        <v>11.516010786589526</v>
      </c>
    </row>
    <row r="464" spans="12:28" x14ac:dyDescent="0.25">
      <c r="L464">
        <v>460</v>
      </c>
      <c r="M464">
        <f t="shared" si="119"/>
        <v>230</v>
      </c>
      <c r="N464">
        <f t="shared" si="131"/>
        <v>128273.42901182949</v>
      </c>
      <c r="O464">
        <f t="shared" si="132"/>
        <v>-117265.7164452335</v>
      </c>
      <c r="P464">
        <f t="shared" si="133"/>
        <v>2985.6338499933318</v>
      </c>
      <c r="Q464">
        <f t="shared" si="134"/>
        <v>-6662.493965903026</v>
      </c>
      <c r="R464">
        <f t="shared" si="120"/>
        <v>-120.02341851113955</v>
      </c>
      <c r="S464">
        <f t="shared" si="121"/>
        <v>129.27023076181177</v>
      </c>
      <c r="T464">
        <f t="shared" si="122"/>
        <v>163315.77035867027</v>
      </c>
      <c r="U464">
        <f t="shared" si="123"/>
        <v>195401.05509757262</v>
      </c>
      <c r="V464">
        <f t="shared" si="124"/>
        <v>167988.34376416734</v>
      </c>
      <c r="W464">
        <f t="shared" si="125"/>
        <v>-101.81904174066977</v>
      </c>
      <c r="X464">
        <f t="shared" si="126"/>
        <v>-3.5623769665375047</v>
      </c>
      <c r="Y464">
        <f t="shared" si="127"/>
        <v>-14.641999803932283</v>
      </c>
      <c r="Z464">
        <f t="shared" si="128"/>
        <v>114.97722201843266</v>
      </c>
      <c r="AA464">
        <f t="shared" si="129"/>
        <v>3.0576513938867813</v>
      </c>
      <c r="AB464">
        <f t="shared" si="130"/>
        <v>11.235357349492332</v>
      </c>
    </row>
    <row r="465" spans="12:28" x14ac:dyDescent="0.25">
      <c r="L465">
        <v>461</v>
      </c>
      <c r="M465">
        <f t="shared" ref="M465:M528" si="135">L465*$D$5</f>
        <v>230.5</v>
      </c>
      <c r="N465">
        <f t="shared" si="131"/>
        <v>129751.24300951225</v>
      </c>
      <c r="O465">
        <f t="shared" si="132"/>
        <v>-120580.80464933979</v>
      </c>
      <c r="P465">
        <f t="shared" si="133"/>
        <v>2925.622140737762</v>
      </c>
      <c r="Q465">
        <f t="shared" si="134"/>
        <v>-6597.8588505221205</v>
      </c>
      <c r="R465">
        <f t="shared" si="120"/>
        <v>-114.41187351456175</v>
      </c>
      <c r="S465">
        <f t="shared" si="121"/>
        <v>124.93468519028268</v>
      </c>
      <c r="T465">
        <f t="shared" si="122"/>
        <v>166780.91569034106</v>
      </c>
      <c r="U465">
        <f t="shared" si="123"/>
        <v>198687.64764263286</v>
      </c>
      <c r="V465">
        <f t="shared" si="124"/>
        <v>171187.62748227653</v>
      </c>
      <c r="W465">
        <f t="shared" si="125"/>
        <v>-96.996887759693394</v>
      </c>
      <c r="X465">
        <f t="shared" si="126"/>
        <v>-3.4224923249132844</v>
      </c>
      <c r="Y465">
        <f t="shared" si="127"/>
        <v>-13.992493429955072</v>
      </c>
      <c r="Z465">
        <f t="shared" si="128"/>
        <v>110.98687248843511</v>
      </c>
      <c r="AA465">
        <f t="shared" si="129"/>
        <v>2.9843612160533342</v>
      </c>
      <c r="AB465">
        <f t="shared" si="130"/>
        <v>10.963451485794234</v>
      </c>
    </row>
    <row r="466" spans="12:28" x14ac:dyDescent="0.25">
      <c r="L466">
        <v>462</v>
      </c>
      <c r="M466">
        <f t="shared" si="135"/>
        <v>231</v>
      </c>
      <c r="N466">
        <f t="shared" si="131"/>
        <v>131199.75259569183</v>
      </c>
      <c r="O466">
        <f t="shared" si="132"/>
        <v>-123864.11723895205</v>
      </c>
      <c r="P466">
        <f t="shared" si="133"/>
        <v>2868.416203980481</v>
      </c>
      <c r="Q466">
        <f t="shared" si="134"/>
        <v>-6535.3915079269791</v>
      </c>
      <c r="R466">
        <f t="shared" si="120"/>
        <v>-109.21362196520147</v>
      </c>
      <c r="S466">
        <f t="shared" si="121"/>
        <v>120.84886696734551</v>
      </c>
      <c r="T466">
        <f t="shared" si="122"/>
        <v>170209.71091308937</v>
      </c>
      <c r="U466">
        <f t="shared" si="123"/>
        <v>201942.97974716109</v>
      </c>
      <c r="V466">
        <f t="shared" si="124"/>
        <v>174361.0295603463</v>
      </c>
      <c r="W466">
        <f t="shared" si="125"/>
        <v>-92.535135049188355</v>
      </c>
      <c r="X466">
        <f t="shared" si="126"/>
        <v>-3.2913591783208576</v>
      </c>
      <c r="Y466">
        <f t="shared" si="127"/>
        <v>-13.387127737692246</v>
      </c>
      <c r="Z466">
        <f t="shared" si="128"/>
        <v>107.23457753594727</v>
      </c>
      <c r="AA466">
        <f t="shared" si="129"/>
        <v>2.913992141907765</v>
      </c>
      <c r="AB466">
        <f t="shared" si="130"/>
        <v>10.700297289490484</v>
      </c>
    </row>
    <row r="467" spans="12:28" x14ac:dyDescent="0.25">
      <c r="L467">
        <v>463</v>
      </c>
      <c r="M467">
        <f t="shared" si="135"/>
        <v>231.5</v>
      </c>
      <c r="N467">
        <f t="shared" si="131"/>
        <v>132620.30899493644</v>
      </c>
      <c r="O467">
        <f t="shared" si="132"/>
        <v>-127116.70688454462</v>
      </c>
      <c r="P467">
        <f t="shared" si="133"/>
        <v>2813.8093929978804</v>
      </c>
      <c r="Q467">
        <f t="shared" si="134"/>
        <v>-6474.967074443306</v>
      </c>
      <c r="R467">
        <f t="shared" si="120"/>
        <v>-104.38792217345825</v>
      </c>
      <c r="S467">
        <f t="shared" si="121"/>
        <v>116.99301083014592</v>
      </c>
      <c r="T467">
        <f t="shared" si="122"/>
        <v>173603.45110662878</v>
      </c>
      <c r="U467">
        <f t="shared" si="123"/>
        <v>205168.10186910635</v>
      </c>
      <c r="V467">
        <f t="shared" si="124"/>
        <v>177509.16993354648</v>
      </c>
      <c r="W467">
        <f t="shared" si="125"/>
        <v>-88.397719718119191</v>
      </c>
      <c r="X467">
        <f t="shared" si="126"/>
        <v>-3.1682370700696865</v>
      </c>
      <c r="Y467">
        <f t="shared" si="127"/>
        <v>-12.821965385269364</v>
      </c>
      <c r="Z467">
        <f t="shared" si="128"/>
        <v>103.70079543811215</v>
      </c>
      <c r="AA467">
        <f t="shared" si="129"/>
        <v>2.8463985988385501</v>
      </c>
      <c r="AB467">
        <f t="shared" si="130"/>
        <v>10.445816793195222</v>
      </c>
    </row>
    <row r="468" spans="12:28" x14ac:dyDescent="0.25">
      <c r="L468">
        <v>464</v>
      </c>
      <c r="M468">
        <f t="shared" si="135"/>
        <v>232</v>
      </c>
      <c r="N468">
        <f t="shared" si="131"/>
        <v>134014.16520116371</v>
      </c>
      <c r="O468">
        <f t="shared" si="132"/>
        <v>-130339.5662954125</v>
      </c>
      <c r="P468">
        <f t="shared" si="133"/>
        <v>2761.6154319111515</v>
      </c>
      <c r="Q468">
        <f t="shared" si="134"/>
        <v>-6416.4705690282335</v>
      </c>
      <c r="R468">
        <f t="shared" si="120"/>
        <v>-99.899001012097216</v>
      </c>
      <c r="S468">
        <f t="shared" si="121"/>
        <v>113.34929645981531</v>
      </c>
      <c r="T468">
        <f t="shared" si="122"/>
        <v>176963.35234038884</v>
      </c>
      <c r="U468">
        <f t="shared" si="123"/>
        <v>208364.00109086939</v>
      </c>
      <c r="V468">
        <f t="shared" si="124"/>
        <v>180632.64843264158</v>
      </c>
      <c r="W468">
        <f t="shared" si="125"/>
        <v>-84.553040770488778</v>
      </c>
      <c r="X468">
        <f t="shared" si="126"/>
        <v>-3.0524638050494017</v>
      </c>
      <c r="Y468">
        <f t="shared" si="127"/>
        <v>-12.293496436559037</v>
      </c>
      <c r="Z468">
        <f t="shared" si="128"/>
        <v>100.36798363296249</v>
      </c>
      <c r="AA468">
        <f t="shared" si="129"/>
        <v>2.7814418626595319</v>
      </c>
      <c r="AB468">
        <f t="shared" si="130"/>
        <v>10.199870964193284</v>
      </c>
    </row>
    <row r="469" spans="12:28" x14ac:dyDescent="0.25">
      <c r="L469">
        <v>465</v>
      </c>
      <c r="M469">
        <f t="shared" si="135"/>
        <v>232.5</v>
      </c>
      <c r="N469">
        <f t="shared" si="131"/>
        <v>135382.48554199276</v>
      </c>
      <c r="O469">
        <f t="shared" si="132"/>
        <v>-133533.63291786914</v>
      </c>
      <c r="P469">
        <f t="shared" si="133"/>
        <v>2711.665931405103</v>
      </c>
      <c r="Q469">
        <f t="shared" si="134"/>
        <v>-6359.7959207983258</v>
      </c>
      <c r="R469">
        <f t="shared" si="120"/>
        <v>-95.715338564828016</v>
      </c>
      <c r="S469">
        <f t="shared" si="121"/>
        <v>109.90162459926198</v>
      </c>
      <c r="T469">
        <f t="shared" si="122"/>
        <v>180290.55831981631</v>
      </c>
      <c r="U469">
        <f t="shared" si="123"/>
        <v>211531.60660243942</v>
      </c>
      <c r="V469">
        <f t="shared" si="124"/>
        <v>183732.04505381189</v>
      </c>
      <c r="W469">
        <f t="shared" si="125"/>
        <v>-80.973308544709937</v>
      </c>
      <c r="X469">
        <f t="shared" si="126"/>
        <v>-2.9434455944339755</v>
      </c>
      <c r="Y469">
        <f t="shared" si="127"/>
        <v>-11.798584425684103</v>
      </c>
      <c r="Z469">
        <f t="shared" si="128"/>
        <v>97.220358439892081</v>
      </c>
      <c r="AA469">
        <f t="shared" si="129"/>
        <v>2.7189900971884478</v>
      </c>
      <c r="AB469">
        <f t="shared" si="130"/>
        <v>9.962276062181445</v>
      </c>
    </row>
    <row r="470" spans="12:28" x14ac:dyDescent="0.25">
      <c r="L470">
        <v>466</v>
      </c>
      <c r="M470">
        <f t="shared" si="135"/>
        <v>233</v>
      </c>
      <c r="N470">
        <f t="shared" si="131"/>
        <v>136726.35409037469</v>
      </c>
      <c r="O470">
        <f t="shared" si="132"/>
        <v>-136699.79317519339</v>
      </c>
      <c r="P470">
        <f t="shared" si="133"/>
        <v>2663.808262122689</v>
      </c>
      <c r="Q470">
        <f t="shared" si="134"/>
        <v>-6304.8451084986946</v>
      </c>
      <c r="R470">
        <f t="shared" si="120"/>
        <v>-91.809070654574768</v>
      </c>
      <c r="S470">
        <f t="shared" si="121"/>
        <v>106.63542197661215</v>
      </c>
      <c r="T470">
        <f t="shared" si="122"/>
        <v>183586.14633224404</v>
      </c>
      <c r="U470">
        <f t="shared" si="123"/>
        <v>214671.79457046988</v>
      </c>
      <c r="V470">
        <f t="shared" si="124"/>
        <v>186807.92034235358</v>
      </c>
      <c r="W470">
        <f t="shared" si="125"/>
        <v>-77.634001931252698</v>
      </c>
      <c r="X470">
        <f t="shared" si="126"/>
        <v>-2.8406486332006762</v>
      </c>
      <c r="Y470">
        <f t="shared" si="127"/>
        <v>-11.334420090121396</v>
      </c>
      <c r="Z470">
        <f t="shared" si="128"/>
        <v>94.243687321064002</v>
      </c>
      <c r="AA470">
        <f t="shared" si="129"/>
        <v>2.6589182744188387</v>
      </c>
      <c r="AB470">
        <f t="shared" si="130"/>
        <v>9.7328163811293038</v>
      </c>
    </row>
    <row r="471" spans="12:28" x14ac:dyDescent="0.25">
      <c r="L471">
        <v>467</v>
      </c>
      <c r="M471">
        <f t="shared" si="135"/>
        <v>233.5</v>
      </c>
      <c r="N471">
        <f t="shared" si="131"/>
        <v>138046.7820876042</v>
      </c>
      <c r="O471">
        <f t="shared" si="132"/>
        <v>-139838.88630169566</v>
      </c>
      <c r="P471">
        <f t="shared" si="133"/>
        <v>2617.9037267954018</v>
      </c>
      <c r="Q471">
        <f t="shared" si="134"/>
        <v>-6251.5273975103883</v>
      </c>
      <c r="R471">
        <f t="shared" si="120"/>
        <v>-88.155487503669463</v>
      </c>
      <c r="S471">
        <f t="shared" si="121"/>
        <v>103.53747106548985</v>
      </c>
      <c r="T471">
        <f t="shared" si="122"/>
        <v>186851.13257979957</v>
      </c>
      <c r="U471">
        <f t="shared" si="123"/>
        <v>217785.39247704178</v>
      </c>
      <c r="V471">
        <f t="shared" si="124"/>
        <v>189860.81585905558</v>
      </c>
      <c r="W471">
        <f t="shared" si="125"/>
        <v>-74.513414055952438</v>
      </c>
      <c r="X471">
        <f t="shared" si="126"/>
        <v>-2.7435918753054103</v>
      </c>
      <c r="Y471">
        <f t="shared" si="127"/>
        <v>-10.898481572411614</v>
      </c>
      <c r="Z471">
        <f t="shared" si="128"/>
        <v>91.425108889389662</v>
      </c>
      <c r="AA471">
        <f t="shared" si="129"/>
        <v>2.6011080113878902</v>
      </c>
      <c r="AB471">
        <f t="shared" si="130"/>
        <v>9.5112541647123034</v>
      </c>
    </row>
    <row r="472" spans="12:28" x14ac:dyDescent="0.25">
      <c r="L472">
        <v>468</v>
      </c>
      <c r="M472">
        <f t="shared" si="135"/>
        <v>234</v>
      </c>
      <c r="N472">
        <f t="shared" si="131"/>
        <v>139344.71451506394</v>
      </c>
      <c r="O472">
        <f t="shared" si="132"/>
        <v>-142951.70781656765</v>
      </c>
      <c r="P472">
        <f t="shared" si="133"/>
        <v>2573.8259830435672</v>
      </c>
      <c r="Q472">
        <f t="shared" si="134"/>
        <v>-6199.758661977643</v>
      </c>
      <c r="R472">
        <f t="shared" si="120"/>
        <v>-84.732611196931344</v>
      </c>
      <c r="S472">
        <f t="shared" si="121"/>
        <v>100.59576126709118</v>
      </c>
      <c r="T472">
        <f t="shared" si="122"/>
        <v>190086.4769743527</v>
      </c>
      <c r="U472">
        <f t="shared" si="123"/>
        <v>220873.18299850688</v>
      </c>
      <c r="V472">
        <f t="shared" si="124"/>
        <v>192891.25470485075</v>
      </c>
      <c r="W472">
        <f t="shared" si="125"/>
        <v>-71.592270289514445</v>
      </c>
      <c r="X472">
        <f t="shared" si="126"/>
        <v>-2.651840814198192</v>
      </c>
      <c r="Y472">
        <f t="shared" si="127"/>
        <v>-10.488500093218699</v>
      </c>
      <c r="Z472">
        <f t="shared" si="128"/>
        <v>88.752976609299353</v>
      </c>
      <c r="AA472">
        <f t="shared" si="129"/>
        <v>2.5454473505674158</v>
      </c>
      <c r="AB472">
        <f t="shared" si="130"/>
        <v>9.2973373072244154</v>
      </c>
    </row>
    <row r="473" spans="12:28" x14ac:dyDescent="0.25">
      <c r="L473">
        <v>469</v>
      </c>
      <c r="M473">
        <f t="shared" si="135"/>
        <v>234.5</v>
      </c>
      <c r="N473">
        <f t="shared" si="131"/>
        <v>140621.0359301861</v>
      </c>
      <c r="O473">
        <f t="shared" si="132"/>
        <v>-146039.0126773981</v>
      </c>
      <c r="P473">
        <f t="shared" si="133"/>
        <v>2531.4596774451015</v>
      </c>
      <c r="Q473">
        <f t="shared" si="134"/>
        <v>-6149.4607813440971</v>
      </c>
      <c r="R473">
        <f t="shared" si="120"/>
        <v>-81.520838061074471</v>
      </c>
      <c r="S473">
        <f t="shared" si="121"/>
        <v>97.799358582992241</v>
      </c>
      <c r="T473">
        <f t="shared" si="122"/>
        <v>193293.08745900478</v>
      </c>
      <c r="U473">
        <f t="shared" si="123"/>
        <v>223935.90748386766</v>
      </c>
      <c r="V473">
        <f t="shared" si="124"/>
        <v>195899.74208468947</v>
      </c>
      <c r="W473">
        <f t="shared" si="125"/>
        <v>-68.853405685541475</v>
      </c>
      <c r="X473">
        <f t="shared" si="126"/>
        <v>-2.5650021106551009</v>
      </c>
      <c r="Y473">
        <f t="shared" si="127"/>
        <v>-10.102430264877896</v>
      </c>
      <c r="Z473">
        <f t="shared" si="128"/>
        <v>86.216722763346695</v>
      </c>
      <c r="AA473">
        <f t="shared" si="129"/>
        <v>2.4918305036709421</v>
      </c>
      <c r="AB473">
        <f t="shared" si="130"/>
        <v>9.0908053159746061</v>
      </c>
    </row>
    <row r="474" spans="12:28" x14ac:dyDescent="0.25">
      <c r="L474">
        <v>470</v>
      </c>
      <c r="M474">
        <f t="shared" si="135"/>
        <v>235</v>
      </c>
      <c r="N474">
        <f t="shared" si="131"/>
        <v>141876.57566415102</v>
      </c>
      <c r="O474">
        <f t="shared" si="132"/>
        <v>-149101.51814824727</v>
      </c>
      <c r="P474">
        <f t="shared" si="133"/>
        <v>2490.6992584145642</v>
      </c>
      <c r="Q474">
        <f t="shared" si="134"/>
        <v>-6100.5611020526012</v>
      </c>
      <c r="R474">
        <f t="shared" si="120"/>
        <v>-78.502634772323049</v>
      </c>
      <c r="S474">
        <f t="shared" si="121"/>
        <v>95.138291266516831</v>
      </c>
      <c r="T474">
        <f t="shared" si="122"/>
        <v>196471.82391176122</v>
      </c>
      <c r="U474">
        <f t="shared" si="123"/>
        <v>226974.26908314668</v>
      </c>
      <c r="V474">
        <f t="shared" si="124"/>
        <v>198886.76589580256</v>
      </c>
      <c r="W474">
        <f t="shared" si="125"/>
        <v>-66.281491483423878</v>
      </c>
      <c r="X474">
        <f t="shared" si="126"/>
        <v>-2.4827189374917107</v>
      </c>
      <c r="Y474">
        <f t="shared" si="127"/>
        <v>-9.7384243514074615</v>
      </c>
      <c r="Z474">
        <f t="shared" si="128"/>
        <v>83.806739786258419</v>
      </c>
      <c r="AA474">
        <f t="shared" si="129"/>
        <v>2.4401575735692544</v>
      </c>
      <c r="AB474">
        <f t="shared" si="130"/>
        <v>8.891393906689153</v>
      </c>
    </row>
    <row r="475" spans="12:28" x14ac:dyDescent="0.25">
      <c r="L475">
        <v>471</v>
      </c>
      <c r="M475">
        <f t="shared" si="135"/>
        <v>235.5</v>
      </c>
      <c r="N475">
        <f t="shared" si="131"/>
        <v>143112.11246401176</v>
      </c>
      <c r="O475">
        <f t="shared" si="132"/>
        <v>-152139.90641286527</v>
      </c>
      <c r="P475">
        <f t="shared" si="133"/>
        <v>2451.4479410284025</v>
      </c>
      <c r="Q475">
        <f t="shared" si="134"/>
        <v>-6052.9919564193424</v>
      </c>
      <c r="R475">
        <f t="shared" si="120"/>
        <v>-75.662279131672989</v>
      </c>
      <c r="S475">
        <f t="shared" si="121"/>
        <v>92.603449300606414</v>
      </c>
      <c r="T475">
        <f t="shared" si="122"/>
        <v>199623.50167952554</v>
      </c>
      <c r="U475">
        <f t="shared" si="123"/>
        <v>229988.9355687467</v>
      </c>
      <c r="V475">
        <f t="shared" si="124"/>
        <v>201852.79732884929</v>
      </c>
      <c r="W475">
        <f t="shared" si="125"/>
        <v>-63.862802304901614</v>
      </c>
      <c r="X475">
        <f t="shared" si="126"/>
        <v>-2.4046669330323414</v>
      </c>
      <c r="Y475">
        <f t="shared" si="127"/>
        <v>-9.3948098937390352</v>
      </c>
      <c r="Z475">
        <f t="shared" si="128"/>
        <v>81.514276512712044</v>
      </c>
      <c r="AA475">
        <f t="shared" si="129"/>
        <v>2.3903342651024735</v>
      </c>
      <c r="AB475">
        <f t="shared" si="130"/>
        <v>8.6988385227919007</v>
      </c>
    </row>
    <row r="476" spans="12:28" x14ac:dyDescent="0.25">
      <c r="L476">
        <v>472</v>
      </c>
      <c r="M476">
        <f t="shared" si="135"/>
        <v>236</v>
      </c>
      <c r="N476">
        <f t="shared" si="131"/>
        <v>144328.37864963451</v>
      </c>
      <c r="O476">
        <f t="shared" si="132"/>
        <v>-155154.82695991237</v>
      </c>
      <c r="P476">
        <f t="shared" si="133"/>
        <v>2413.6168014625659</v>
      </c>
      <c r="Q476">
        <f t="shared" si="134"/>
        <v>-6006.6902317690392</v>
      </c>
      <c r="R476">
        <f t="shared" si="120"/>
        <v>-72.985638134096206</v>
      </c>
      <c r="S476">
        <f t="shared" si="121"/>
        <v>90.186495858429993</v>
      </c>
      <c r="T476">
        <f t="shared" si="122"/>
        <v>202748.89478417969</v>
      </c>
      <c r="U476">
        <f t="shared" si="123"/>
        <v>232980.54188660532</v>
      </c>
      <c r="V476">
        <f t="shared" si="124"/>
        <v>204798.29147307746</v>
      </c>
      <c r="W476">
        <f t="shared" si="125"/>
        <v>-61.585017248668215</v>
      </c>
      <c r="X476">
        <f t="shared" si="126"/>
        <v>-2.3305506733337746</v>
      </c>
      <c r="Y476">
        <f t="shared" si="127"/>
        <v>-9.07007021209421</v>
      </c>
      <c r="Z476">
        <f t="shared" si="128"/>
        <v>79.331347258847813</v>
      </c>
      <c r="AA476">
        <f t="shared" si="129"/>
        <v>2.3422715926407212</v>
      </c>
      <c r="AB476">
        <f t="shared" si="130"/>
        <v>8.5128770069414461</v>
      </c>
    </row>
    <row r="477" spans="12:28" x14ac:dyDescent="0.25">
      <c r="L477">
        <v>473</v>
      </c>
      <c r="M477">
        <f t="shared" si="135"/>
        <v>236.5</v>
      </c>
      <c r="N477">
        <f t="shared" si="131"/>
        <v>145526.06384559901</v>
      </c>
      <c r="O477">
        <f t="shared" si="132"/>
        <v>-158146.89876381459</v>
      </c>
      <c r="P477">
        <f t="shared" si="133"/>
        <v>2377.1239823955179</v>
      </c>
      <c r="Q477">
        <f t="shared" si="134"/>
        <v>-5961.5969838398241</v>
      </c>
      <c r="R477">
        <f t="shared" si="120"/>
        <v>-70.459977302534398</v>
      </c>
      <c r="S477">
        <f t="shared" si="121"/>
        <v>87.879789166156144</v>
      </c>
      <c r="T477">
        <f t="shared" si="122"/>
        <v>205848.73883708825</v>
      </c>
      <c r="U477">
        <f t="shared" si="123"/>
        <v>235949.69246876723</v>
      </c>
      <c r="V477">
        <f t="shared" si="124"/>
        <v>207723.687918704</v>
      </c>
      <c r="W477">
        <f t="shared" si="125"/>
        <v>-59.437049339988725</v>
      </c>
      <c r="X477">
        <f t="shared" si="126"/>
        <v>-2.2601005879546228</v>
      </c>
      <c r="Y477">
        <f t="shared" si="127"/>
        <v>-8.762827374591053</v>
      </c>
      <c r="Z477">
        <f t="shared" si="128"/>
        <v>77.250651971518607</v>
      </c>
      <c r="AA477">
        <f t="shared" si="129"/>
        <v>2.295885590038139</v>
      </c>
      <c r="AB477">
        <f t="shared" si="130"/>
        <v>8.3332516045993916</v>
      </c>
    </row>
    <row r="478" spans="12:28" x14ac:dyDescent="0.25">
      <c r="L478">
        <v>474</v>
      </c>
      <c r="M478">
        <f t="shared" si="135"/>
        <v>237</v>
      </c>
      <c r="N478">
        <f t="shared" si="131"/>
        <v>146705.81833963396</v>
      </c>
      <c r="O478">
        <f t="shared" si="132"/>
        <v>-161116.71228208873</v>
      </c>
      <c r="P478">
        <f t="shared" si="133"/>
        <v>2341.8939937442506</v>
      </c>
      <c r="Q478">
        <f t="shared" si="134"/>
        <v>-5917.6570892567461</v>
      </c>
      <c r="R478">
        <f t="shared" si="120"/>
        <v>-68.073796334761752</v>
      </c>
      <c r="S478">
        <f t="shared" si="121"/>
        <v>85.676313411698288</v>
      </c>
      <c r="T478">
        <f t="shared" si="122"/>
        <v>208923.73369372511</v>
      </c>
      <c r="U478">
        <f t="shared" si="123"/>
        <v>238896.96333465225</v>
      </c>
      <c r="V478">
        <f t="shared" si="124"/>
        <v>210629.41135137019</v>
      </c>
      <c r="W478">
        <f t="shared" si="125"/>
        <v>-57.408898793355014</v>
      </c>
      <c r="X478">
        <f t="shared" si="126"/>
        <v>-2.1930702561852558</v>
      </c>
      <c r="Y478">
        <f t="shared" si="127"/>
        <v>-8.4718272852214831</v>
      </c>
      <c r="Z478">
        <f t="shared" si="128"/>
        <v>75.265505943259726</v>
      </c>
      <c r="AA478">
        <f t="shared" si="129"/>
        <v>2.2510970269646497</v>
      </c>
      <c r="AB478">
        <f t="shared" si="130"/>
        <v>8.1597104414739139</v>
      </c>
    </row>
    <row r="479" spans="12:28" x14ac:dyDescent="0.25">
      <c r="L479">
        <v>475</v>
      </c>
      <c r="M479">
        <f t="shared" si="135"/>
        <v>237.5</v>
      </c>
      <c r="N479">
        <f t="shared" si="131"/>
        <v>147868.25611196426</v>
      </c>
      <c r="O479">
        <f t="shared" si="132"/>
        <v>-164064.83128754064</v>
      </c>
      <c r="P479">
        <f t="shared" si="133"/>
        <v>2307.8570955768696</v>
      </c>
      <c r="Q479">
        <f t="shared" si="134"/>
        <v>-5874.8189325508965</v>
      </c>
      <c r="R479">
        <f t="shared" si="120"/>
        <v>-65.816686978404661</v>
      </c>
      <c r="S479">
        <f t="shared" si="121"/>
        <v>83.56961753434301</v>
      </c>
      <c r="T479">
        <f t="shared" si="122"/>
        <v>211974.54587614868</v>
      </c>
      <c r="U479">
        <f t="shared" si="123"/>
        <v>241822.904004629</v>
      </c>
      <c r="V479">
        <f t="shared" si="124"/>
        <v>213515.8721348276</v>
      </c>
      <c r="W479">
        <f t="shared" si="125"/>
        <v>-55.491526350121141</v>
      </c>
      <c r="X479">
        <f t="shared" si="126"/>
        <v>-2.1292340306340307</v>
      </c>
      <c r="Y479">
        <f t="shared" si="127"/>
        <v>-8.1959265976494837</v>
      </c>
      <c r="Z479">
        <f t="shared" si="128"/>
        <v>73.369777813005854</v>
      </c>
      <c r="AA479">
        <f t="shared" si="129"/>
        <v>2.2078311343557679</v>
      </c>
      <c r="AB479">
        <f t="shared" si="130"/>
        <v>7.9920085869813793</v>
      </c>
    </row>
    <row r="480" spans="12:28" x14ac:dyDescent="0.25">
      <c r="L480">
        <v>476</v>
      </c>
      <c r="M480">
        <f t="shared" si="135"/>
        <v>238</v>
      </c>
      <c r="N480">
        <f t="shared" si="131"/>
        <v>149013.95757388041</v>
      </c>
      <c r="O480">
        <f t="shared" si="132"/>
        <v>-166991.79455162431</v>
      </c>
      <c r="P480">
        <f t="shared" si="133"/>
        <v>2274.9487520876673</v>
      </c>
      <c r="Q480">
        <f t="shared" si="134"/>
        <v>-5833.0341237837247</v>
      </c>
      <c r="R480">
        <f t="shared" si="120"/>
        <v>-63.679209750881284</v>
      </c>
      <c r="S480">
        <f t="shared" si="121"/>
        <v>81.553760892995797</v>
      </c>
      <c r="T480">
        <f t="shared" si="122"/>
        <v>215001.81078763769</v>
      </c>
      <c r="U480">
        <f t="shared" si="123"/>
        <v>244728.03924640478</v>
      </c>
      <c r="V480">
        <f t="shared" si="124"/>
        <v>216383.4668790391</v>
      </c>
      <c r="W480">
        <f t="shared" si="125"/>
        <v>-53.676743601802777</v>
      </c>
      <c r="X480">
        <f t="shared" si="126"/>
        <v>-2.0683849433106616</v>
      </c>
      <c r="Y480">
        <f t="shared" si="127"/>
        <v>-7.9340812057678471</v>
      </c>
      <c r="Z480">
        <f t="shared" si="128"/>
        <v>71.55783475965967</v>
      </c>
      <c r="AA480">
        <f t="shared" si="129"/>
        <v>2.1660173407872985</v>
      </c>
      <c r="AB480">
        <f t="shared" si="130"/>
        <v>7.8299087925488404</v>
      </c>
    </row>
    <row r="481" spans="12:28" x14ac:dyDescent="0.25">
      <c r="L481">
        <v>477</v>
      </c>
      <c r="M481">
        <f t="shared" si="135"/>
        <v>238.5</v>
      </c>
      <c r="N481">
        <f t="shared" si="131"/>
        <v>150143.47204870539</v>
      </c>
      <c r="O481">
        <f t="shared" si="132"/>
        <v>-169898.11739340454</v>
      </c>
      <c r="P481">
        <f t="shared" si="133"/>
        <v>2243.1091472122266</v>
      </c>
      <c r="Q481">
        <f t="shared" si="134"/>
        <v>-5792.257243337227</v>
      </c>
      <c r="R481">
        <f t="shared" si="120"/>
        <v>-61.652786690927336</v>
      </c>
      <c r="S481">
        <f t="shared" si="121"/>
        <v>79.623264949503806</v>
      </c>
      <c r="T481">
        <f t="shared" si="122"/>
        <v>218006.13474085834</v>
      </c>
      <c r="U481">
        <f t="shared" si="123"/>
        <v>247612.87067210328</v>
      </c>
      <c r="V481">
        <f t="shared" si="124"/>
        <v>219232.57899169173</v>
      </c>
      <c r="W481">
        <f t="shared" si="125"/>
        <v>-51.957117735579992</v>
      </c>
      <c r="X481">
        <f t="shared" si="126"/>
        <v>-2.0103328561890814</v>
      </c>
      <c r="Y481">
        <f t="shared" si="127"/>
        <v>-7.685336099158266</v>
      </c>
      <c r="Z481">
        <f t="shared" si="128"/>
        <v>69.824493953408449</v>
      </c>
      <c r="AA481">
        <f t="shared" si="129"/>
        <v>2.1255890208881714</v>
      </c>
      <c r="AB481">
        <f t="shared" si="130"/>
        <v>7.6731819752071901</v>
      </c>
    </row>
    <row r="482" spans="12:28" x14ac:dyDescent="0.25">
      <c r="L482">
        <v>478</v>
      </c>
      <c r="M482">
        <f t="shared" si="135"/>
        <v>239</v>
      </c>
      <c r="N482">
        <f t="shared" si="131"/>
        <v>151257.32002397513</v>
      </c>
      <c r="O482">
        <f t="shared" si="132"/>
        <v>-172784.29310695446</v>
      </c>
      <c r="P482">
        <f t="shared" si="133"/>
        <v>2212.282753866763</v>
      </c>
      <c r="Q482">
        <f t="shared" si="134"/>
        <v>-5752.4456108624754</v>
      </c>
      <c r="R482">
        <f t="shared" si="120"/>
        <v>-59.729607793394848</v>
      </c>
      <c r="S482">
        <f t="shared" si="121"/>
        <v>77.773070221814393</v>
      </c>
      <c r="T482">
        <f t="shared" si="122"/>
        <v>220988.09681839362</v>
      </c>
      <c r="U482">
        <f t="shared" si="123"/>
        <v>250477.87820165532</v>
      </c>
      <c r="V482">
        <f t="shared" si="124"/>
        <v>222063.57921175702</v>
      </c>
      <c r="W482">
        <f t="shared" si="125"/>
        <v>-50.325888566662229</v>
      </c>
      <c r="X482">
        <f t="shared" si="126"/>
        <v>-1.9549028239265747</v>
      </c>
      <c r="Y482">
        <f t="shared" si="127"/>
        <v>-7.4488164028060435</v>
      </c>
      <c r="Z482">
        <f t="shared" si="128"/>
        <v>68.164979463005494</v>
      </c>
      <c r="AA482">
        <f t="shared" si="129"/>
        <v>2.0864832563897666</v>
      </c>
      <c r="AB482">
        <f t="shared" si="130"/>
        <v>7.5216075024191333</v>
      </c>
    </row>
    <row r="483" spans="12:28" x14ac:dyDescent="0.25">
      <c r="L483">
        <v>479</v>
      </c>
      <c r="M483">
        <f t="shared" si="135"/>
        <v>239.5</v>
      </c>
      <c r="N483">
        <f t="shared" si="131"/>
        <v>152355.99519993432</v>
      </c>
      <c r="O483">
        <f t="shared" si="132"/>
        <v>-175650.79427860797</v>
      </c>
      <c r="P483">
        <f t="shared" si="133"/>
        <v>2182.4179499700654</v>
      </c>
      <c r="Q483">
        <f t="shared" si="134"/>
        <v>-5713.5590757515683</v>
      </c>
      <c r="R483">
        <f t="shared" si="120"/>
        <v>-57.902549160051571</v>
      </c>
      <c r="S483">
        <f t="shared" si="121"/>
        <v>75.998497862761141</v>
      </c>
      <c r="T483">
        <f t="shared" si="122"/>
        <v>223948.25058226503</v>
      </c>
      <c r="U483">
        <f t="shared" si="123"/>
        <v>253323.52140620066</v>
      </c>
      <c r="V483">
        <f t="shared" si="124"/>
        <v>224876.82612423488</v>
      </c>
      <c r="W483">
        <f t="shared" si="125"/>
        <v>-48.776896072221426</v>
      </c>
      <c r="X483">
        <f t="shared" si="126"/>
        <v>-1.9019336411734835</v>
      </c>
      <c r="Y483">
        <f t="shared" si="127"/>
        <v>-7.2237194466566592</v>
      </c>
      <c r="Z483">
        <f t="shared" si="128"/>
        <v>66.574883930125793</v>
      </c>
      <c r="AA483">
        <f t="shared" si="129"/>
        <v>2.0486406100319781</v>
      </c>
      <c r="AB483">
        <f t="shared" si="130"/>
        <v>7.3749733226033651</v>
      </c>
    </row>
    <row r="484" spans="12:28" x14ac:dyDescent="0.25">
      <c r="L484">
        <v>480</v>
      </c>
      <c r="M484">
        <f t="shared" si="135"/>
        <v>240</v>
      </c>
      <c r="N484">
        <f t="shared" si="131"/>
        <v>153439.96635627435</v>
      </c>
      <c r="O484">
        <f t="shared" si="132"/>
        <v>-178498.0740042509</v>
      </c>
      <c r="P484">
        <f t="shared" si="133"/>
        <v>2153.4666753900397</v>
      </c>
      <c r="Q484">
        <f t="shared" si="134"/>
        <v>-5675.5598268201875</v>
      </c>
      <c r="R484">
        <f t="shared" si="120"/>
        <v>-56.165101212510365</v>
      </c>
      <c r="S484">
        <f t="shared" si="121"/>
        <v>74.295215306572672</v>
      </c>
      <c r="T484">
        <f t="shared" si="122"/>
        <v>226887.1256471666</v>
      </c>
      <c r="U484">
        <f t="shared" si="123"/>
        <v>256150.24074354806</v>
      </c>
      <c r="V484">
        <f t="shared" si="124"/>
        <v>227672.66665561075</v>
      </c>
      <c r="W484">
        <f t="shared" si="125"/>
        <v>-47.304516928902629</v>
      </c>
      <c r="X484">
        <f t="shared" si="126"/>
        <v>-1.851276550896942</v>
      </c>
      <c r="Y484">
        <f t="shared" si="127"/>
        <v>-7.0093077327107984</v>
      </c>
      <c r="Z484">
        <f t="shared" si="128"/>
        <v>65.050134417595828</v>
      </c>
      <c r="AA484">
        <f t="shared" si="129"/>
        <v>2.0120049122731052</v>
      </c>
      <c r="AB484">
        <f t="shared" si="130"/>
        <v>7.2330759767037494</v>
      </c>
    </row>
    <row r="485" spans="12:28" x14ac:dyDescent="0.25">
      <c r="L485">
        <v>481</v>
      </c>
      <c r="M485">
        <f t="shared" si="135"/>
        <v>240.5</v>
      </c>
      <c r="N485">
        <f t="shared" si="131"/>
        <v>154509.67905631781</v>
      </c>
      <c r="O485">
        <f t="shared" si="132"/>
        <v>-181326.56701574769</v>
      </c>
      <c r="P485">
        <f t="shared" si="133"/>
        <v>2125.3841247837845</v>
      </c>
      <c r="Q485">
        <f t="shared" si="134"/>
        <v>-5638.4122191669012</v>
      </c>
      <c r="R485">
        <f t="shared" si="120"/>
        <v>-54.511305572244787</v>
      </c>
      <c r="S485">
        <f t="shared" si="121"/>
        <v>72.659205499126998</v>
      </c>
      <c r="T485">
        <f t="shared" si="122"/>
        <v>229805.22913046938</v>
      </c>
      <c r="U485">
        <f t="shared" si="123"/>
        <v>258958.45869631376</v>
      </c>
      <c r="V485">
        <f t="shared" si="124"/>
        <v>230451.43654985866</v>
      </c>
      <c r="W485">
        <f t="shared" si="125"/>
        <v>-45.903608792713513</v>
      </c>
      <c r="X485">
        <f t="shared" si="126"/>
        <v>-1.8027940934950932</v>
      </c>
      <c r="Y485">
        <f t="shared" si="127"/>
        <v>-6.804902686036181</v>
      </c>
      <c r="Z485">
        <f t="shared" si="128"/>
        <v>63.586961919663189</v>
      </c>
      <c r="AA485">
        <f t="shared" si="129"/>
        <v>1.9765230605539632</v>
      </c>
      <c r="AB485">
        <f t="shared" si="130"/>
        <v>7.0957205189098458</v>
      </c>
    </row>
    <row r="486" spans="12:28" x14ac:dyDescent="0.25">
      <c r="L486">
        <v>482</v>
      </c>
      <c r="M486">
        <f t="shared" si="135"/>
        <v>241</v>
      </c>
      <c r="N486">
        <f t="shared" si="131"/>
        <v>155565.55720551318</v>
      </c>
      <c r="O486">
        <f t="shared" si="132"/>
        <v>-184136.69072464376</v>
      </c>
      <c r="P486">
        <f t="shared" si="133"/>
        <v>2098.128471997662</v>
      </c>
      <c r="Q486">
        <f t="shared" si="134"/>
        <v>-5602.0826164173377</v>
      </c>
      <c r="R486">
        <f t="shared" si="120"/>
        <v>-52.935699427114898</v>
      </c>
      <c r="S486">
        <f t="shared" si="121"/>
        <v>71.086739291289689</v>
      </c>
      <c r="T486">
        <f t="shared" si="122"/>
        <v>232703.04699060306</v>
      </c>
      <c r="U486">
        <f t="shared" si="123"/>
        <v>261748.58082212842</v>
      </c>
      <c r="V486">
        <f t="shared" si="124"/>
        <v>233213.4608250577</v>
      </c>
      <c r="W486">
        <f t="shared" si="125"/>
        <v>-44.569461255912501</v>
      </c>
      <c r="X486">
        <f t="shared" si="126"/>
        <v>-1.7563590793091171</v>
      </c>
      <c r="Y486">
        <f t="shared" si="127"/>
        <v>-6.6098790918932853</v>
      </c>
      <c r="Z486">
        <f t="shared" si="128"/>
        <v>62.181874091693651</v>
      </c>
      <c r="AA486">
        <f t="shared" si="129"/>
        <v>1.9421448307319056</v>
      </c>
      <c r="AB486">
        <f t="shared" si="130"/>
        <v>6.9627203688641206</v>
      </c>
    </row>
    <row r="487" spans="12:28" x14ac:dyDescent="0.25">
      <c r="L487">
        <v>483</v>
      </c>
      <c r="M487">
        <f t="shared" si="135"/>
        <v>241.5</v>
      </c>
      <c r="N487">
        <f t="shared" si="131"/>
        <v>156608.00447908364</v>
      </c>
      <c r="O487">
        <f t="shared" si="132"/>
        <v>-186928.84619044102</v>
      </c>
      <c r="P487">
        <f t="shared" si="133"/>
        <v>2071.6606222841046</v>
      </c>
      <c r="Q487">
        <f t="shared" si="134"/>
        <v>-5566.5392467716929</v>
      </c>
      <c r="R487">
        <f t="shared" si="120"/>
        <v>-51.433266382250743</v>
      </c>
      <c r="S487">
        <f t="shared" si="121"/>
        <v>69.574350629111493</v>
      </c>
      <c r="T487">
        <f t="shared" si="122"/>
        <v>235581.04526415383</v>
      </c>
      <c r="U487">
        <f t="shared" si="123"/>
        <v>264520.99672423437</v>
      </c>
      <c r="V487">
        <f t="shared" si="124"/>
        <v>235959.05421086907</v>
      </c>
      <c r="W487">
        <f t="shared" si="125"/>
        <v>-43.297752578113659</v>
      </c>
      <c r="X487">
        <f t="shared" si="126"/>
        <v>-1.7118536695335536</v>
      </c>
      <c r="Y487">
        <f t="shared" si="127"/>
        <v>-6.42366013460353</v>
      </c>
      <c r="Z487">
        <f t="shared" si="128"/>
        <v>60.831630815813021</v>
      </c>
      <c r="AA487">
        <f t="shared" si="129"/>
        <v>1.9088227002080238</v>
      </c>
      <c r="AB487">
        <f t="shared" si="130"/>
        <v>6.8338971130904484</v>
      </c>
    </row>
    <row r="488" spans="12:28" x14ac:dyDescent="0.25">
      <c r="L488">
        <v>484</v>
      </c>
      <c r="M488">
        <f t="shared" si="135"/>
        <v>242</v>
      </c>
      <c r="N488">
        <f t="shared" si="131"/>
        <v>157637.40563192792</v>
      </c>
      <c r="O488">
        <f t="shared" si="132"/>
        <v>-189703.41901999825</v>
      </c>
      <c r="P488">
        <f t="shared" si="133"/>
        <v>2045.9439890929793</v>
      </c>
      <c r="Q488">
        <f t="shared" si="134"/>
        <v>-5531.7520714571374</v>
      </c>
      <c r="R488">
        <f t="shared" si="120"/>
        <v>-49.999392941989164</v>
      </c>
      <c r="S488">
        <f t="shared" si="121"/>
        <v>68.118814221402417</v>
      </c>
      <c r="T488">
        <f t="shared" si="122"/>
        <v>238439.67121090586</v>
      </c>
      <c r="U488">
        <f t="shared" si="123"/>
        <v>267276.08094986557</v>
      </c>
      <c r="V488">
        <f t="shared" si="124"/>
        <v>238688.52156725375</v>
      </c>
      <c r="W488">
        <f t="shared" si="125"/>
        <v>-42.084511424217197</v>
      </c>
      <c r="X488">
        <f t="shared" si="126"/>
        <v>-1.6691685525582607</v>
      </c>
      <c r="Y488">
        <f t="shared" si="127"/>
        <v>-6.2457129652137056</v>
      </c>
      <c r="Z488">
        <f t="shared" si="128"/>
        <v>59.533222269488142</v>
      </c>
      <c r="AA488">
        <f t="shared" si="129"/>
        <v>1.8765116822142622</v>
      </c>
      <c r="AB488">
        <f t="shared" si="130"/>
        <v>6.7090802697000163</v>
      </c>
    </row>
    <row r="489" spans="12:28" x14ac:dyDescent="0.25">
      <c r="L489">
        <v>485</v>
      </c>
      <c r="M489">
        <f t="shared" si="135"/>
        <v>242.5</v>
      </c>
      <c r="N489">
        <f t="shared" si="131"/>
        <v>158654.12770235667</v>
      </c>
      <c r="O489">
        <f t="shared" si="132"/>
        <v>-192460.78020394917</v>
      </c>
      <c r="P489">
        <f t="shared" si="133"/>
        <v>2020.9442926219847</v>
      </c>
      <c r="Q489">
        <f t="shared" si="134"/>
        <v>-5497.6926643464358</v>
      </c>
      <c r="R489">
        <f t="shared" si="120"/>
        <v>-48.629829894230092</v>
      </c>
      <c r="S489">
        <f t="shared" si="121"/>
        <v>66.717125405528648</v>
      </c>
      <c r="T489">
        <f t="shared" si="122"/>
        <v>241279.35437507651</v>
      </c>
      <c r="U489">
        <f t="shared" si="123"/>
        <v>270014.19382299477</v>
      </c>
      <c r="V489">
        <f t="shared" si="124"/>
        <v>241402.1582849118</v>
      </c>
      <c r="W489">
        <f t="shared" si="125"/>
        <v>-40.926082954969125</v>
      </c>
      <c r="X489">
        <f t="shared" si="126"/>
        <v>-1.6282022045038205</v>
      </c>
      <c r="Y489">
        <f t="shared" si="127"/>
        <v>-6.0755447347571447</v>
      </c>
      <c r="Z489">
        <f t="shared" si="128"/>
        <v>58.283849207342378</v>
      </c>
      <c r="AA489">
        <f t="shared" si="129"/>
        <v>1.84516917069409</v>
      </c>
      <c r="AB489">
        <f t="shared" si="130"/>
        <v>6.5881070274921791</v>
      </c>
    </row>
    <row r="490" spans="12:28" x14ac:dyDescent="0.25">
      <c r="L490">
        <v>486</v>
      </c>
      <c r="M490">
        <f t="shared" si="135"/>
        <v>243</v>
      </c>
      <c r="N490">
        <f t="shared" si="131"/>
        <v>159658.52111993087</v>
      </c>
      <c r="O490">
        <f t="shared" si="132"/>
        <v>-195201.28689544668</v>
      </c>
      <c r="P490">
        <f t="shared" si="133"/>
        <v>1996.6293776748696</v>
      </c>
      <c r="Q490">
        <f t="shared" si="134"/>
        <v>-5464.3341016436716</v>
      </c>
      <c r="R490">
        <f t="shared" si="120"/>
        <v>-47.320657973269121</v>
      </c>
      <c r="S490">
        <f t="shared" si="121"/>
        <v>65.366481967049381</v>
      </c>
      <c r="T490">
        <f t="shared" si="122"/>
        <v>244100.50757013826</v>
      </c>
      <c r="U490">
        <f t="shared" si="123"/>
        <v>272735.682217322</v>
      </c>
      <c r="V490">
        <f t="shared" si="124"/>
        <v>244100.25066799464</v>
      </c>
      <c r="W490">
        <f t="shared" si="125"/>
        <v>-39.819098710842098</v>
      </c>
      <c r="X490">
        <f t="shared" si="126"/>
        <v>-1.5888602241881868</v>
      </c>
      <c r="Y490">
        <f t="shared" si="127"/>
        <v>-5.9126990382388342</v>
      </c>
      <c r="Z490">
        <f t="shared" si="128"/>
        <v>57.080905203640583</v>
      </c>
      <c r="AA490">
        <f t="shared" si="129"/>
        <v>1.8147547951970435</v>
      </c>
      <c r="AB490">
        <f t="shared" si="130"/>
        <v>6.4708219682117551</v>
      </c>
    </row>
    <row r="491" spans="12:28" x14ac:dyDescent="0.25">
      <c r="L491">
        <v>487</v>
      </c>
      <c r="M491">
        <f t="shared" si="135"/>
        <v>243.5</v>
      </c>
      <c r="N491">
        <f t="shared" si="131"/>
        <v>160650.92072652167</v>
      </c>
      <c r="O491">
        <f t="shared" si="132"/>
        <v>-197925.28313602263</v>
      </c>
      <c r="P491">
        <f t="shared" si="133"/>
        <v>1972.969048688235</v>
      </c>
      <c r="Q491">
        <f t="shared" si="134"/>
        <v>-5431.6508606601465</v>
      </c>
      <c r="R491">
        <f t="shared" si="120"/>
        <v>-46.068257265381718</v>
      </c>
      <c r="S491">
        <f t="shared" si="121"/>
        <v>64.064267698890575</v>
      </c>
      <c r="T491">
        <f t="shared" si="122"/>
        <v>246903.52779385966</v>
      </c>
      <c r="U491">
        <f t="shared" si="123"/>
        <v>275440.88027476094</v>
      </c>
      <c r="V491">
        <f t="shared" si="124"/>
        <v>246783.07629968956</v>
      </c>
      <c r="W491">
        <f t="shared" si="125"/>
        <v>-38.760449809748138</v>
      </c>
      <c r="X491">
        <f t="shared" si="126"/>
        <v>-1.5510547340243552</v>
      </c>
      <c r="Y491">
        <f t="shared" si="127"/>
        <v>-5.7567527216092209</v>
      </c>
      <c r="Z491">
        <f t="shared" si="128"/>
        <v>55.921960634841348</v>
      </c>
      <c r="AA491">
        <f t="shared" si="129"/>
        <v>1.7852302852068169</v>
      </c>
      <c r="AB491">
        <f t="shared" si="130"/>
        <v>6.3570767788424094</v>
      </c>
    </row>
    <row r="492" spans="12:28" x14ac:dyDescent="0.25">
      <c r="L492">
        <v>488</v>
      </c>
      <c r="M492">
        <f t="shared" si="135"/>
        <v>244</v>
      </c>
      <c r="N492">
        <f t="shared" si="131"/>
        <v>161631.64671870761</v>
      </c>
      <c r="O492">
        <f t="shared" si="132"/>
        <v>-200633.10053289033</v>
      </c>
      <c r="P492">
        <f t="shared" si="133"/>
        <v>1949.9349200555441</v>
      </c>
      <c r="Q492">
        <f t="shared" si="134"/>
        <v>-5399.6187268107014</v>
      </c>
      <c r="R492">
        <f t="shared" si="120"/>
        <v>-44.869279895962542</v>
      </c>
      <c r="S492">
        <f t="shared" si="121"/>
        <v>62.808037511780917</v>
      </c>
      <c r="T492">
        <f t="shared" si="122"/>
        <v>249688.79707952976</v>
      </c>
      <c r="U492">
        <f t="shared" si="123"/>
        <v>278130.11007413076</v>
      </c>
      <c r="V492">
        <f t="shared" si="124"/>
        <v>249450.90439130974</v>
      </c>
      <c r="W492">
        <f t="shared" si="125"/>
        <v>-37.747263046417658</v>
      </c>
      <c r="X492">
        <f t="shared" si="126"/>
        <v>-1.5147038394315553</v>
      </c>
      <c r="Y492">
        <f t="shared" si="127"/>
        <v>-5.6073130101133275</v>
      </c>
      <c r="Z492">
        <f t="shared" si="128"/>
        <v>54.804748209145771</v>
      </c>
      <c r="AA492">
        <f t="shared" si="129"/>
        <v>1.7565593433321043</v>
      </c>
      <c r="AB492">
        <f t="shared" si="130"/>
        <v>6.2467299593030416</v>
      </c>
    </row>
    <row r="493" spans="12:28" x14ac:dyDescent="0.25">
      <c r="L493">
        <v>489</v>
      </c>
      <c r="M493">
        <f t="shared" si="135"/>
        <v>244.5</v>
      </c>
      <c r="N493">
        <f t="shared" si="131"/>
        <v>162601.0055187484</v>
      </c>
      <c r="O493">
        <f t="shared" si="132"/>
        <v>-203325.05889160669</v>
      </c>
      <c r="P493">
        <f t="shared" si="133"/>
        <v>1927.500280107563</v>
      </c>
      <c r="Q493">
        <f t="shared" si="134"/>
        <v>-5368.2147080548111</v>
      </c>
      <c r="R493">
        <f t="shared" si="120"/>
        <v>-43.720625600198048</v>
      </c>
      <c r="S493">
        <f t="shared" si="121"/>
        <v>61.595503930281609</v>
      </c>
      <c r="T493">
        <f t="shared" si="122"/>
        <v>252456.68328873671</v>
      </c>
      <c r="U493">
        <f t="shared" si="123"/>
        <v>280803.68225428497</v>
      </c>
      <c r="V493">
        <f t="shared" si="124"/>
        <v>252103.99611553692</v>
      </c>
      <c r="W493">
        <f t="shared" si="125"/>
        <v>-36.776879538252572</v>
      </c>
      <c r="X493">
        <f t="shared" si="126"/>
        <v>-1.4797311402737625</v>
      </c>
      <c r="Y493">
        <f t="shared" si="127"/>
        <v>-5.4640149216717102</v>
      </c>
      <c r="Z493">
        <f t="shared" si="128"/>
        <v>53.727149873769257</v>
      </c>
      <c r="AA493">
        <f t="shared" si="129"/>
        <v>1.7287075268062213</v>
      </c>
      <c r="AB493">
        <f t="shared" si="130"/>
        <v>6.1396465297061358</v>
      </c>
    </row>
    <row r="494" spans="12:28" x14ac:dyDescent="0.25">
      <c r="L494">
        <v>490</v>
      </c>
      <c r="M494">
        <f t="shared" si="135"/>
        <v>245</v>
      </c>
      <c r="N494">
        <f t="shared" si="131"/>
        <v>163559.29058060213</v>
      </c>
      <c r="O494">
        <f t="shared" si="132"/>
        <v>-206001.46680764281</v>
      </c>
      <c r="P494">
        <f t="shared" si="133"/>
        <v>1905.6399673074638</v>
      </c>
      <c r="Q494">
        <f t="shared" si="134"/>
        <v>-5337.4169560896707</v>
      </c>
      <c r="R494">
        <f t="shared" si="120"/>
        <v>-42.619419832919149</v>
      </c>
      <c r="S494">
        <f t="shared" si="121"/>
        <v>60.424524828366998</v>
      </c>
      <c r="T494">
        <f t="shared" si="122"/>
        <v>255207.5408505449</v>
      </c>
      <c r="U494">
        <f t="shared" si="123"/>
        <v>283461.89659548097</v>
      </c>
      <c r="V494">
        <f t="shared" si="124"/>
        <v>254742.60492447458</v>
      </c>
      <c r="W494">
        <f t="shared" si="125"/>
        <v>-35.846835610786421</v>
      </c>
      <c r="X494">
        <f t="shared" si="126"/>
        <v>-1.4460652886411243</v>
      </c>
      <c r="Y494">
        <f t="shared" si="127"/>
        <v>-5.3265189334916085</v>
      </c>
      <c r="Z494">
        <f t="shared" si="128"/>
        <v>52.687184951235743</v>
      </c>
      <c r="AA494">
        <f t="shared" si="129"/>
        <v>1.7016421367620411</v>
      </c>
      <c r="AB494">
        <f t="shared" si="130"/>
        <v>6.0356977403692156</v>
      </c>
    </row>
    <row r="495" spans="12:28" x14ac:dyDescent="0.25">
      <c r="L495">
        <v>491</v>
      </c>
      <c r="M495">
        <f t="shared" si="135"/>
        <v>245.5</v>
      </c>
      <c r="N495">
        <f t="shared" si="131"/>
        <v>164506.78313677674</v>
      </c>
      <c r="O495">
        <f t="shared" si="132"/>
        <v>-208662.6222200841</v>
      </c>
      <c r="P495">
        <f t="shared" si="133"/>
        <v>1884.3302573910044</v>
      </c>
      <c r="Q495">
        <f t="shared" si="134"/>
        <v>-5307.2046936754869</v>
      </c>
      <c r="R495">
        <f t="shared" si="120"/>
        <v>-41.562994119016096</v>
      </c>
      <c r="S495">
        <f t="shared" si="121"/>
        <v>59.293092275610348</v>
      </c>
      <c r="T495">
        <f t="shared" si="122"/>
        <v>257941.71145144751</v>
      </c>
      <c r="U495">
        <f t="shared" si="123"/>
        <v>286105.04256242106</v>
      </c>
      <c r="V495">
        <f t="shared" si="124"/>
        <v>257366.97685316441</v>
      </c>
      <c r="W495">
        <f t="shared" si="125"/>
        <v>-34.95484565700572</v>
      </c>
      <c r="X495">
        <f t="shared" si="126"/>
        <v>-1.4136395879833097</v>
      </c>
      <c r="Y495">
        <f t="shared" si="127"/>
        <v>-5.1945088740270675</v>
      </c>
      <c r="Z495">
        <f t="shared" si="128"/>
        <v>51.68299937384343</v>
      </c>
      <c r="AA495">
        <f t="shared" si="129"/>
        <v>1.6753321147732732</v>
      </c>
      <c r="AB495">
        <f t="shared" si="130"/>
        <v>5.9347607869936452</v>
      </c>
    </row>
    <row r="496" spans="12:28" x14ac:dyDescent="0.25">
      <c r="L496">
        <v>492</v>
      </c>
      <c r="M496">
        <f t="shared" si="135"/>
        <v>246</v>
      </c>
      <c r="N496">
        <f t="shared" si="131"/>
        <v>165443.75289120738</v>
      </c>
      <c r="O496">
        <f t="shared" si="132"/>
        <v>-211308.81293038742</v>
      </c>
      <c r="P496">
        <f t="shared" si="133"/>
        <v>1863.5487603314964</v>
      </c>
      <c r="Q496">
        <f t="shared" si="134"/>
        <v>-5277.5581475376821</v>
      </c>
      <c r="R496">
        <f t="shared" si="120"/>
        <v>-40.5488683848641</v>
      </c>
      <c r="S496">
        <f t="shared" si="121"/>
        <v>58.199322379935253</v>
      </c>
      <c r="T496">
        <f t="shared" si="122"/>
        <v>260659.52468005448</v>
      </c>
      <c r="U496">
        <f t="shared" si="123"/>
        <v>288733.39981206262</v>
      </c>
      <c r="V496">
        <f t="shared" si="124"/>
        <v>259977.35080921339</v>
      </c>
      <c r="W496">
        <f t="shared" si="125"/>
        <v>-34.098786739856315</v>
      </c>
      <c r="X496">
        <f t="shared" si="126"/>
        <v>-1.3823916292034784</v>
      </c>
      <c r="Y496">
        <f t="shared" si="127"/>
        <v>-5.067690015804307</v>
      </c>
      <c r="Z496">
        <f t="shared" si="128"/>
        <v>50.712855900947083</v>
      </c>
      <c r="AA496">
        <f t="shared" si="129"/>
        <v>1.6497479461786266</v>
      </c>
      <c r="AB496">
        <f t="shared" si="130"/>
        <v>5.8367185328095399</v>
      </c>
    </row>
    <row r="497" spans="12:28" x14ac:dyDescent="0.25">
      <c r="L497">
        <v>493</v>
      </c>
      <c r="M497">
        <f t="shared" si="135"/>
        <v>246.5</v>
      </c>
      <c r="N497">
        <f t="shared" si="131"/>
        <v>166370.458662825</v>
      </c>
      <c r="O497">
        <f t="shared" si="132"/>
        <v>-213940.31708885878</v>
      </c>
      <c r="P497">
        <f t="shared" si="133"/>
        <v>1843.2743261390644</v>
      </c>
      <c r="Q497">
        <f t="shared" si="134"/>
        <v>-5248.4584863477148</v>
      </c>
      <c r="R497">
        <f t="shared" si="120"/>
        <v>-39.574735044661757</v>
      </c>
      <c r="S497">
        <f t="shared" si="121"/>
        <v>57.14144602591066</v>
      </c>
      <c r="T497">
        <f t="shared" si="122"/>
        <v>263361.29863010586</v>
      </c>
      <c r="U497">
        <f t="shared" si="123"/>
        <v>291347.23866899847</v>
      </c>
      <c r="V497">
        <f t="shared" si="124"/>
        <v>262573.95884916442</v>
      </c>
      <c r="W497">
        <f t="shared" si="125"/>
        <v>-33.276684737249795</v>
      </c>
      <c r="X497">
        <f t="shared" si="126"/>
        <v>-1.3522629598423166</v>
      </c>
      <c r="Y497">
        <f t="shared" si="127"/>
        <v>-4.9457873475696479</v>
      </c>
      <c r="Z497">
        <f t="shared" si="128"/>
        <v>49.775125217188702</v>
      </c>
      <c r="AA497">
        <f t="shared" si="129"/>
        <v>1.624861569732303</v>
      </c>
      <c r="AB497">
        <f t="shared" si="130"/>
        <v>5.7414592389896564</v>
      </c>
    </row>
    <row r="498" spans="12:28" x14ac:dyDescent="0.25">
      <c r="L498">
        <v>494</v>
      </c>
      <c r="M498">
        <f t="shared" si="135"/>
        <v>247</v>
      </c>
      <c r="N498">
        <f t="shared" si="131"/>
        <v>167287.14898401394</v>
      </c>
      <c r="O498">
        <f t="shared" si="132"/>
        <v>-216557.4036512794</v>
      </c>
      <c r="P498">
        <f t="shared" si="133"/>
        <v>1823.4869586167335</v>
      </c>
      <c r="Q498">
        <f t="shared" si="134"/>
        <v>-5219.8877633347593</v>
      </c>
      <c r="R498">
        <f t="shared" si="120"/>
        <v>-38.638444644305366</v>
      </c>
      <c r="S498">
        <f t="shared" si="121"/>
        <v>56.117800418962887</v>
      </c>
      <c r="T498">
        <f t="shared" si="122"/>
        <v>266047.34046506661</v>
      </c>
      <c r="U498">
        <f t="shared" si="123"/>
        <v>293946.82057094778</v>
      </c>
      <c r="V498">
        <f t="shared" si="124"/>
        <v>265157.02644222835</v>
      </c>
      <c r="W498">
        <f t="shared" si="125"/>
        <v>-32.486701854594919</v>
      </c>
      <c r="X498">
        <f t="shared" si="126"/>
        <v>-1.3231987829341523</v>
      </c>
      <c r="Y498">
        <f t="shared" si="127"/>
        <v>-4.8285440067762941</v>
      </c>
      <c r="Z498">
        <f t="shared" si="128"/>
        <v>48.868277821566515</v>
      </c>
      <c r="AA498">
        <f t="shared" si="129"/>
        <v>1.6006462931510712</v>
      </c>
      <c r="AB498">
        <f t="shared" si="130"/>
        <v>5.6488763042452961</v>
      </c>
    </row>
    <row r="499" spans="12:28" x14ac:dyDescent="0.25">
      <c r="L499">
        <v>495</v>
      </c>
      <c r="M499">
        <f t="shared" si="135"/>
        <v>247.5</v>
      </c>
      <c r="N499">
        <f t="shared" si="131"/>
        <v>168194.06265774177</v>
      </c>
      <c r="O499">
        <f t="shared" si="132"/>
        <v>-219160.33280789442</v>
      </c>
      <c r="P499">
        <f t="shared" si="133"/>
        <v>1804.1677362945809</v>
      </c>
      <c r="Q499">
        <f t="shared" si="134"/>
        <v>-5191.8288631252781</v>
      </c>
      <c r="R499">
        <f t="shared" si="120"/>
        <v>-37.737992890139743</v>
      </c>
      <c r="S499">
        <f t="shared" si="121"/>
        <v>55.126821355870092</v>
      </c>
      <c r="T499">
        <f t="shared" si="122"/>
        <v>268717.94694726419</v>
      </c>
      <c r="U499">
        <f t="shared" si="123"/>
        <v>296532.3984866594</v>
      </c>
      <c r="V499">
        <f t="shared" si="124"/>
        <v>267726.77272197488</v>
      </c>
      <c r="W499">
        <f t="shared" si="125"/>
        <v>-31.727125351978746</v>
      </c>
      <c r="X499">
        <f t="shared" si="126"/>
        <v>-1.295147682511284</v>
      </c>
      <c r="Y499">
        <f t="shared" si="127"/>
        <v>-4.7157198556497155</v>
      </c>
      <c r="Z499">
        <f t="shared" si="128"/>
        <v>47.990876627511135</v>
      </c>
      <c r="AA499">
        <f t="shared" si="129"/>
        <v>1.5770767141545081</v>
      </c>
      <c r="AB499">
        <f t="shared" si="130"/>
        <v>5.5588680142044486</v>
      </c>
    </row>
    <row r="500" spans="12:28" x14ac:dyDescent="0.25">
      <c r="L500">
        <v>496</v>
      </c>
      <c r="M500">
        <f t="shared" si="135"/>
        <v>248</v>
      </c>
      <c r="N500">
        <f t="shared" si="131"/>
        <v>169091.42927677778</v>
      </c>
      <c r="O500">
        <f t="shared" si="132"/>
        <v>-221749.35638678758</v>
      </c>
      <c r="P500">
        <f t="shared" si="133"/>
        <v>1785.2987398495111</v>
      </c>
      <c r="Q500">
        <f t="shared" si="134"/>
        <v>-5164.2654524473428</v>
      </c>
      <c r="R500">
        <f t="shared" si="120"/>
        <v>-36.87150891122959</v>
      </c>
      <c r="S500">
        <f t="shared" si="121"/>
        <v>54.167036150654795</v>
      </c>
      <c r="T500">
        <f t="shared" si="122"/>
        <v>271373.40493426181</v>
      </c>
      <c r="U500">
        <f t="shared" si="123"/>
        <v>299104.21730832371</v>
      </c>
      <c r="V500">
        <f t="shared" si="124"/>
        <v>270283.41072655981</v>
      </c>
      <c r="W500">
        <f t="shared" si="125"/>
        <v>-30.996357352138368</v>
      </c>
      <c r="X500">
        <f t="shared" si="126"/>
        <v>-1.2680613730769044</v>
      </c>
      <c r="Y500">
        <f t="shared" si="127"/>
        <v>-4.6070901860143207</v>
      </c>
      <c r="Z500">
        <f t="shared" si="128"/>
        <v>47.141570203103413</v>
      </c>
      <c r="AA500">
        <f t="shared" si="129"/>
        <v>1.554128646620839</v>
      </c>
      <c r="AB500">
        <f t="shared" si="130"/>
        <v>5.4713373009305455</v>
      </c>
    </row>
    <row r="501" spans="12:28" x14ac:dyDescent="0.25">
      <c r="L501">
        <v>497</v>
      </c>
      <c r="M501">
        <f t="shared" si="135"/>
        <v>248.5</v>
      </c>
      <c r="N501">
        <f t="shared" si="131"/>
        <v>169979.46970808864</v>
      </c>
      <c r="O501">
        <f t="shared" si="132"/>
        <v>-224324.71823349243</v>
      </c>
      <c r="P501">
        <f t="shared" si="133"/>
        <v>1766.8629853938962</v>
      </c>
      <c r="Q501">
        <f t="shared" si="134"/>
        <v>-5137.1819343720153</v>
      </c>
      <c r="R501">
        <f t="shared" si="120"/>
        <v>-36.037244622229544</v>
      </c>
      <c r="S501">
        <f t="shared" si="121"/>
        <v>53.237057152716147</v>
      </c>
      <c r="T501">
        <f t="shared" si="122"/>
        <v>274013.99184492417</v>
      </c>
      <c r="U501">
        <f t="shared" si="123"/>
        <v>301662.51422039862</v>
      </c>
      <c r="V501">
        <f t="shared" si="124"/>
        <v>272827.14762804471</v>
      </c>
      <c r="W501">
        <f t="shared" si="125"/>
        <v>-30.292905611805168</v>
      </c>
      <c r="X501">
        <f t="shared" si="126"/>
        <v>-1.2418944706679753</v>
      </c>
      <c r="Y501">
        <f t="shared" si="127"/>
        <v>-4.5024445397564028</v>
      </c>
      <c r="Z501">
        <f t="shared" si="128"/>
        <v>46.31908658846487</v>
      </c>
      <c r="AA501">
        <f t="shared" si="129"/>
        <v>1.5317790515056666</v>
      </c>
      <c r="AB501">
        <f t="shared" si="130"/>
        <v>5.3861915127456141</v>
      </c>
    </row>
    <row r="502" spans="12:28" x14ac:dyDescent="0.25">
      <c r="L502">
        <v>498</v>
      </c>
      <c r="M502">
        <f t="shared" si="135"/>
        <v>249</v>
      </c>
      <c r="N502">
        <f t="shared" si="131"/>
        <v>170858.39654520783</v>
      </c>
      <c r="O502">
        <f t="shared" si="132"/>
        <v>-226886.65456853434</v>
      </c>
      <c r="P502">
        <f t="shared" si="133"/>
        <v>1748.8443630827815</v>
      </c>
      <c r="Q502">
        <f t="shared" si="134"/>
        <v>-5110.5634057956577</v>
      </c>
      <c r="R502">
        <f t="shared" si="120"/>
        <v>-35.233565069879198</v>
      </c>
      <c r="S502">
        <f t="shared" si="121"/>
        <v>52.335575800815775</v>
      </c>
      <c r="T502">
        <f t="shared" si="122"/>
        <v>276639.97609741427</v>
      </c>
      <c r="U502">
        <f t="shared" si="123"/>
        <v>304207.51904658752</v>
      </c>
      <c r="V502">
        <f t="shared" si="124"/>
        <v>275358.18495134107</v>
      </c>
      <c r="W502">
        <f t="shared" si="125"/>
        <v>-29.615375153203772</v>
      </c>
      <c r="X502">
        <f t="shared" si="126"/>
        <v>-1.2166042833932655</v>
      </c>
      <c r="Y502">
        <f t="shared" si="127"/>
        <v>-4.4015856332821626</v>
      </c>
      <c r="Z502">
        <f t="shared" si="128"/>
        <v>45.522227634247436</v>
      </c>
      <c r="AA502">
        <f t="shared" si="129"/>
        <v>1.5100059721947612</v>
      </c>
      <c r="AB502">
        <f t="shared" si="130"/>
        <v>5.3033421943735766</v>
      </c>
    </row>
    <row r="503" spans="12:28" x14ac:dyDescent="0.25">
      <c r="L503">
        <v>499</v>
      </c>
      <c r="M503">
        <f t="shared" si="135"/>
        <v>249.5</v>
      </c>
      <c r="N503">
        <f t="shared" si="131"/>
        <v>171728.41453111547</v>
      </c>
      <c r="O503">
        <f t="shared" si="132"/>
        <v>-229435.39432445707</v>
      </c>
      <c r="P503">
        <f t="shared" si="133"/>
        <v>1731.2275805478419</v>
      </c>
      <c r="Q503">
        <f t="shared" si="134"/>
        <v>-5084.3956178952494</v>
      </c>
      <c r="R503">
        <f t="shared" si="120"/>
        <v>-34.458939660008461</v>
      </c>
      <c r="S503">
        <f t="shared" si="121"/>
        <v>51.461357162528813</v>
      </c>
      <c r="T503">
        <f t="shared" si="122"/>
        <v>279251.61752116977</v>
      </c>
      <c r="U503">
        <f t="shared" si="123"/>
        <v>306739.45457655669</v>
      </c>
      <c r="V503">
        <f t="shared" si="124"/>
        <v>277876.71878328919</v>
      </c>
      <c r="W503">
        <f t="shared" si="125"/>
        <v>-28.962460664815588</v>
      </c>
      <c r="X503">
        <f t="shared" si="126"/>
        <v>-1.192150619562838</v>
      </c>
      <c r="Y503">
        <f t="shared" si="127"/>
        <v>-4.3043283756300372</v>
      </c>
      <c r="Z503">
        <f t="shared" si="128"/>
        <v>44.749863811238903</v>
      </c>
      <c r="AA503">
        <f t="shared" si="129"/>
        <v>1.4887884739841186</v>
      </c>
      <c r="AB503">
        <f t="shared" si="130"/>
        <v>5.2227048773057927</v>
      </c>
    </row>
    <row r="504" spans="12:28" x14ac:dyDescent="0.25">
      <c r="L504">
        <v>500</v>
      </c>
      <c r="M504">
        <f t="shared" si="135"/>
        <v>250</v>
      </c>
      <c r="N504">
        <f t="shared" si="131"/>
        <v>172589.72095393189</v>
      </c>
      <c r="O504">
        <f t="shared" si="132"/>
        <v>-231971.15946375937</v>
      </c>
      <c r="P504">
        <f t="shared" si="133"/>
        <v>1713.9981107178376</v>
      </c>
      <c r="Q504">
        <f t="shared" si="134"/>
        <v>-5058.6649393139851</v>
      </c>
      <c r="R504">
        <f t="shared" si="120"/>
        <v>-33.711934173980353</v>
      </c>
      <c r="S504">
        <f t="shared" si="121"/>
        <v>50.613234914051247</v>
      </c>
      <c r="T504">
        <f t="shared" si="122"/>
        <v>281849.1677447306</v>
      </c>
      <c r="U504">
        <f t="shared" si="123"/>
        <v>309258.53687384189</v>
      </c>
      <c r="V504">
        <f t="shared" si="124"/>
        <v>280382.93997235905</v>
      </c>
      <c r="W504">
        <f t="shared" si="125"/>
        <v>-28.332939591216018</v>
      </c>
      <c r="X504">
        <f t="shared" si="126"/>
        <v>-1.1684956117294174</v>
      </c>
      <c r="Y504">
        <f t="shared" si="127"/>
        <v>-4.2104989710349185</v>
      </c>
      <c r="Z504">
        <f t="shared" si="128"/>
        <v>44.000929446447785</v>
      </c>
      <c r="AA504">
        <f t="shared" si="129"/>
        <v>1.4681065874025272</v>
      </c>
      <c r="AB504">
        <f t="shared" si="130"/>
        <v>5.1441988802009302</v>
      </c>
    </row>
    <row r="505" spans="12:28" x14ac:dyDescent="0.25">
      <c r="L505">
        <v>501</v>
      </c>
      <c r="M505">
        <f t="shared" si="135"/>
        <v>250.5</v>
      </c>
      <c r="N505">
        <f t="shared" si="131"/>
        <v>173442.50601751907</v>
      </c>
      <c r="O505">
        <f t="shared" si="132"/>
        <v>-234494.1652790521</v>
      </c>
      <c r="P505">
        <f t="shared" si="133"/>
        <v>1697.1421436308474</v>
      </c>
      <c r="Q505">
        <f t="shared" si="134"/>
        <v>-5033.3583218569593</v>
      </c>
      <c r="R505">
        <f t="shared" si="120"/>
        <v>-32.991203494004871</v>
      </c>
      <c r="S505">
        <f t="shared" si="121"/>
        <v>49.790106719941996</v>
      </c>
      <c r="T505">
        <f t="shared" si="122"/>
        <v>284432.87056113308</v>
      </c>
      <c r="U505">
        <f t="shared" si="123"/>
        <v>311764.97556627227</v>
      </c>
      <c r="V505">
        <f t="shared" si="124"/>
        <v>282877.0343194374</v>
      </c>
      <c r="W505">
        <f t="shared" si="125"/>
        <v>-27.725665841116584</v>
      </c>
      <c r="X505">
        <f t="shared" si="126"/>
        <v>-1.1456035551408406</v>
      </c>
      <c r="Y505">
        <f t="shared" si="127"/>
        <v>-4.1199340977474446</v>
      </c>
      <c r="Z505">
        <f t="shared" si="128"/>
        <v>43.274418345761482</v>
      </c>
      <c r="AA505">
        <f t="shared" si="129"/>
        <v>1.4479412551112616</v>
      </c>
      <c r="AB505">
        <f t="shared" si="130"/>
        <v>5.067747119069252</v>
      </c>
    </row>
    <row r="506" spans="12:28" x14ac:dyDescent="0.25">
      <c r="L506">
        <v>502</v>
      </c>
      <c r="M506">
        <f t="shared" si="135"/>
        <v>251</v>
      </c>
      <c r="N506">
        <f t="shared" si="131"/>
        <v>174286.95318889775</v>
      </c>
      <c r="O506">
        <f t="shared" si="132"/>
        <v>-237004.62067664057</v>
      </c>
      <c r="P506">
        <f t="shared" si="133"/>
        <v>1680.646541883845</v>
      </c>
      <c r="Q506">
        <f t="shared" si="134"/>
        <v>-5008.4632684969883</v>
      </c>
      <c r="R506">
        <f t="shared" si="120"/>
        <v>-32.295484965918284</v>
      </c>
      <c r="S506">
        <f t="shared" si="121"/>
        <v>48.990929976512298</v>
      </c>
      <c r="T506">
        <f t="shared" si="122"/>
        <v>287002.96227244381</v>
      </c>
      <c r="U506">
        <f t="shared" si="123"/>
        <v>314258.97412012919</v>
      </c>
      <c r="V506">
        <f t="shared" si="124"/>
        <v>285359.18276014365</v>
      </c>
      <c r="W506">
        <f t="shared" si="125"/>
        <v>-27.139564050864223</v>
      </c>
      <c r="X506">
        <f t="shared" si="126"/>
        <v>-1.1234407592612488</v>
      </c>
      <c r="Y506">
        <f t="shared" si="127"/>
        <v>-4.0324801557928085</v>
      </c>
      <c r="Z506">
        <f t="shared" si="128"/>
        <v>42.569379767435855</v>
      </c>
      <c r="AA506">
        <f t="shared" si="129"/>
        <v>1.4282742821346528</v>
      </c>
      <c r="AB506">
        <f t="shared" si="130"/>
        <v>4.9932759269417906</v>
      </c>
    </row>
    <row r="507" spans="12:28" x14ac:dyDescent="0.25">
      <c r="L507">
        <v>503</v>
      </c>
      <c r="M507">
        <f t="shared" si="135"/>
        <v>251.5</v>
      </c>
      <c r="N507">
        <f t="shared" si="131"/>
        <v>175123.23952421892</v>
      </c>
      <c r="O507">
        <f t="shared" si="132"/>
        <v>-239502.72844464198</v>
      </c>
      <c r="P507">
        <f t="shared" si="133"/>
        <v>1664.4987994008859</v>
      </c>
      <c r="Q507">
        <f t="shared" si="134"/>
        <v>-4983.9678035087318</v>
      </c>
      <c r="R507">
        <f t="shared" si="120"/>
        <v>-31.623592336049505</v>
      </c>
      <c r="S507">
        <f t="shared" si="121"/>
        <v>48.214717886261994</v>
      </c>
      <c r="T507">
        <f t="shared" si="122"/>
        <v>289559.67201487592</v>
      </c>
      <c r="U507">
        <f t="shared" si="123"/>
        <v>316740.73009915609</v>
      </c>
      <c r="V507">
        <f t="shared" si="124"/>
        <v>287829.56153909524</v>
      </c>
      <c r="W507">
        <f t="shared" si="125"/>
        <v>-26.573624347757494</v>
      </c>
      <c r="X507">
        <f t="shared" si="126"/>
        <v>-1.1019754111584903</v>
      </c>
      <c r="Y507">
        <f t="shared" si="127"/>
        <v>-3.9479925771335185</v>
      </c>
      <c r="Z507">
        <f t="shared" si="128"/>
        <v>41.884914714376308</v>
      </c>
      <c r="AA507">
        <f t="shared" si="129"/>
        <v>1.409088289192856</v>
      </c>
      <c r="AB507">
        <f t="shared" si="130"/>
        <v>4.9207148826928249</v>
      </c>
    </row>
    <row r="508" spans="12:28" x14ac:dyDescent="0.25">
      <c r="L508">
        <v>504</v>
      </c>
      <c r="M508">
        <f t="shared" si="135"/>
        <v>252</v>
      </c>
      <c r="N508">
        <f t="shared" si="131"/>
        <v>175951.53597487736</v>
      </c>
      <c r="O508">
        <f t="shared" si="132"/>
        <v>-241988.68550666058</v>
      </c>
      <c r="P508">
        <f t="shared" si="133"/>
        <v>1648.6870032328611</v>
      </c>
      <c r="Q508">
        <f t="shared" si="134"/>
        <v>-4959.860444565601</v>
      </c>
      <c r="R508">
        <f t="shared" si="120"/>
        <v>-30.974410205817851</v>
      </c>
      <c r="S508">
        <f t="shared" si="121"/>
        <v>47.460535834020099</v>
      </c>
      <c r="T508">
        <f t="shared" si="122"/>
        <v>292103.22206581623</v>
      </c>
      <c r="U508">
        <f t="shared" si="123"/>
        <v>319210.43540944642</v>
      </c>
      <c r="V508">
        <f t="shared" si="124"/>
        <v>290288.34237652225</v>
      </c>
      <c r="W508">
        <f t="shared" si="125"/>
        <v>-26.026897563750559</v>
      </c>
      <c r="X508">
        <f t="shared" si="126"/>
        <v>-1.081177449678745</v>
      </c>
      <c r="Y508">
        <f t="shared" si="127"/>
        <v>-3.8663351923885476</v>
      </c>
      <c r="Z508">
        <f t="shared" si="128"/>
        <v>41.220172516433678</v>
      </c>
      <c r="AA508">
        <f t="shared" si="129"/>
        <v>1.3903666689243011</v>
      </c>
      <c r="AB508">
        <f t="shared" si="130"/>
        <v>4.8499966486621195</v>
      </c>
    </row>
    <row r="509" spans="12:28" x14ac:dyDescent="0.25">
      <c r="L509">
        <v>505</v>
      </c>
      <c r="M509">
        <f t="shared" si="135"/>
        <v>252.5</v>
      </c>
      <c r="N509">
        <f t="shared" si="131"/>
        <v>176772.00767521808</v>
      </c>
      <c r="O509">
        <f t="shared" si="132"/>
        <v>-244462.68316196412</v>
      </c>
      <c r="P509">
        <f t="shared" si="133"/>
        <v>1633.1997981299521</v>
      </c>
      <c r="Q509">
        <f t="shared" si="134"/>
        <v>-4936.1301766485913</v>
      </c>
      <c r="R509">
        <f t="shared" si="120"/>
        <v>-30.346888953885845</v>
      </c>
      <c r="S509">
        <f t="shared" si="121"/>
        <v>46.727498038366683</v>
      </c>
      <c r="T509">
        <f t="shared" si="122"/>
        <v>294633.82813398249</v>
      </c>
      <c r="U509">
        <f t="shared" si="123"/>
        <v>321668.27653115283</v>
      </c>
      <c r="V509">
        <f t="shared" si="124"/>
        <v>292735.69262761157</v>
      </c>
      <c r="W509">
        <f t="shared" si="125"/>
        <v>-25.498490855576978</v>
      </c>
      <c r="X509">
        <f t="shared" si="126"/>
        <v>-1.0610184494392927</v>
      </c>
      <c r="Y509">
        <f t="shared" si="127"/>
        <v>-3.787379648869575</v>
      </c>
      <c r="Z509">
        <f t="shared" si="128"/>
        <v>40.574347676856021</v>
      </c>
      <c r="AA509">
        <f t="shared" si="129"/>
        <v>1.3720935448008458</v>
      </c>
      <c r="AB509">
        <f t="shared" si="130"/>
        <v>4.7810568167098149</v>
      </c>
    </row>
    <row r="510" spans="12:28" x14ac:dyDescent="0.25">
      <c r="L510">
        <v>506</v>
      </c>
      <c r="M510">
        <f t="shared" si="135"/>
        <v>253</v>
      </c>
      <c r="N510">
        <f t="shared" si="131"/>
        <v>177584.81421316383</v>
      </c>
      <c r="O510">
        <f t="shared" si="132"/>
        <v>-246924.90731303362</v>
      </c>
      <c r="P510">
        <f t="shared" si="133"/>
        <v>1618.0263536530092</v>
      </c>
      <c r="Q510">
        <f t="shared" si="134"/>
        <v>-4912.7664276294081</v>
      </c>
      <c r="R510">
        <f t="shared" si="120"/>
        <v>-29.740040081106358</v>
      </c>
      <c r="S510">
        <f t="shared" si="121"/>
        <v>46.014764454484165</v>
      </c>
      <c r="T510">
        <f t="shared" si="122"/>
        <v>297151.69963383675</v>
      </c>
      <c r="U510">
        <f t="shared" si="123"/>
        <v>324114.4347378891</v>
      </c>
      <c r="V510">
        <f t="shared" si="124"/>
        <v>295171.77543494024</v>
      </c>
      <c r="W510">
        <f t="shared" si="125"/>
        <v>-24.987563692104185</v>
      </c>
      <c r="X510">
        <f t="shared" si="126"/>
        <v>-1.041471513767587</v>
      </c>
      <c r="Y510">
        <f t="shared" si="127"/>
        <v>-3.7110048752345857</v>
      </c>
      <c r="Z510">
        <f t="shared" si="128"/>
        <v>39.946676959600211</v>
      </c>
      <c r="AA510">
        <f t="shared" si="129"/>
        <v>1.3542537325526656</v>
      </c>
      <c r="AB510">
        <f t="shared" si="130"/>
        <v>4.7138337623312871</v>
      </c>
    </row>
    <row r="511" spans="12:28" x14ac:dyDescent="0.25">
      <c r="L511">
        <v>507</v>
      </c>
      <c r="M511">
        <f t="shared" si="135"/>
        <v>253.5</v>
      </c>
      <c r="N511">
        <f t="shared" si="131"/>
        <v>178390.10988498019</v>
      </c>
      <c r="O511">
        <f t="shared" si="132"/>
        <v>-249375.53868129151</v>
      </c>
      <c r="P511">
        <f t="shared" si="133"/>
        <v>1603.1563336124561</v>
      </c>
      <c r="Q511">
        <f t="shared" si="134"/>
        <v>-4889.7590454021656</v>
      </c>
      <c r="R511">
        <f t="shared" si="120"/>
        <v>-29.152931938294731</v>
      </c>
      <c r="S511">
        <f t="shared" si="121"/>
        <v>45.321537906912724</v>
      </c>
      <c r="T511">
        <f t="shared" si="122"/>
        <v>299657.03994529037</v>
      </c>
      <c r="U511">
        <f t="shared" si="123"/>
        <v>326549.08630462387</v>
      </c>
      <c r="V511">
        <f t="shared" si="124"/>
        <v>297596.74987434031</v>
      </c>
      <c r="W511">
        <f t="shared" si="125"/>
        <v>-24.493324173955603</v>
      </c>
      <c r="X511">
        <f t="shared" si="126"/>
        <v>-1.0225111758014518</v>
      </c>
      <c r="Y511">
        <f t="shared" si="127"/>
        <v>-3.637096588537676</v>
      </c>
      <c r="Z511">
        <f t="shared" si="128"/>
        <v>39.336436696520543</v>
      </c>
      <c r="AA511">
        <f t="shared" si="129"/>
        <v>1.3368327039331978</v>
      </c>
      <c r="AB511">
        <f t="shared" si="130"/>
        <v>4.6482685064589822</v>
      </c>
    </row>
    <row r="512" spans="12:28" x14ac:dyDescent="0.25">
      <c r="L512">
        <v>508</v>
      </c>
      <c r="M512">
        <f t="shared" si="135"/>
        <v>254</v>
      </c>
      <c r="N512">
        <f t="shared" si="131"/>
        <v>179188.04393529415</v>
      </c>
      <c r="O512">
        <f t="shared" si="132"/>
        <v>-251814.75301175422</v>
      </c>
      <c r="P512">
        <f t="shared" si="133"/>
        <v>1588.5798676433087</v>
      </c>
      <c r="Q512">
        <f t="shared" si="134"/>
        <v>-4867.0982764487089</v>
      </c>
      <c r="R512">
        <f t="shared" si="120"/>
        <v>-28.584685801068964</v>
      </c>
      <c r="S512">
        <f t="shared" si="121"/>
        <v>44.647061432738639</v>
      </c>
      <c r="T512">
        <f t="shared" si="122"/>
        <v>302150.04665965791</v>
      </c>
      <c r="U512">
        <f t="shared" si="123"/>
        <v>328972.40270480828</v>
      </c>
      <c r="V512">
        <f t="shared" si="124"/>
        <v>300010.77109451918</v>
      </c>
      <c r="W512">
        <f t="shared" si="125"/>
        <v>-24.015025654148449</v>
      </c>
      <c r="X512">
        <f t="shared" si="126"/>
        <v>-1.0041133070423003</v>
      </c>
      <c r="Y512">
        <f t="shared" si="127"/>
        <v>-3.5655468398782171</v>
      </c>
      <c r="Z512">
        <f t="shared" si="128"/>
        <v>38.742940295490847</v>
      </c>
      <c r="AA512">
        <f t="shared" si="129"/>
        <v>1.3198165526666621</v>
      </c>
      <c r="AB512">
        <f t="shared" si="130"/>
        <v>4.5843045845811359</v>
      </c>
    </row>
    <row r="513" spans="12:28" x14ac:dyDescent="0.25">
      <c r="L513">
        <v>509</v>
      </c>
      <c r="M513">
        <f t="shared" si="135"/>
        <v>254.5</v>
      </c>
      <c r="N513">
        <f t="shared" si="131"/>
        <v>179978.76078339067</v>
      </c>
      <c r="O513">
        <f t="shared" si="132"/>
        <v>-254242.72126729949</v>
      </c>
      <c r="P513">
        <f t="shared" si="133"/>
        <v>1574.2875247427742</v>
      </c>
      <c r="Q513">
        <f t="shared" si="134"/>
        <v>-4844.7747457323394</v>
      </c>
      <c r="R513">
        <f t="shared" si="120"/>
        <v>-28.034472259732588</v>
      </c>
      <c r="S513">
        <f t="shared" si="121"/>
        <v>43.990615817594787</v>
      </c>
      <c r="T513">
        <f t="shared" si="122"/>
        <v>304630.91181274445</v>
      </c>
      <c r="U513">
        <f t="shared" si="123"/>
        <v>331384.55079742073</v>
      </c>
      <c r="V513">
        <f t="shared" si="124"/>
        <v>302413.99045074225</v>
      </c>
      <c r="W513">
        <f t="shared" si="125"/>
        <v>-23.551963631779621</v>
      </c>
      <c r="X513">
        <f t="shared" si="126"/>
        <v>-0.98625503272194748</v>
      </c>
      <c r="Y513">
        <f t="shared" si="127"/>
        <v>-3.4962535952310199</v>
      </c>
      <c r="Z513">
        <f t="shared" si="128"/>
        <v>38.165535932348106</v>
      </c>
      <c r="AA513">
        <f t="shared" si="129"/>
        <v>1.3031919624319528</v>
      </c>
      <c r="AB513">
        <f t="shared" si="130"/>
        <v>4.5218879228147264</v>
      </c>
    </row>
    <row r="514" spans="12:28" x14ac:dyDescent="0.25">
      <c r="L514">
        <v>510</v>
      </c>
      <c r="M514">
        <f t="shared" si="135"/>
        <v>255</v>
      </c>
      <c r="N514">
        <f t="shared" si="131"/>
        <v>180762.40023672959</v>
      </c>
      <c r="O514">
        <f t="shared" si="132"/>
        <v>-256659.60981318846</v>
      </c>
      <c r="P514">
        <f t="shared" si="133"/>
        <v>1560.270288612908</v>
      </c>
      <c r="Q514">
        <f t="shared" si="134"/>
        <v>-4822.7794378235421</v>
      </c>
      <c r="R514">
        <f t="shared" si="120"/>
        <v>-27.501507895469818</v>
      </c>
      <c r="S514">
        <f t="shared" si="121"/>
        <v>43.351517308496895</v>
      </c>
      <c r="T514">
        <f t="shared" si="122"/>
        <v>307099.82210588217</v>
      </c>
      <c r="U514">
        <f t="shared" si="123"/>
        <v>333785.69300456048</v>
      </c>
      <c r="V514">
        <f t="shared" si="124"/>
        <v>304806.55563286925</v>
      </c>
      <c r="W514">
        <f t="shared" si="125"/>
        <v>-23.103472893688881</v>
      </c>
      <c r="X514">
        <f t="shared" si="126"/>
        <v>-0.96891465340506566</v>
      </c>
      <c r="Y514">
        <f t="shared" si="127"/>
        <v>-3.4291203483758714</v>
      </c>
      <c r="Z514">
        <f t="shared" si="128"/>
        <v>37.603604411170295</v>
      </c>
      <c r="AA514">
        <f t="shared" si="129"/>
        <v>1.2869461767473256</v>
      </c>
      <c r="AB514">
        <f t="shared" si="130"/>
        <v>4.4609667205792736</v>
      </c>
    </row>
    <row r="515" spans="12:28" x14ac:dyDescent="0.25">
      <c r="L515">
        <v>511</v>
      </c>
      <c r="M515">
        <f t="shared" si="135"/>
        <v>255.5</v>
      </c>
      <c r="N515">
        <f t="shared" si="131"/>
        <v>181539.09769254911</v>
      </c>
      <c r="O515">
        <f t="shared" si="132"/>
        <v>-259065.58059243669</v>
      </c>
      <c r="P515">
        <f t="shared" si="133"/>
        <v>1546.5195346651731</v>
      </c>
      <c r="Q515">
        <f t="shared" si="134"/>
        <v>-4801.1036791692941</v>
      </c>
      <c r="R515">
        <f t="shared" si="120"/>
        <v>-26.985052217054935</v>
      </c>
      <c r="S515">
        <f t="shared" si="121"/>
        <v>42.729115489032495</v>
      </c>
      <c r="T515">
        <f t="shared" si="122"/>
        <v>309556.95911567489</v>
      </c>
      <c r="U515">
        <f t="shared" si="123"/>
        <v>336175.98748017667</v>
      </c>
      <c r="V515">
        <f t="shared" si="124"/>
        <v>307188.61078801996</v>
      </c>
      <c r="W515">
        <f t="shared" si="125"/>
        <v>-22.668924881605889</v>
      </c>
      <c r="X515">
        <f t="shared" si="126"/>
        <v>-0.95207157230419304</v>
      </c>
      <c r="Y515">
        <f t="shared" si="127"/>
        <v>-3.3640557631448549</v>
      </c>
      <c r="Z515">
        <f t="shared" si="128"/>
        <v>37.056557178873597</v>
      </c>
      <c r="AA515">
        <f t="shared" si="129"/>
        <v>1.2710669706300484</v>
      </c>
      <c r="AB515">
        <f t="shared" si="130"/>
        <v>4.4014913395288531</v>
      </c>
    </row>
    <row r="516" spans="12:28" x14ac:dyDescent="0.25">
      <c r="L516">
        <v>512</v>
      </c>
      <c r="M516">
        <f t="shared" si="135"/>
        <v>256</v>
      </c>
      <c r="N516">
        <f t="shared" si="131"/>
        <v>182308.98432835456</v>
      </c>
      <c r="O516">
        <f t="shared" si="132"/>
        <v>-261460.79129258523</v>
      </c>
      <c r="P516">
        <f t="shared" si="133"/>
        <v>1533.0270085566456</v>
      </c>
      <c r="Q516">
        <f t="shared" si="134"/>
        <v>-4779.7391214247782</v>
      </c>
      <c r="R516">
        <f t="shared" si="120"/>
        <v>-26.484404834868066</v>
      </c>
      <c r="S516">
        <f t="shared" si="121"/>
        <v>42.122791303737792</v>
      </c>
      <c r="T516">
        <f t="shared" si="122"/>
        <v>312002.4994931494</v>
      </c>
      <c r="U516">
        <f t="shared" si="123"/>
        <v>338555.58827047428</v>
      </c>
      <c r="V516">
        <f t="shared" si="124"/>
        <v>309560.29663812998</v>
      </c>
      <c r="W516">
        <f t="shared" si="125"/>
        <v>-22.247725264560572</v>
      </c>
      <c r="X516">
        <f t="shared" si="126"/>
        <v>-0.93570622783318702</v>
      </c>
      <c r="Y516">
        <f t="shared" si="127"/>
        <v>-3.3009733424743066</v>
      </c>
      <c r="Z516">
        <f t="shared" si="128"/>
        <v>36.523834481411583</v>
      </c>
      <c r="AA516">
        <f t="shared" si="129"/>
        <v>1.255542623913992</v>
      </c>
      <c r="AB516">
        <f t="shared" si="130"/>
        <v>4.3434141984122219</v>
      </c>
    </row>
    <row r="517" spans="12:28" x14ac:dyDescent="0.25">
      <c r="L517">
        <v>513</v>
      </c>
      <c r="M517">
        <f t="shared" si="135"/>
        <v>256.5</v>
      </c>
      <c r="N517">
        <f t="shared" si="131"/>
        <v>183072.18728202852</v>
      </c>
      <c r="O517">
        <f t="shared" si="132"/>
        <v>-263845.39550438465</v>
      </c>
      <c r="P517">
        <f t="shared" si="133"/>
        <v>1519.7848061392115</v>
      </c>
      <c r="Q517">
        <f t="shared" si="134"/>
        <v>-4758.6777257729091</v>
      </c>
      <c r="R517">
        <f t="shared" ref="R517:R580" si="136">SUM(W517:Y517)</f>
        <v>-25.998902851323635</v>
      </c>
      <c r="S517">
        <f t="shared" ref="S517:S580" si="137">SUM(Z517:AB517)</f>
        <v>41.531955219701693</v>
      </c>
      <c r="T517">
        <f t="shared" ref="T517:T580" si="138">SQRT(($D$18-N517)^2 + ($E$18 - O517) ^2)</f>
        <v>314436.6151529653</v>
      </c>
      <c r="U517">
        <f t="shared" ref="U517:U580" si="139">SQRT(($D$26-N517)^2 + ($E$26- O517) ^2)</f>
        <v>340924.64546650206</v>
      </c>
      <c r="V517">
        <f t="shared" ref="V517:V580" si="140">SQRT(($D$34-N517)^2 + ($E$34 - O517) ^2)</f>
        <v>311921.75059264468</v>
      </c>
      <c r="W517">
        <f t="shared" ref="W517:W580" si="141">$D$22*(($D$18-N517)/(T517^2+($D$23^2))^(3/2))</f>
        <v>-21.839311698366831</v>
      </c>
      <c r="X517">
        <f t="shared" ref="X517:X580" si="142">$D$30*(($D$26-N517)/(U517^2+($D$31^2))^(3/2))</f>
        <v>-0.91980003096919305</v>
      </c>
      <c r="Y517">
        <f t="shared" ref="Y517:Y580" si="143">$D$38*(($D$34-N517)/(V517^2+($D$39^2))^(3/2))</f>
        <v>-3.2397911219876128</v>
      </c>
      <c r="Z517">
        <f t="shared" ref="Z517:Z580" si="144">$D$22*(($E$18-O517)/(T517^2+($D$23^2))^(3/2))</f>
        <v>36.004903650041534</v>
      </c>
      <c r="AA517">
        <f t="shared" ref="AA517:AA580" si="145">$D$30*(($E$26-O517)/(U517^2+($D$31^2))^(3/2))</f>
        <v>1.2403618961167069</v>
      </c>
      <c r="AB517">
        <f t="shared" ref="AB517:AB580" si="146">$D$38*(($E$34-O517)/(V517^2+($D$39^2))^(3/2))</f>
        <v>4.2866896735434512</v>
      </c>
    </row>
    <row r="518" spans="12:28" x14ac:dyDescent="0.25">
      <c r="L518">
        <v>514</v>
      </c>
      <c r="M518">
        <f t="shared" si="135"/>
        <v>257</v>
      </c>
      <c r="N518">
        <f t="shared" ref="N518:N581" si="147">(N517)+(P517)*(M518-M517)+((1/2*(R517))*((M518-M517)^2))</f>
        <v>183828.82982224171</v>
      </c>
      <c r="O518">
        <f t="shared" ref="O518:O581" si="148">(O517)+(Q517)*(M518-M517)+((1/2*(S517))*((M518-M517)^2))</f>
        <v>-266219.54287286865</v>
      </c>
      <c r="P518">
        <f t="shared" ref="P518:P581" si="149">P517+(R517*(M518-M517))</f>
        <v>1506.7853547135496</v>
      </c>
      <c r="Q518">
        <f t="shared" ref="Q518:Q581" si="150">Q517+(S517*(M518-M517))</f>
        <v>-4737.9117481630583</v>
      </c>
      <c r="R518">
        <f t="shared" si="136"/>
        <v>-25.52791844886935</v>
      </c>
      <c r="S518">
        <f t="shared" si="137"/>
        <v>40.956045514503984</v>
      </c>
      <c r="T518">
        <f t="shared" si="138"/>
        <v>316859.47345328477</v>
      </c>
      <c r="U518">
        <f t="shared" si="139"/>
        <v>343283.30534938764</v>
      </c>
      <c r="V518">
        <f t="shared" si="140"/>
        <v>314273.10685658455</v>
      </c>
      <c r="W518">
        <f t="shared" si="141"/>
        <v>-21.443151755786179</v>
      </c>
      <c r="X518">
        <f t="shared" si="142"/>
        <v>-0.90433530703267107</v>
      </c>
      <c r="Y518">
        <f t="shared" si="143"/>
        <v>-3.1804313860505005</v>
      </c>
      <c r="Z518">
        <f t="shared" si="144"/>
        <v>35.499257507168707</v>
      </c>
      <c r="AA518">
        <f t="shared" si="145"/>
        <v>1.2255140027551794</v>
      </c>
      <c r="AB518">
        <f t="shared" si="146"/>
        <v>4.2312740045800998</v>
      </c>
    </row>
    <row r="519" spans="12:28" x14ac:dyDescent="0.25">
      <c r="L519">
        <v>515</v>
      </c>
      <c r="M519">
        <f t="shared" si="135"/>
        <v>257.5</v>
      </c>
      <c r="N519">
        <f t="shared" si="147"/>
        <v>184579.03150979237</v>
      </c>
      <c r="O519">
        <f t="shared" si="148"/>
        <v>-268583.37924126087</v>
      </c>
      <c r="P519">
        <f t="shared" si="149"/>
        <v>1494.0213954891149</v>
      </c>
      <c r="Q519">
        <f t="shared" si="150"/>
        <v>-4717.4337254058064</v>
      </c>
      <c r="R519">
        <f t="shared" si="136"/>
        <v>-25.070856658549737</v>
      </c>
      <c r="S519">
        <f t="shared" si="137"/>
        <v>40.394526680570173</v>
      </c>
      <c r="T519">
        <f t="shared" si="138"/>
        <v>319271.23736686457</v>
      </c>
      <c r="U519">
        <f t="shared" si="139"/>
        <v>345631.7105286562</v>
      </c>
      <c r="V519">
        <f t="shared" si="140"/>
        <v>316614.49653420481</v>
      </c>
      <c r="W519">
        <f t="shared" si="141"/>
        <v>-21.05874101258755</v>
      </c>
      <c r="X519">
        <f t="shared" si="142"/>
        <v>-0.88929524153047301</v>
      </c>
      <c r="Y519">
        <f t="shared" si="143"/>
        <v>-3.1228204044317156</v>
      </c>
      <c r="Z519">
        <f t="shared" si="144"/>
        <v>35.00641288223548</v>
      </c>
      <c r="AA519">
        <f t="shared" si="145"/>
        <v>1.2109885930165527</v>
      </c>
      <c r="AB519">
        <f t="shared" si="146"/>
        <v>4.1771252053181387</v>
      </c>
    </row>
    <row r="520" spans="12:28" x14ac:dyDescent="0.25">
      <c r="L520">
        <v>516</v>
      </c>
      <c r="M520">
        <f t="shared" si="135"/>
        <v>258</v>
      </c>
      <c r="N520">
        <f t="shared" si="147"/>
        <v>185322.90835045461</v>
      </c>
      <c r="O520">
        <f t="shared" si="148"/>
        <v>-270937.04678812873</v>
      </c>
      <c r="P520">
        <f t="shared" si="149"/>
        <v>1481.4859671598399</v>
      </c>
      <c r="Q520">
        <f t="shared" si="150"/>
        <v>-4697.2364620655217</v>
      </c>
      <c r="R520">
        <f t="shared" si="136"/>
        <v>-24.627153293763044</v>
      </c>
      <c r="S520">
        <f t="shared" si="137"/>
        <v>39.846887936894824</v>
      </c>
      <c r="T520">
        <f t="shared" si="138"/>
        <v>321672.06564388954</v>
      </c>
      <c r="U520">
        <f t="shared" si="139"/>
        <v>347970.00007403572</v>
      </c>
      <c r="V520">
        <f t="shared" si="140"/>
        <v>318946.04772845883</v>
      </c>
      <c r="W520">
        <f t="shared" si="141"/>
        <v>-20.685601276148041</v>
      </c>
      <c r="X520">
        <f t="shared" si="142"/>
        <v>-0.87466382973891588</v>
      </c>
      <c r="Y520">
        <f t="shared" si="143"/>
        <v>-3.0668881878760832</v>
      </c>
      <c r="Z520">
        <f t="shared" si="144"/>
        <v>34.525909228969482</v>
      </c>
      <c r="AA520">
        <f t="shared" si="145"/>
        <v>1.1967757286967224</v>
      </c>
      <c r="AB520">
        <f t="shared" si="146"/>
        <v>4.1242029792286194</v>
      </c>
    </row>
    <row r="521" spans="12:28" x14ac:dyDescent="0.25">
      <c r="L521">
        <v>517</v>
      </c>
      <c r="M521">
        <f t="shared" si="135"/>
        <v>258.5</v>
      </c>
      <c r="N521">
        <f t="shared" si="147"/>
        <v>186060.57293987283</v>
      </c>
      <c r="O521">
        <f t="shared" si="148"/>
        <v>-273280.68415816937</v>
      </c>
      <c r="P521">
        <f t="shared" si="149"/>
        <v>1469.1723905129584</v>
      </c>
      <c r="Q521">
        <f t="shared" si="150"/>
        <v>-4677.3130180970738</v>
      </c>
      <c r="R521">
        <f t="shared" si="136"/>
        <v>-24.196273035301502</v>
      </c>
      <c r="S521">
        <f t="shared" si="137"/>
        <v>39.312641839873365</v>
      </c>
      <c r="T521">
        <f t="shared" si="138"/>
        <v>324062.11296703236</v>
      </c>
      <c r="U521">
        <f t="shared" si="139"/>
        <v>350298.30964112456</v>
      </c>
      <c r="V521">
        <f t="shared" si="140"/>
        <v>321267.88563646463</v>
      </c>
      <c r="W521">
        <f t="shared" si="141"/>
        <v>-20.323278944518766</v>
      </c>
      <c r="X521">
        <f t="shared" si="142"/>
        <v>-0.86042582973259296</v>
      </c>
      <c r="Y521">
        <f t="shared" si="143"/>
        <v>-3.0125682610501432</v>
      </c>
      <c r="Z521">
        <f t="shared" si="144"/>
        <v>34.057307336075311</v>
      </c>
      <c r="AA521">
        <f t="shared" si="145"/>
        <v>1.1828658643258836</v>
      </c>
      <c r="AB521">
        <f t="shared" si="146"/>
        <v>4.0724686394721719</v>
      </c>
    </row>
    <row r="522" spans="12:28" x14ac:dyDescent="0.25">
      <c r="L522">
        <v>518</v>
      </c>
      <c r="M522">
        <f t="shared" si="135"/>
        <v>259</v>
      </c>
      <c r="N522">
        <f t="shared" si="147"/>
        <v>186792.13460099988</v>
      </c>
      <c r="O522">
        <f t="shared" si="148"/>
        <v>-275614.42658698792</v>
      </c>
      <c r="P522">
        <f t="shared" si="149"/>
        <v>1457.0742539953076</v>
      </c>
      <c r="Q522">
        <f t="shared" si="150"/>
        <v>-4657.6566971771372</v>
      </c>
      <c r="R522">
        <f t="shared" si="136"/>
        <v>-23.777707655077581</v>
      </c>
      <c r="S522">
        <f t="shared" si="137"/>
        <v>38.791322985698663</v>
      </c>
      <c r="T522">
        <f t="shared" si="138"/>
        <v>326441.53009919263</v>
      </c>
      <c r="U522">
        <f t="shared" si="139"/>
        <v>352616.77159127296</v>
      </c>
      <c r="V522">
        <f t="shared" si="140"/>
        <v>323580.1326411629</v>
      </c>
      <c r="W522">
        <f t="shared" si="141"/>
        <v>-19.971343485024754</v>
      </c>
      <c r="X522">
        <f t="shared" si="142"/>
        <v>-0.84656671859056354</v>
      </c>
      <c r="Y522">
        <f t="shared" si="143"/>
        <v>-2.9597974514622636</v>
      </c>
      <c r="Z522">
        <f t="shared" si="144"/>
        <v>33.600188124149128</v>
      </c>
      <c r="AA522">
        <f t="shared" si="145"/>
        <v>1.1692498284057204</v>
      </c>
      <c r="AB522">
        <f t="shared" si="146"/>
        <v>4.0218850331438176</v>
      </c>
    </row>
    <row r="523" spans="12:28" x14ac:dyDescent="0.25">
      <c r="L523">
        <v>519</v>
      </c>
      <c r="M523">
        <f t="shared" si="135"/>
        <v>259.5</v>
      </c>
      <c r="N523">
        <f t="shared" si="147"/>
        <v>187517.69951454067</v>
      </c>
      <c r="O523">
        <f t="shared" si="148"/>
        <v>-277938.40602020326</v>
      </c>
      <c r="P523">
        <f t="shared" si="149"/>
        <v>1445.1854001677689</v>
      </c>
      <c r="Q523">
        <f t="shared" si="150"/>
        <v>-4638.2610356842879</v>
      </c>
      <c r="R523">
        <f t="shared" si="136"/>
        <v>-23.370974367107035</v>
      </c>
      <c r="S523">
        <f t="shared" si="137"/>
        <v>38.282486797416738</v>
      </c>
      <c r="T523">
        <f t="shared" si="138"/>
        <v>328810.46402433323</v>
      </c>
      <c r="U523">
        <f t="shared" si="139"/>
        <v>354925.51510600449</v>
      </c>
      <c r="V523">
        <f t="shared" si="140"/>
        <v>325882.90839934553</v>
      </c>
      <c r="W523">
        <f t="shared" si="141"/>
        <v>-19.629386022489587</v>
      </c>
      <c r="X523">
        <f t="shared" si="142"/>
        <v>-0.83307265153500332</v>
      </c>
      <c r="Y523">
        <f t="shared" si="143"/>
        <v>-2.9085156930824447</v>
      </c>
      <c r="Z523">
        <f t="shared" si="144"/>
        <v>33.15415152221798</v>
      </c>
      <c r="AA523">
        <f t="shared" si="145"/>
        <v>1.1559188056882119</v>
      </c>
      <c r="AB523">
        <f t="shared" si="146"/>
        <v>3.9724164695105508</v>
      </c>
    </row>
    <row r="524" spans="12:28" x14ac:dyDescent="0.25">
      <c r="L524">
        <v>520</v>
      </c>
      <c r="M524">
        <f t="shared" si="135"/>
        <v>260</v>
      </c>
      <c r="N524">
        <f t="shared" si="147"/>
        <v>188237.37084282868</v>
      </c>
      <c r="O524">
        <f t="shared" si="148"/>
        <v>-280252.75122719572</v>
      </c>
      <c r="P524">
        <f t="shared" si="149"/>
        <v>1433.4999129842154</v>
      </c>
      <c r="Q524">
        <f t="shared" si="150"/>
        <v>-4619.1197922855799</v>
      </c>
      <c r="R524">
        <f t="shared" si="136"/>
        <v>-22.975614295378726</v>
      </c>
      <c r="S524">
        <f t="shared" si="137"/>
        <v>37.785708390329269</v>
      </c>
      <c r="T524">
        <f t="shared" si="138"/>
        <v>331169.05808180792</v>
      </c>
      <c r="U524">
        <f t="shared" si="139"/>
        <v>357224.66629628214</v>
      </c>
      <c r="V524">
        <f t="shared" si="140"/>
        <v>328176.32992622349</v>
      </c>
      <c r="W524">
        <f t="shared" si="141"/>
        <v>-19.297018028098222</v>
      </c>
      <c r="X524">
        <f t="shared" si="142"/>
        <v>-0.81993042377844394</v>
      </c>
      <c r="Y524">
        <f t="shared" si="143"/>
        <v>-2.85866584350206</v>
      </c>
      <c r="Z524">
        <f t="shared" si="144"/>
        <v>32.718815417879256</v>
      </c>
      <c r="AA524">
        <f t="shared" si="145"/>
        <v>1.1428643204307423</v>
      </c>
      <c r="AB524">
        <f t="shared" si="146"/>
        <v>3.924028652019274</v>
      </c>
    </row>
    <row r="525" spans="12:28" x14ac:dyDescent="0.25">
      <c r="L525">
        <v>521</v>
      </c>
      <c r="M525">
        <f t="shared" si="135"/>
        <v>260.5</v>
      </c>
      <c r="N525">
        <f t="shared" si="147"/>
        <v>188951.24884753386</v>
      </c>
      <c r="O525">
        <f t="shared" si="148"/>
        <v>-282557.58790978976</v>
      </c>
      <c r="P525">
        <f t="shared" si="149"/>
        <v>1422.012105836526</v>
      </c>
      <c r="Q525">
        <f t="shared" si="150"/>
        <v>-4600.2269380904154</v>
      </c>
      <c r="R525">
        <f t="shared" si="136"/>
        <v>-22.591191049179756</v>
      </c>
      <c r="S525">
        <f t="shared" si="137"/>
        <v>37.300581509948209</v>
      </c>
      <c r="T525">
        <f t="shared" si="138"/>
        <v>333517.452094546</v>
      </c>
      <c r="U525">
        <f t="shared" si="139"/>
        <v>359514.34830690472</v>
      </c>
      <c r="V525">
        <f t="shared" si="140"/>
        <v>330460.51167669473</v>
      </c>
      <c r="W525">
        <f t="shared" si="141"/>
        <v>-18.973870100729862</v>
      </c>
      <c r="X525">
        <f t="shared" si="142"/>
        <v>-0.80712743487505234</v>
      </c>
      <c r="Y525">
        <f t="shared" si="143"/>
        <v>-2.8101935135748408</v>
      </c>
      <c r="Z525">
        <f t="shared" si="144"/>
        <v>32.293814675517865</v>
      </c>
      <c r="AA525">
        <f t="shared" si="145"/>
        <v>1.1300782205669413</v>
      </c>
      <c r="AB525">
        <f t="shared" si="146"/>
        <v>3.8766886138633998</v>
      </c>
    </row>
    <row r="526" spans="12:28" x14ac:dyDescent="0.25">
      <c r="L526">
        <v>522</v>
      </c>
      <c r="M526">
        <f t="shared" si="135"/>
        <v>261</v>
      </c>
      <c r="N526">
        <f t="shared" si="147"/>
        <v>189659.43100157098</v>
      </c>
      <c r="O526">
        <f t="shared" si="148"/>
        <v>-284853.03880614619</v>
      </c>
      <c r="P526">
        <f t="shared" si="149"/>
        <v>1410.7165103119362</v>
      </c>
      <c r="Q526">
        <f t="shared" si="150"/>
        <v>-4581.5766473354415</v>
      </c>
      <c r="R526">
        <f t="shared" si="136"/>
        <v>-22.217289397300959</v>
      </c>
      <c r="S526">
        <f t="shared" si="137"/>
        <v>36.826717537197879</v>
      </c>
      <c r="T526">
        <f t="shared" si="138"/>
        <v>335855.78249143501</v>
      </c>
      <c r="U526">
        <f t="shared" si="139"/>
        <v>361794.68141629896</v>
      </c>
      <c r="V526">
        <f t="shared" si="140"/>
        <v>332735.56562346447</v>
      </c>
      <c r="W526">
        <f t="shared" si="141"/>
        <v>-18.659590833339553</v>
      </c>
      <c r="X526">
        <f t="shared" si="142"/>
        <v>-0.7946516553884897</v>
      </c>
      <c r="Y526">
        <f t="shared" si="143"/>
        <v>-2.7630469085729175</v>
      </c>
      <c r="Z526">
        <f t="shared" si="144"/>
        <v>31.878800217552886</v>
      </c>
      <c r="AA526">
        <f t="shared" si="145"/>
        <v>1.1175526627365262</v>
      </c>
      <c r="AB526">
        <f t="shared" si="146"/>
        <v>3.8303646569084666</v>
      </c>
    </row>
    <row r="527" spans="12:28" x14ac:dyDescent="0.25">
      <c r="L527">
        <v>523</v>
      </c>
      <c r="M527">
        <f t="shared" si="135"/>
        <v>261.5</v>
      </c>
      <c r="N527">
        <f t="shared" si="147"/>
        <v>190362.01209555229</v>
      </c>
      <c r="O527">
        <f t="shared" si="148"/>
        <v>-287139.22379012173</v>
      </c>
      <c r="P527">
        <f t="shared" si="149"/>
        <v>1399.6078656132856</v>
      </c>
      <c r="Q527">
        <f t="shared" si="150"/>
        <v>-4563.1632885668423</v>
      </c>
      <c r="R527">
        <f t="shared" si="136"/>
        <v>-21.853514033310226</v>
      </c>
      <c r="S527">
        <f t="shared" si="137"/>
        <v>36.36374455599055</v>
      </c>
      <c r="T527">
        <f t="shared" si="138"/>
        <v>338184.1824242227</v>
      </c>
      <c r="U527">
        <f t="shared" si="139"/>
        <v>364065.78313195723</v>
      </c>
      <c r="V527">
        <f t="shared" si="140"/>
        <v>335001.60133216181</v>
      </c>
      <c r="W527">
        <f t="shared" si="141"/>
        <v>-18.353845757630332</v>
      </c>
      <c r="X527">
        <f t="shared" si="142"/>
        <v>-0.78249159570487481</v>
      </c>
      <c r="Y527">
        <f t="shared" si="143"/>
        <v>-2.7171766799750197</v>
      </c>
      <c r="Z527">
        <f t="shared" si="144"/>
        <v>31.473438164080765</v>
      </c>
      <c r="AA527">
        <f t="shared" si="145"/>
        <v>1.1052800981216524</v>
      </c>
      <c r="AB527">
        <f t="shared" si="146"/>
        <v>3.7850262937881385</v>
      </c>
    </row>
    <row r="528" spans="12:28" x14ac:dyDescent="0.25">
      <c r="L528">
        <v>524</v>
      </c>
      <c r="M528">
        <f t="shared" si="135"/>
        <v>262</v>
      </c>
      <c r="N528">
        <f t="shared" si="147"/>
        <v>191059.08433910477</v>
      </c>
      <c r="O528">
        <f t="shared" si="148"/>
        <v>-289416.25996633567</v>
      </c>
      <c r="P528">
        <f t="shared" si="149"/>
        <v>1388.6811085966306</v>
      </c>
      <c r="Q528">
        <f t="shared" si="150"/>
        <v>-4544.981416288847</v>
      </c>
      <c r="R528">
        <f t="shared" si="136"/>
        <v>-21.499488424773304</v>
      </c>
      <c r="S528">
        <f t="shared" si="137"/>
        <v>35.91130647870007</v>
      </c>
      <c r="T528">
        <f t="shared" si="138"/>
        <v>340502.781879235</v>
      </c>
      <c r="U528">
        <f t="shared" si="139"/>
        <v>366327.76828175288</v>
      </c>
      <c r="V528">
        <f t="shared" si="140"/>
        <v>337258.7260335894</v>
      </c>
      <c r="W528">
        <f t="shared" si="141"/>
        <v>-18.056316360859988</v>
      </c>
      <c r="X528">
        <f t="shared" si="142"/>
        <v>-0.77063627683327374</v>
      </c>
      <c r="Y528">
        <f t="shared" si="143"/>
        <v>-2.6725357870800432</v>
      </c>
      <c r="Z528">
        <f t="shared" si="144"/>
        <v>31.077409026666224</v>
      </c>
      <c r="AA528">
        <f t="shared" si="145"/>
        <v>1.0932532590403601</v>
      </c>
      <c r="AB528">
        <f t="shared" si="146"/>
        <v>3.7406441929934875</v>
      </c>
    </row>
    <row r="529" spans="12:28" x14ac:dyDescent="0.25">
      <c r="L529">
        <v>525</v>
      </c>
      <c r="M529">
        <f t="shared" ref="M529:M592" si="151">L529*$D$5</f>
        <v>262.5</v>
      </c>
      <c r="N529">
        <f t="shared" si="147"/>
        <v>191750.73745734998</v>
      </c>
      <c r="O529">
        <f t="shared" si="148"/>
        <v>-291684.26176117029</v>
      </c>
      <c r="P529">
        <f t="shared" si="149"/>
        <v>1377.9313643842438</v>
      </c>
      <c r="Q529">
        <f t="shared" si="150"/>
        <v>-4527.0257630494971</v>
      </c>
      <c r="R529">
        <f t="shared" si="136"/>
        <v>-21.154853739921816</v>
      </c>
      <c r="S529">
        <f t="shared" si="137"/>
        <v>35.469062225414774</v>
      </c>
      <c r="T529">
        <f t="shared" si="138"/>
        <v>342811.70778419194</v>
      </c>
      <c r="U529">
        <f t="shared" si="139"/>
        <v>368580.74910135212</v>
      </c>
      <c r="V529">
        <f t="shared" si="140"/>
        <v>339507.04469323589</v>
      </c>
      <c r="W529">
        <f t="shared" si="141"/>
        <v>-17.766699169166007</v>
      </c>
      <c r="X529">
        <f t="shared" si="142"/>
        <v>-0.75907520304940046</v>
      </c>
      <c r="Y529">
        <f t="shared" si="143"/>
        <v>-2.6290793677064115</v>
      </c>
      <c r="Z529">
        <f t="shared" si="144"/>
        <v>30.690406952376321</v>
      </c>
      <c r="AA529">
        <f t="shared" si="145"/>
        <v>1.0814651462514662</v>
      </c>
      <c r="AB529">
        <f t="shared" si="146"/>
        <v>3.6971901267869862</v>
      </c>
    </row>
    <row r="530" spans="12:28" x14ac:dyDescent="0.25">
      <c r="L530">
        <v>526</v>
      </c>
      <c r="M530">
        <f t="shared" si="151"/>
        <v>263</v>
      </c>
      <c r="N530">
        <f t="shared" si="147"/>
        <v>192437.05878282461</v>
      </c>
      <c r="O530">
        <f t="shared" si="148"/>
        <v>-293943.34100991685</v>
      </c>
      <c r="P530">
        <f t="shared" si="149"/>
        <v>1367.353937514283</v>
      </c>
      <c r="Q530">
        <f t="shared" si="150"/>
        <v>-4509.2912319367897</v>
      </c>
      <c r="R530">
        <f t="shared" si="136"/>
        <v>-20.819267845837253</v>
      </c>
      <c r="S530">
        <f t="shared" si="137"/>
        <v>35.036684953189479</v>
      </c>
      <c r="T530">
        <f t="shared" si="138"/>
        <v>345111.08411038137</v>
      </c>
      <c r="U530">
        <f t="shared" si="139"/>
        <v>370824.83531792724</v>
      </c>
      <c r="V530">
        <f t="shared" si="140"/>
        <v>341746.66007817443</v>
      </c>
      <c r="W530">
        <f t="shared" si="141"/>
        <v>-17.484704892286736</v>
      </c>
      <c r="X530">
        <f t="shared" si="142"/>
        <v>-0.74779833624987813</v>
      </c>
      <c r="Y530">
        <f t="shared" si="143"/>
        <v>-2.5867646173006364</v>
      </c>
      <c r="Z530">
        <f t="shared" si="144"/>
        <v>30.312139014477658</v>
      </c>
      <c r="AA530">
        <f t="shared" si="145"/>
        <v>1.0699090169281769</v>
      </c>
      <c r="AB530">
        <f t="shared" si="146"/>
        <v>3.6546369217836441</v>
      </c>
    </row>
    <row r="531" spans="12:28" x14ac:dyDescent="0.25">
      <c r="L531">
        <v>527</v>
      </c>
      <c r="M531">
        <f t="shared" si="151"/>
        <v>263.5</v>
      </c>
      <c r="N531">
        <f t="shared" si="147"/>
        <v>193118.13334310101</v>
      </c>
      <c r="O531">
        <f t="shared" si="148"/>
        <v>-296193.6070402661</v>
      </c>
      <c r="P531">
        <f t="shared" si="149"/>
        <v>1356.9443035913644</v>
      </c>
      <c r="Q531">
        <f t="shared" si="150"/>
        <v>-4491.7728894601951</v>
      </c>
      <c r="R531">
        <f t="shared" si="136"/>
        <v>-20.492404372720767</v>
      </c>
      <c r="S531">
        <f t="shared" si="137"/>
        <v>34.613861331802561</v>
      </c>
      <c r="T531">
        <f t="shared" si="138"/>
        <v>347401.03197043895</v>
      </c>
      <c r="U531">
        <f t="shared" si="139"/>
        <v>373060.1342303633</v>
      </c>
      <c r="V531">
        <f t="shared" si="140"/>
        <v>343977.67282146431</v>
      </c>
      <c r="W531">
        <f t="shared" si="141"/>
        <v>-17.210057624991386</v>
      </c>
      <c r="X531">
        <f t="shared" si="142"/>
        <v>-0.73679607189495333</v>
      </c>
      <c r="Y531">
        <f t="shared" si="143"/>
        <v>-2.5455506758344262</v>
      </c>
      <c r="Z531">
        <f t="shared" si="144"/>
        <v>29.9423245464919</v>
      </c>
      <c r="AA531">
        <f t="shared" si="145"/>
        <v>1.0585783732603158</v>
      </c>
      <c r="AB531">
        <f t="shared" si="146"/>
        <v>3.6129584120503484</v>
      </c>
    </row>
    <row r="532" spans="12:28" x14ac:dyDescent="0.25">
      <c r="L532">
        <v>528</v>
      </c>
      <c r="M532">
        <f t="shared" si="151"/>
        <v>264</v>
      </c>
      <c r="N532">
        <f t="shared" si="147"/>
        <v>193794.04394435012</v>
      </c>
      <c r="O532">
        <f t="shared" si="148"/>
        <v>-298435.16675232974</v>
      </c>
      <c r="P532">
        <f t="shared" si="149"/>
        <v>1346.6981014050041</v>
      </c>
      <c r="Q532">
        <f t="shared" si="150"/>
        <v>-4474.4659587942942</v>
      </c>
      <c r="R532">
        <f t="shared" si="136"/>
        <v>-20.173951839286001</v>
      </c>
      <c r="S532">
        <f t="shared" si="137"/>
        <v>34.200290862808217</v>
      </c>
      <c r="T532">
        <f t="shared" si="138"/>
        <v>349681.66971196083</v>
      </c>
      <c r="U532">
        <f t="shared" si="139"/>
        <v>375286.75078613707</v>
      </c>
      <c r="V532">
        <f t="shared" si="140"/>
        <v>346200.18148416554</v>
      </c>
      <c r="W532">
        <f t="shared" si="141"/>
        <v>-16.942494100937811</v>
      </c>
      <c r="X532">
        <f t="shared" si="142"/>
        <v>-0.72605921642752991</v>
      </c>
      <c r="Y532">
        <f t="shared" si="143"/>
        <v>-2.50539852192066</v>
      </c>
      <c r="Z532">
        <f t="shared" si="144"/>
        <v>29.580694516577271</v>
      </c>
      <c r="AA532">
        <f t="shared" si="145"/>
        <v>1.0474669516480191</v>
      </c>
      <c r="AB532">
        <f t="shared" si="146"/>
        <v>3.5721293945829249</v>
      </c>
    </row>
    <row r="533" spans="12:28" x14ac:dyDescent="0.25">
      <c r="L533">
        <v>529</v>
      </c>
      <c r="M533">
        <f t="shared" si="151"/>
        <v>264.5</v>
      </c>
      <c r="N533">
        <f t="shared" si="147"/>
        <v>194464.87125107271</v>
      </c>
      <c r="O533">
        <f t="shared" si="148"/>
        <v>-300668.12469536904</v>
      </c>
      <c r="P533">
        <f t="shared" si="149"/>
        <v>1336.6111254853611</v>
      </c>
      <c r="Q533">
        <f t="shared" si="150"/>
        <v>-4457.3658133628905</v>
      </c>
      <c r="R533">
        <f t="shared" si="136"/>
        <v>-19.863612834725465</v>
      </c>
      <c r="S533">
        <f t="shared" si="137"/>
        <v>33.795685238916917</v>
      </c>
      <c r="T533">
        <f t="shared" si="138"/>
        <v>351953.11300716898</v>
      </c>
      <c r="U533">
        <f t="shared" si="139"/>
        <v>377504.78765503963</v>
      </c>
      <c r="V533">
        <f t="shared" si="140"/>
        <v>348414.28261507297</v>
      </c>
      <c r="W533">
        <f t="shared" si="141"/>
        <v>-16.681762995035118</v>
      </c>
      <c r="X533">
        <f t="shared" si="142"/>
        <v>-0.7155789660651749</v>
      </c>
      <c r="Y533">
        <f t="shared" si="143"/>
        <v>-2.4662708736251728</v>
      </c>
      <c r="Z533">
        <f t="shared" si="144"/>
        <v>29.226990939436099</v>
      </c>
      <c r="AA533">
        <f t="shared" si="145"/>
        <v>1.0365687124520497</v>
      </c>
      <c r="AB533">
        <f t="shared" si="146"/>
        <v>3.5321255870287671</v>
      </c>
    </row>
    <row r="534" spans="12:28" x14ac:dyDescent="0.25">
      <c r="L534">
        <v>530</v>
      </c>
      <c r="M534">
        <f t="shared" si="151"/>
        <v>265</v>
      </c>
      <c r="N534">
        <f t="shared" si="147"/>
        <v>195130.69386221105</v>
      </c>
      <c r="O534">
        <f t="shared" si="148"/>
        <v>-302892.58314139559</v>
      </c>
      <c r="P534">
        <f t="shared" si="149"/>
        <v>1326.6793190679984</v>
      </c>
      <c r="Q534">
        <f t="shared" si="150"/>
        <v>-4440.4679707434325</v>
      </c>
      <c r="R534">
        <f t="shared" si="136"/>
        <v>-19.561103253083431</v>
      </c>
      <c r="S534">
        <f t="shared" si="137"/>
        <v>33.399767740970731</v>
      </c>
      <c r="T534">
        <f t="shared" si="138"/>
        <v>354215.47493882972</v>
      </c>
      <c r="U534">
        <f t="shared" si="139"/>
        <v>379714.34529989981</v>
      </c>
      <c r="V534">
        <f t="shared" si="140"/>
        <v>350620.07080826879</v>
      </c>
      <c r="W534">
        <f t="shared" si="141"/>
        <v>-16.427624270719924</v>
      </c>
      <c r="X534">
        <f t="shared" si="142"/>
        <v>-0.70534688686984237</v>
      </c>
      <c r="Y534">
        <f t="shared" si="143"/>
        <v>-2.4281320954936643</v>
      </c>
      <c r="Z534">
        <f t="shared" si="144"/>
        <v>28.880966323171887</v>
      </c>
      <c r="AA534">
        <f t="shared" si="145"/>
        <v>1.0258778302681502</v>
      </c>
      <c r="AB534">
        <f t="shared" si="146"/>
        <v>3.4929235875306919</v>
      </c>
    </row>
    <row r="535" spans="12:28" x14ac:dyDescent="0.25">
      <c r="L535">
        <v>531</v>
      </c>
      <c r="M535">
        <f t="shared" si="151"/>
        <v>265.5</v>
      </c>
      <c r="N535">
        <f t="shared" si="147"/>
        <v>195791.58838383839</v>
      </c>
      <c r="O535">
        <f t="shared" si="148"/>
        <v>-305108.64215579967</v>
      </c>
      <c r="P535">
        <f t="shared" si="149"/>
        <v>1316.8987674414568</v>
      </c>
      <c r="Q535">
        <f t="shared" si="150"/>
        <v>-4423.7680868729467</v>
      </c>
      <c r="R535">
        <f t="shared" si="136"/>
        <v>-19.266151576208689</v>
      </c>
      <c r="S535">
        <f t="shared" si="137"/>
        <v>33.012272669983247</v>
      </c>
      <c r="T535">
        <f t="shared" si="138"/>
        <v>356468.86608261691</v>
      </c>
      <c r="U535">
        <f t="shared" si="139"/>
        <v>381915.52204445913</v>
      </c>
      <c r="V535">
        <f t="shared" si="140"/>
        <v>352817.63875858957</v>
      </c>
      <c r="W535">
        <f t="shared" si="141"/>
        <v>-16.1798485688497</v>
      </c>
      <c r="X535">
        <f t="shared" si="142"/>
        <v>-0.69535489600755473</v>
      </c>
      <c r="Y535">
        <f t="shared" si="143"/>
        <v>-2.390948111351435</v>
      </c>
      <c r="Z535">
        <f t="shared" si="144"/>
        <v>28.542383148713441</v>
      </c>
      <c r="AA535">
        <f t="shared" si="145"/>
        <v>1.0153886846950804</v>
      </c>
      <c r="AB535">
        <f t="shared" si="146"/>
        <v>3.4545008365747298</v>
      </c>
    </row>
    <row r="536" spans="12:28" x14ac:dyDescent="0.25">
      <c r="L536">
        <v>532</v>
      </c>
      <c r="M536">
        <f t="shared" si="151"/>
        <v>266</v>
      </c>
      <c r="N536">
        <f t="shared" si="147"/>
        <v>196447.62949861208</v>
      </c>
      <c r="O536">
        <f t="shared" si="148"/>
        <v>-307316.39966515242</v>
      </c>
      <c r="P536">
        <f t="shared" si="149"/>
        <v>1307.2656916533524</v>
      </c>
      <c r="Q536">
        <f t="shared" si="150"/>
        <v>-4407.2619505379553</v>
      </c>
      <c r="R536">
        <f t="shared" si="136"/>
        <v>-18.978498201775619</v>
      </c>
      <c r="S536">
        <f t="shared" si="137"/>
        <v>32.632944811908807</v>
      </c>
      <c r="T536">
        <f t="shared" si="138"/>
        <v>358713.39458609949</v>
      </c>
      <c r="U536">
        <f t="shared" si="139"/>
        <v>384108.41413853876</v>
      </c>
      <c r="V536">
        <f t="shared" si="140"/>
        <v>355007.07731509692</v>
      </c>
      <c r="W536">
        <f t="shared" si="141"/>
        <v>-15.938216635189848</v>
      </c>
      <c r="X536">
        <f t="shared" si="142"/>
        <v>-0.68559524411683059</v>
      </c>
      <c r="Y536">
        <f t="shared" si="143"/>
        <v>-2.3546863224689396</v>
      </c>
      <c r="Z536">
        <f t="shared" si="144"/>
        <v>28.211013379609547</v>
      </c>
      <c r="AA536">
        <f t="shared" si="145"/>
        <v>1.0050958515676374</v>
      </c>
      <c r="AB536">
        <f t="shared" si="146"/>
        <v>3.4168355807316209</v>
      </c>
    </row>
    <row r="537" spans="12:28" x14ac:dyDescent="0.25">
      <c r="L537">
        <v>533</v>
      </c>
      <c r="M537">
        <f t="shared" si="151"/>
        <v>266.5</v>
      </c>
      <c r="N537">
        <f t="shared" si="147"/>
        <v>197098.89003216353</v>
      </c>
      <c r="O537">
        <f t="shared" si="148"/>
        <v>-309515.95152231987</v>
      </c>
      <c r="P537">
        <f t="shared" si="149"/>
        <v>1297.7764425524647</v>
      </c>
      <c r="Q537">
        <f t="shared" si="150"/>
        <v>-4390.945478132001</v>
      </c>
      <c r="R537">
        <f t="shared" si="136"/>
        <v>-18.697894813145698</v>
      </c>
      <c r="S537">
        <f t="shared" si="137"/>
        <v>32.261538932979704</v>
      </c>
      <c r="T537">
        <f t="shared" si="138"/>
        <v>360949.16624452069</v>
      </c>
      <c r="U537">
        <f t="shared" si="139"/>
        <v>386293.11582063028</v>
      </c>
      <c r="V537">
        <f t="shared" si="140"/>
        <v>357188.47553263808</v>
      </c>
      <c r="W537">
        <f t="shared" si="141"/>
        <v>-15.702518783716521</v>
      </c>
      <c r="X537">
        <f t="shared" si="142"/>
        <v>-0.67606049871123275</v>
      </c>
      <c r="Y537">
        <f t="shared" si="143"/>
        <v>-2.3193155307179438</v>
      </c>
      <c r="Z537">
        <f t="shared" si="144"/>
        <v>27.886638000163465</v>
      </c>
      <c r="AA537">
        <f t="shared" si="145"/>
        <v>0.99499409462835642</v>
      </c>
      <c r="AB537">
        <f t="shared" si="146"/>
        <v>3.3799068381878783</v>
      </c>
    </row>
    <row r="538" spans="12:28" x14ac:dyDescent="0.25">
      <c r="L538">
        <v>534</v>
      </c>
      <c r="M538">
        <f t="shared" si="151"/>
        <v>267</v>
      </c>
      <c r="N538">
        <f t="shared" si="147"/>
        <v>197745.4410165881</v>
      </c>
      <c r="O538">
        <f t="shared" si="148"/>
        <v>-311707.39156901924</v>
      </c>
      <c r="P538">
        <f t="shared" si="149"/>
        <v>1288.4274951458917</v>
      </c>
      <c r="Q538">
        <f t="shared" si="150"/>
        <v>-4374.8147086655108</v>
      </c>
      <c r="R538">
        <f t="shared" si="136"/>
        <v>-18.424103788099799</v>
      </c>
      <c r="S538">
        <f t="shared" si="137"/>
        <v>31.897819303609634</v>
      </c>
      <c r="T538">
        <f t="shared" si="138"/>
        <v>363176.28457352973</v>
      </c>
      <c r="U538">
        <f t="shared" si="139"/>
        <v>388469.71937803691</v>
      </c>
      <c r="V538">
        <f t="shared" si="140"/>
        <v>359361.92072157859</v>
      </c>
      <c r="W538">
        <f t="shared" si="141"/>
        <v>-15.472554393180555</v>
      </c>
      <c r="X538">
        <f t="shared" si="142"/>
        <v>-0.66674352854660424</v>
      </c>
      <c r="Y538">
        <f t="shared" si="143"/>
        <v>-2.2848058663726398</v>
      </c>
      <c r="Z538">
        <f t="shared" si="144"/>
        <v>27.569046580028264</v>
      </c>
      <c r="AA538">
        <f t="shared" si="145"/>
        <v>0.98507835761260043</v>
      </c>
      <c r="AB538">
        <f t="shared" si="146"/>
        <v>3.3436943659687701</v>
      </c>
    </row>
    <row r="539" spans="12:28" x14ac:dyDescent="0.25">
      <c r="L539">
        <v>535</v>
      </c>
      <c r="M539">
        <f t="shared" si="151"/>
        <v>267.5</v>
      </c>
      <c r="N539">
        <f t="shared" si="147"/>
        <v>198387.35175118753</v>
      </c>
      <c r="O539">
        <f t="shared" si="148"/>
        <v>-313890.81169593905</v>
      </c>
      <c r="P539">
        <f t="shared" si="149"/>
        <v>1279.2154432518419</v>
      </c>
      <c r="Q539">
        <f t="shared" si="150"/>
        <v>-4358.8657990137062</v>
      </c>
      <c r="R539">
        <f t="shared" si="136"/>
        <v>-18.156897643708401</v>
      </c>
      <c r="S539">
        <f t="shared" si="137"/>
        <v>31.541559249009467</v>
      </c>
      <c r="T539">
        <f t="shared" si="138"/>
        <v>365394.85087901383</v>
      </c>
      <c r="U539">
        <f t="shared" si="139"/>
        <v>390638.31520468032</v>
      </c>
      <c r="V539">
        <f t="shared" si="140"/>
        <v>361527.49849578325</v>
      </c>
      <c r="W539">
        <f t="shared" si="141"/>
        <v>-15.24813143458238</v>
      </c>
      <c r="X539">
        <f t="shared" si="142"/>
        <v>-0.65763748888919105</v>
      </c>
      <c r="Y539">
        <f t="shared" si="143"/>
        <v>-2.2511287202368302</v>
      </c>
      <c r="Z539">
        <f t="shared" si="144"/>
        <v>27.258036863524257</v>
      </c>
      <c r="AA539">
        <f t="shared" si="145"/>
        <v>0.97534375672395579</v>
      </c>
      <c r="AB539">
        <f t="shared" si="146"/>
        <v>3.3081786287612549</v>
      </c>
    </row>
    <row r="540" spans="12:28" x14ac:dyDescent="0.25">
      <c r="L540">
        <v>536</v>
      </c>
      <c r="M540">
        <f t="shared" si="151"/>
        <v>268</v>
      </c>
      <c r="N540">
        <f t="shared" si="147"/>
        <v>199024.68986060796</v>
      </c>
      <c r="O540">
        <f t="shared" si="148"/>
        <v>-316066.30190053978</v>
      </c>
      <c r="P540">
        <f t="shared" si="149"/>
        <v>1270.1369944299877</v>
      </c>
      <c r="Q540">
        <f t="shared" si="150"/>
        <v>-4343.0950193892013</v>
      </c>
      <c r="R540">
        <f t="shared" si="136"/>
        <v>-17.896058514823338</v>
      </c>
      <c r="S540">
        <f t="shared" si="137"/>
        <v>31.192540724800089</v>
      </c>
      <c r="T540">
        <f t="shared" si="138"/>
        <v>367604.96432417154</v>
      </c>
      <c r="U540">
        <f t="shared" si="139"/>
        <v>392798.99185668671</v>
      </c>
      <c r="V540">
        <f t="shared" si="140"/>
        <v>363685.29281892086</v>
      </c>
      <c r="W540">
        <f t="shared" si="141"/>
        <v>-15.029066027395752</v>
      </c>
      <c r="X540">
        <f t="shared" si="142"/>
        <v>-0.64873580762522731</v>
      </c>
      <c r="Y540">
        <f t="shared" si="143"/>
        <v>-2.2182566798023577</v>
      </c>
      <c r="Z540">
        <f t="shared" si="144"/>
        <v>26.953414382072562</v>
      </c>
      <c r="AA540">
        <f t="shared" si="145"/>
        <v>0.96578557347776939</v>
      </c>
      <c r="AB540">
        <f t="shared" si="146"/>
        <v>3.2733407692497574</v>
      </c>
    </row>
    <row r="541" spans="12:28" x14ac:dyDescent="0.25">
      <c r="L541">
        <v>537</v>
      </c>
      <c r="M541">
        <f t="shared" si="151"/>
        <v>268.5</v>
      </c>
      <c r="N541">
        <f t="shared" si="147"/>
        <v>199657.52135050861</v>
      </c>
      <c r="O541">
        <f t="shared" si="148"/>
        <v>-318233.95034264377</v>
      </c>
      <c r="P541">
        <f t="shared" si="149"/>
        <v>1261.188965172576</v>
      </c>
      <c r="Q541">
        <f t="shared" si="150"/>
        <v>-4327.4987490268013</v>
      </c>
      <c r="R541">
        <f t="shared" si="136"/>
        <v>-17.641377663867178</v>
      </c>
      <c r="S541">
        <f t="shared" si="137"/>
        <v>30.850553916023085</v>
      </c>
      <c r="T541">
        <f t="shared" si="138"/>
        <v>369806.72199396155</v>
      </c>
      <c r="U541">
        <f t="shared" si="139"/>
        <v>394951.83610585518</v>
      </c>
      <c r="V541">
        <f t="shared" si="140"/>
        <v>365835.38604916126</v>
      </c>
      <c r="W541">
        <f t="shared" si="141"/>
        <v>-14.815182022543071</v>
      </c>
      <c r="X541">
        <f t="shared" si="142"/>
        <v>-0.64003217215726471</v>
      </c>
      <c r="Y541">
        <f t="shared" si="143"/>
        <v>-2.1861634691668415</v>
      </c>
      <c r="Z541">
        <f t="shared" si="144"/>
        <v>26.654992088247237</v>
      </c>
      <c r="AA541">
        <f t="shared" si="145"/>
        <v>0.95639924789252218</v>
      </c>
      <c r="AB541">
        <f t="shared" si="146"/>
        <v>3.2391625798833235</v>
      </c>
    </row>
    <row r="542" spans="12:28" x14ac:dyDescent="0.25">
      <c r="L542">
        <v>538</v>
      </c>
      <c r="M542">
        <f t="shared" si="151"/>
        <v>269</v>
      </c>
      <c r="N542">
        <f t="shared" si="147"/>
        <v>200285.9106608869</v>
      </c>
      <c r="O542">
        <f t="shared" si="148"/>
        <v>-320393.84339791769</v>
      </c>
      <c r="P542">
        <f t="shared" si="149"/>
        <v>1252.3682763406423</v>
      </c>
      <c r="Q542">
        <f t="shared" si="150"/>
        <v>-4312.0734720687897</v>
      </c>
      <c r="R542">
        <f t="shared" si="136"/>
        <v>-17.392655019780513</v>
      </c>
      <c r="S542">
        <f t="shared" si="137"/>
        <v>30.51539685807348</v>
      </c>
      <c r="T542">
        <f t="shared" si="138"/>
        <v>372000.21895705099</v>
      </c>
      <c r="U542">
        <f t="shared" si="139"/>
        <v>397096.93299110734</v>
      </c>
      <c r="V542">
        <f t="shared" si="140"/>
        <v>367977.85898233263</v>
      </c>
      <c r="W542">
        <f t="shared" si="141"/>
        <v>-14.606310610285032</v>
      </c>
      <c r="X542">
        <f t="shared" si="142"/>
        <v>-0.63152051703630174</v>
      </c>
      <c r="Y542">
        <f t="shared" si="143"/>
        <v>-2.1548238924591772</v>
      </c>
      <c r="Z542">
        <f t="shared" si="144"/>
        <v>26.362590010066459</v>
      </c>
      <c r="AA542">
        <f t="shared" si="145"/>
        <v>0.94718037200965211</v>
      </c>
      <c r="AB542">
        <f t="shared" si="146"/>
        <v>3.2056264759973683</v>
      </c>
    </row>
    <row r="543" spans="12:28" x14ac:dyDescent="0.25">
      <c r="L543">
        <v>539</v>
      </c>
      <c r="M543">
        <f t="shared" si="151"/>
        <v>269.5</v>
      </c>
      <c r="N543">
        <f t="shared" si="147"/>
        <v>200909.92071717975</v>
      </c>
      <c r="O543">
        <f t="shared" si="148"/>
        <v>-322546.06570934481</v>
      </c>
      <c r="P543">
        <f t="shared" si="149"/>
        <v>1243.6719488307519</v>
      </c>
      <c r="Q543">
        <f t="shared" si="150"/>
        <v>-4296.8157736397525</v>
      </c>
      <c r="R543">
        <f t="shared" si="136"/>
        <v>-17.149698744150097</v>
      </c>
      <c r="S543">
        <f t="shared" si="137"/>
        <v>30.186875078180762</v>
      </c>
      <c r="T543">
        <f t="shared" si="138"/>
        <v>374185.54832538188</v>
      </c>
      <c r="U543">
        <f t="shared" si="139"/>
        <v>399234.36586801306</v>
      </c>
      <c r="V543">
        <f t="shared" si="140"/>
        <v>370112.790893603</v>
      </c>
      <c r="W543">
        <f t="shared" si="141"/>
        <v>-14.402289951327724</v>
      </c>
      <c r="X543">
        <f t="shared" si="142"/>
        <v>-0.62319501228259155</v>
      </c>
      <c r="Y543">
        <f t="shared" si="143"/>
        <v>-2.1242137805397809</v>
      </c>
      <c r="Z543">
        <f t="shared" si="144"/>
        <v>26.076034924239771</v>
      </c>
      <c r="AA543">
        <f t="shared" si="145"/>
        <v>0.93812468372383917</v>
      </c>
      <c r="AB543">
        <f t="shared" si="146"/>
        <v>3.1727154702171512</v>
      </c>
    </row>
    <row r="544" spans="12:28" x14ac:dyDescent="0.25">
      <c r="L544">
        <v>540</v>
      </c>
      <c r="M544">
        <f t="shared" si="151"/>
        <v>270</v>
      </c>
      <c r="N544">
        <f t="shared" si="147"/>
        <v>201529.61297925212</v>
      </c>
      <c r="O544">
        <f t="shared" si="148"/>
        <v>-324690.70023677987</v>
      </c>
      <c r="P544">
        <f t="shared" si="149"/>
        <v>1235.0970994586769</v>
      </c>
      <c r="Q544">
        <f t="shared" si="150"/>
        <v>-4281.7223361006618</v>
      </c>
      <c r="R544">
        <f t="shared" si="136"/>
        <v>-16.91232482268785</v>
      </c>
      <c r="S544">
        <f t="shared" si="137"/>
        <v>29.864801256155783</v>
      </c>
      <c r="T544">
        <f t="shared" si="138"/>
        <v>376362.80131146766</v>
      </c>
      <c r="U544">
        <f t="shared" si="139"/>
        <v>401364.21645647893</v>
      </c>
      <c r="V544">
        <f t="shared" si="140"/>
        <v>372240.25957774464</v>
      </c>
      <c r="W544">
        <f t="shared" si="141"/>
        <v>-14.202964829576361</v>
      </c>
      <c r="X544">
        <f t="shared" si="142"/>
        <v>-0.61505005235130783</v>
      </c>
      <c r="Y544">
        <f t="shared" si="143"/>
        <v>-2.0943099407601808</v>
      </c>
      <c r="Z544">
        <f t="shared" si="144"/>
        <v>25.795160047174132</v>
      </c>
      <c r="AA544">
        <f t="shared" si="145"/>
        <v>0.92922806090672327</v>
      </c>
      <c r="AB544">
        <f t="shared" si="146"/>
        <v>3.1404131480749267</v>
      </c>
    </row>
    <row r="545" spans="12:28" x14ac:dyDescent="0.25">
      <c r="L545">
        <v>541</v>
      </c>
      <c r="M545">
        <f t="shared" si="151"/>
        <v>270.5</v>
      </c>
      <c r="N545">
        <f t="shared" si="147"/>
        <v>202145.04748837862</v>
      </c>
      <c r="O545">
        <f t="shared" si="148"/>
        <v>-326827.8283046732</v>
      </c>
      <c r="P545">
        <f t="shared" si="149"/>
        <v>1226.640937047333</v>
      </c>
      <c r="Q545">
        <f t="shared" si="150"/>
        <v>-4266.7899354725841</v>
      </c>
      <c r="R545">
        <f t="shared" si="136"/>
        <v>-16.680356680374981</v>
      </c>
      <c r="S545">
        <f t="shared" si="137"/>
        <v>29.548994903222365</v>
      </c>
      <c r="T545">
        <f t="shared" si="138"/>
        <v>378532.06728352536</v>
      </c>
      <c r="U545">
        <f t="shared" si="139"/>
        <v>403486.56488668418</v>
      </c>
      <c r="V545">
        <f t="shared" si="140"/>
        <v>374360.34138804203</v>
      </c>
      <c r="W545">
        <f t="shared" si="141"/>
        <v>-14.008186325090076</v>
      </c>
      <c r="X545">
        <f t="shared" si="142"/>
        <v>-0.60708024570244867</v>
      </c>
      <c r="Y545">
        <f t="shared" si="143"/>
        <v>-2.0650901095824552</v>
      </c>
      <c r="Z545">
        <f t="shared" si="144"/>
        <v>25.519804742637515</v>
      </c>
      <c r="AA545">
        <f t="shared" si="145"/>
        <v>0.92048651580819285</v>
      </c>
      <c r="AB545">
        <f t="shared" si="146"/>
        <v>3.1087036447766585</v>
      </c>
    </row>
    <row r="546" spans="12:28" x14ac:dyDescent="0.25">
      <c r="L546">
        <v>542</v>
      </c>
      <c r="M546">
        <f t="shared" si="151"/>
        <v>271</v>
      </c>
      <c r="N546">
        <f t="shared" si="147"/>
        <v>202756.28291231723</v>
      </c>
      <c r="O546">
        <f t="shared" si="148"/>
        <v>-328957.52964804653</v>
      </c>
      <c r="P546">
        <f t="shared" si="149"/>
        <v>1218.3007587071454</v>
      </c>
      <c r="Q546">
        <f t="shared" si="150"/>
        <v>-4252.0154380209733</v>
      </c>
      <c r="R546">
        <f t="shared" si="136"/>
        <v>-16.453624818704164</v>
      </c>
      <c r="S546">
        <f t="shared" si="137"/>
        <v>29.239282057821192</v>
      </c>
      <c r="T546">
        <f t="shared" si="138"/>
        <v>380693.43381854228</v>
      </c>
      <c r="U546">
        <f t="shared" si="139"/>
        <v>405601.48974334233</v>
      </c>
      <c r="V546">
        <f t="shared" si="140"/>
        <v>376473.11127389543</v>
      </c>
      <c r="W546">
        <f t="shared" si="141"/>
        <v>-13.817811505893836</v>
      </c>
      <c r="X546">
        <f t="shared" si="142"/>
        <v>-0.59928040493718426</v>
      </c>
      <c r="Y546">
        <f t="shared" si="143"/>
        <v>-2.0365329078731427</v>
      </c>
      <c r="Z546">
        <f t="shared" si="144"/>
        <v>25.249814245043673</v>
      </c>
      <c r="AA546">
        <f t="shared" si="145"/>
        <v>0.91189618972025388</v>
      </c>
      <c r="AB546">
        <f t="shared" si="146"/>
        <v>3.0775716230572661</v>
      </c>
    </row>
    <row r="547" spans="12:28" x14ac:dyDescent="0.25">
      <c r="L547">
        <v>543</v>
      </c>
      <c r="M547">
        <f t="shared" si="151"/>
        <v>271.5</v>
      </c>
      <c r="N547">
        <f t="shared" si="147"/>
        <v>203363.37658856847</v>
      </c>
      <c r="O547">
        <f t="shared" si="148"/>
        <v>-331079.88245679979</v>
      </c>
      <c r="P547">
        <f t="shared" si="149"/>
        <v>1210.0739462977933</v>
      </c>
      <c r="Q547">
        <f t="shared" si="150"/>
        <v>-4237.395796992063</v>
      </c>
      <c r="R547">
        <f t="shared" si="136"/>
        <v>-16.231966473576133</v>
      </c>
      <c r="S547">
        <f t="shared" si="137"/>
        <v>28.93549499736374</v>
      </c>
      <c r="T547">
        <f t="shared" si="138"/>
        <v>382846.98675337323</v>
      </c>
      <c r="U547">
        <f t="shared" si="139"/>
        <v>407709.06810836453</v>
      </c>
      <c r="V547">
        <f t="shared" si="140"/>
        <v>378578.64281717472</v>
      </c>
      <c r="W547">
        <f t="shared" si="141"/>
        <v>-13.631703137410591</v>
      </c>
      <c r="X547">
        <f t="shared" si="142"/>
        <v>-0.59164553746554738</v>
      </c>
      <c r="Y547">
        <f t="shared" si="143"/>
        <v>-2.0086177986999951</v>
      </c>
      <c r="Z547">
        <f t="shared" si="144"/>
        <v>24.985039397406897</v>
      </c>
      <c r="AA547">
        <f t="shared" si="145"/>
        <v>0.90345334788947185</v>
      </c>
      <c r="AB547">
        <f t="shared" si="146"/>
        <v>3.0470022520673732</v>
      </c>
    </row>
    <row r="548" spans="12:28" x14ac:dyDescent="0.25">
      <c r="L548">
        <v>544</v>
      </c>
      <c r="M548">
        <f t="shared" si="151"/>
        <v>272</v>
      </c>
      <c r="N548">
        <f t="shared" si="147"/>
        <v>203966.38456590817</v>
      </c>
      <c r="O548">
        <f t="shared" si="148"/>
        <v>-333194.96341842116</v>
      </c>
      <c r="P548">
        <f t="shared" si="149"/>
        <v>1201.9579630610053</v>
      </c>
      <c r="Q548">
        <f t="shared" si="150"/>
        <v>-4222.928049493381</v>
      </c>
      <c r="R548">
        <f t="shared" si="136"/>
        <v>-16.015225292504972</v>
      </c>
      <c r="S548">
        <f t="shared" si="137"/>
        <v>28.637471964968885</v>
      </c>
      <c r="T548">
        <f t="shared" si="138"/>
        <v>384992.81023395603</v>
      </c>
      <c r="U548">
        <f t="shared" si="139"/>
        <v>409809.37560199341</v>
      </c>
      <c r="V548">
        <f t="shared" si="140"/>
        <v>380677.00826737279</v>
      </c>
      <c r="W548">
        <f t="shared" si="141"/>
        <v>-13.449729408359993</v>
      </c>
      <c r="X548">
        <f t="shared" si="142"/>
        <v>-0.58417083667271441</v>
      </c>
      <c r="Y548">
        <f t="shared" si="143"/>
        <v>-1.981325047472265</v>
      </c>
      <c r="Z548">
        <f t="shared" si="144"/>
        <v>24.725336403066446</v>
      </c>
      <c r="AA548">
        <f t="shared" si="145"/>
        <v>0.89515437466466208</v>
      </c>
      <c r="AB548">
        <f t="shared" si="146"/>
        <v>3.0169811872377745</v>
      </c>
    </row>
    <row r="549" spans="12:28" x14ac:dyDescent="0.25">
      <c r="L549">
        <v>545</v>
      </c>
      <c r="M549">
        <f t="shared" si="151"/>
        <v>272.5</v>
      </c>
      <c r="N549">
        <f t="shared" si="147"/>
        <v>204565.36164427712</v>
      </c>
      <c r="O549">
        <f t="shared" si="148"/>
        <v>-335302.8477591722</v>
      </c>
      <c r="P549">
        <f t="shared" si="149"/>
        <v>1193.9503504147528</v>
      </c>
      <c r="Q549">
        <f t="shared" si="150"/>
        <v>-4208.6093135108968</v>
      </c>
      <c r="R549">
        <f t="shared" si="136"/>
        <v>-15.803251029892818</v>
      </c>
      <c r="S549">
        <f t="shared" si="137"/>
        <v>28.345056910295774</v>
      </c>
      <c r="T549">
        <f t="shared" si="138"/>
        <v>387130.98676273011</v>
      </c>
      <c r="U549">
        <f t="shared" si="139"/>
        <v>411902.48642247717</v>
      </c>
      <c r="V549">
        <f t="shared" si="140"/>
        <v>382768.27857560519</v>
      </c>
      <c r="W549">
        <f t="shared" si="141"/>
        <v>-13.271763672062669</v>
      </c>
      <c r="X549">
        <f t="shared" si="142"/>
        <v>-0.57685167355355482</v>
      </c>
      <c r="Y549">
        <f t="shared" si="143"/>
        <v>-1.9546356842765935</v>
      </c>
      <c r="Z549">
        <f t="shared" si="144"/>
        <v>24.470566590357265</v>
      </c>
      <c r="AA549">
        <f t="shared" si="145"/>
        <v>0.88699576886755804</v>
      </c>
      <c r="AB549">
        <f t="shared" si="146"/>
        <v>2.987494551070951</v>
      </c>
    </row>
    <row r="550" spans="12:28" x14ac:dyDescent="0.25">
      <c r="L550">
        <v>546</v>
      </c>
      <c r="M550">
        <f t="shared" si="151"/>
        <v>273</v>
      </c>
      <c r="N550">
        <f t="shared" si="147"/>
        <v>205160.36141310574</v>
      </c>
      <c r="O550">
        <f t="shared" si="148"/>
        <v>-337403.60928381392</v>
      </c>
      <c r="P550">
        <f t="shared" si="149"/>
        <v>1186.0487248998065</v>
      </c>
      <c r="Q550">
        <f t="shared" si="150"/>
        <v>-4194.4367850557492</v>
      </c>
      <c r="R550">
        <f t="shared" si="136"/>
        <v>-15.595899259216944</v>
      </c>
      <c r="S550">
        <f t="shared" si="137"/>
        <v>28.058099243633144</v>
      </c>
      <c r="T550">
        <f t="shared" si="138"/>
        <v>389261.59724433982</v>
      </c>
      <c r="U550">
        <f t="shared" si="139"/>
        <v>413988.47338434582</v>
      </c>
      <c r="V550">
        <f t="shared" si="140"/>
        <v>384852.52342750382</v>
      </c>
      <c r="W550">
        <f t="shared" si="141"/>
        <v>-13.097684202159391</v>
      </c>
      <c r="X550">
        <f t="shared" si="142"/>
        <v>-0.56968358878701608</v>
      </c>
      <c r="Y550">
        <f t="shared" si="143"/>
        <v>-1.928531468270537</v>
      </c>
      <c r="Z550">
        <f t="shared" si="144"/>
        <v>24.220596189447367</v>
      </c>
      <c r="AA550">
        <f t="shared" si="145"/>
        <v>0.87897413937463076</v>
      </c>
      <c r="AB550">
        <f t="shared" si="146"/>
        <v>2.9585289148111467</v>
      </c>
    </row>
    <row r="551" spans="12:28" x14ac:dyDescent="0.25">
      <c r="L551">
        <v>547</v>
      </c>
      <c r="M551">
        <f t="shared" si="151"/>
        <v>273.5</v>
      </c>
      <c r="N551">
        <f t="shared" si="147"/>
        <v>205751.43628814825</v>
      </c>
      <c r="O551">
        <f t="shared" si="148"/>
        <v>-339497.32041393634</v>
      </c>
      <c r="P551">
        <f t="shared" si="149"/>
        <v>1178.2507752701981</v>
      </c>
      <c r="Q551">
        <f t="shared" si="150"/>
        <v>-4180.4077354339324</v>
      </c>
      <c r="R551">
        <f t="shared" si="136"/>
        <v>-15.393031101060163</v>
      </c>
      <c r="S551">
        <f t="shared" si="137"/>
        <v>27.776453602470074</v>
      </c>
      <c r="T551">
        <f t="shared" si="138"/>
        <v>391384.72102969518</v>
      </c>
      <c r="U551">
        <f t="shared" si="139"/>
        <v>416067.40795534989</v>
      </c>
      <c r="V551">
        <f t="shared" si="140"/>
        <v>386929.81127504545</v>
      </c>
      <c r="W551">
        <f t="shared" si="141"/>
        <v>-12.927373961829876</v>
      </c>
      <c r="X551">
        <f t="shared" si="142"/>
        <v>-0.56266228522394302</v>
      </c>
      <c r="Y551">
        <f t="shared" si="143"/>
        <v>-1.9029948540063442</v>
      </c>
      <c r="Z551">
        <f t="shared" si="144"/>
        <v>23.975296120622424</v>
      </c>
      <c r="AA551">
        <f t="shared" si="145"/>
        <v>0.87108620089906363</v>
      </c>
      <c r="AB551">
        <f t="shared" si="146"/>
        <v>2.9300712809485856</v>
      </c>
    </row>
    <row r="552" spans="12:28" x14ac:dyDescent="0.25">
      <c r="L552">
        <v>548</v>
      </c>
      <c r="M552">
        <f t="shared" si="151"/>
        <v>274</v>
      </c>
      <c r="N552">
        <f t="shared" si="147"/>
        <v>206338.63754689574</v>
      </c>
      <c r="O552">
        <f t="shared" si="148"/>
        <v>-341584.05222495296</v>
      </c>
      <c r="P552">
        <f t="shared" si="149"/>
        <v>1170.5542597196679</v>
      </c>
      <c r="Q552">
        <f t="shared" si="150"/>
        <v>-4166.5195086326976</v>
      </c>
      <c r="R552">
        <f t="shared" si="136"/>
        <v>-15.194512965987412</v>
      </c>
      <c r="S552">
        <f t="shared" si="137"/>
        <v>27.499979629817922</v>
      </c>
      <c r="T552">
        <f t="shared" si="138"/>
        <v>393500.43595846533</v>
      </c>
      <c r="U552">
        <f t="shared" si="139"/>
        <v>418139.3602921202</v>
      </c>
      <c r="V552">
        <f t="shared" si="140"/>
        <v>389000.20936735877</v>
      </c>
      <c r="W552">
        <f t="shared" si="141"/>
        <v>-12.760720385658329</v>
      </c>
      <c r="X552">
        <f t="shared" si="142"/>
        <v>-0.55578362076376808</v>
      </c>
      <c r="Y552">
        <f t="shared" si="143"/>
        <v>-1.8780089595653158</v>
      </c>
      <c r="Z552">
        <f t="shared" si="144"/>
        <v>23.734541793341059</v>
      </c>
      <c r="AA552">
        <f t="shared" si="145"/>
        <v>0.86332876996264352</v>
      </c>
      <c r="AB552">
        <f t="shared" si="146"/>
        <v>2.9021090665142202</v>
      </c>
    </row>
    <row r="553" spans="12:28" x14ac:dyDescent="0.25">
      <c r="L553">
        <v>549</v>
      </c>
      <c r="M553">
        <f t="shared" si="151"/>
        <v>274.5</v>
      </c>
      <c r="N553">
        <f t="shared" si="147"/>
        <v>206922.01536263482</v>
      </c>
      <c r="O553">
        <f t="shared" si="148"/>
        <v>-343663.87448181561</v>
      </c>
      <c r="P553">
        <f t="shared" si="149"/>
        <v>1162.9570032366742</v>
      </c>
      <c r="Q553">
        <f t="shared" si="150"/>
        <v>-4152.7695188177886</v>
      </c>
      <c r="R553">
        <f t="shared" si="136"/>
        <v>-15.000216311346117</v>
      </c>
      <c r="S553">
        <f t="shared" si="137"/>
        <v>27.228541763608348</v>
      </c>
      <c r="T553">
        <f t="shared" si="138"/>
        <v>395608.818400071</v>
      </c>
      <c r="U553">
        <f t="shared" si="139"/>
        <v>420204.39927460218</v>
      </c>
      <c r="V553">
        <f t="shared" si="140"/>
        <v>391063.78378054831</v>
      </c>
      <c r="W553">
        <f t="shared" si="141"/>
        <v>-12.597615173356461</v>
      </c>
      <c r="X553">
        <f t="shared" si="142"/>
        <v>-0.54904360159696841</v>
      </c>
      <c r="Y553">
        <f t="shared" si="143"/>
        <v>-1.8535575363926866</v>
      </c>
      <c r="Z553">
        <f t="shared" si="144"/>
        <v>23.498212915434827</v>
      </c>
      <c r="AA553">
        <f t="shared" si="145"/>
        <v>0.85569876104761378</v>
      </c>
      <c r="AB553">
        <f t="shared" si="146"/>
        <v>2.8746300871259098</v>
      </c>
    </row>
    <row r="554" spans="12:28" x14ac:dyDescent="0.25">
      <c r="L554">
        <v>550</v>
      </c>
      <c r="M554">
        <f t="shared" si="151"/>
        <v>275</v>
      </c>
      <c r="N554">
        <f t="shared" si="147"/>
        <v>207501.61883721425</v>
      </c>
      <c r="O554">
        <f t="shared" si="148"/>
        <v>-345736.85567350406</v>
      </c>
      <c r="P554">
        <f t="shared" si="149"/>
        <v>1155.456895081001</v>
      </c>
      <c r="Q554">
        <f t="shared" si="150"/>
        <v>-4139.1552479359843</v>
      </c>
      <c r="R554">
        <f t="shared" si="136"/>
        <v>-14.810017411126971</v>
      </c>
      <c r="S554">
        <f t="shared" si="137"/>
        <v>26.962009036527245</v>
      </c>
      <c r="T554">
        <f t="shared" si="138"/>
        <v>397709.94329324027</v>
      </c>
      <c r="U554">
        <f t="shared" si="139"/>
        <v>422262.59253931622</v>
      </c>
      <c r="V554">
        <f t="shared" si="140"/>
        <v>393120.59944657306</v>
      </c>
      <c r="W554">
        <f t="shared" si="141"/>
        <v>-12.437954094606097</v>
      </c>
      <c r="X554">
        <f t="shared" si="142"/>
        <v>-0.54243837579191712</v>
      </c>
      <c r="Y554">
        <f t="shared" si="143"/>
        <v>-1.8296249407289564</v>
      </c>
      <c r="Z554">
        <f t="shared" si="144"/>
        <v>23.266193311861119</v>
      </c>
      <c r="AA554">
        <f t="shared" si="145"/>
        <v>0.84819318291942769</v>
      </c>
      <c r="AB554">
        <f t="shared" si="146"/>
        <v>2.8476225417466994</v>
      </c>
    </row>
    <row r="555" spans="12:28" x14ac:dyDescent="0.25">
      <c r="L555">
        <v>551</v>
      </c>
      <c r="M555">
        <f t="shared" si="151"/>
        <v>275.5</v>
      </c>
      <c r="N555">
        <f t="shared" si="147"/>
        <v>208077.49603257835</v>
      </c>
      <c r="O555">
        <f t="shared" si="148"/>
        <v>-347803.06304634252</v>
      </c>
      <c r="P555">
        <f t="shared" si="149"/>
        <v>1148.0518863754376</v>
      </c>
      <c r="Q555">
        <f t="shared" si="150"/>
        <v>-4125.6742434177204</v>
      </c>
      <c r="R555">
        <f t="shared" si="136"/>
        <v>-14.62379713808703</v>
      </c>
      <c r="S555">
        <f t="shared" si="137"/>
        <v>26.700254885695074</v>
      </c>
      <c r="T555">
        <f t="shared" si="138"/>
        <v>399803.88418419106</v>
      </c>
      <c r="U555">
        <f t="shared" si="139"/>
        <v>424314.00651149353</v>
      </c>
      <c r="V555">
        <f t="shared" si="140"/>
        <v>395170.72018121643</v>
      </c>
      <c r="W555">
        <f t="shared" si="141"/>
        <v>-12.281636804338735</v>
      </c>
      <c r="X555">
        <f t="shared" si="142"/>
        <v>-0.53596422720605197</v>
      </c>
      <c r="Y555">
        <f t="shared" si="143"/>
        <v>-1.8061961065422432</v>
      </c>
      <c r="Z555">
        <f t="shared" si="144"/>
        <v>23.038370752462843</v>
      </c>
      <c r="AA555">
        <f t="shared" si="145"/>
        <v>0.84080913511168631</v>
      </c>
      <c r="AB555">
        <f t="shared" si="146"/>
        <v>2.8210749981205456</v>
      </c>
    </row>
    <row r="556" spans="12:28" x14ac:dyDescent="0.25">
      <c r="L556">
        <v>552</v>
      </c>
      <c r="M556">
        <f t="shared" si="151"/>
        <v>276</v>
      </c>
      <c r="N556">
        <f t="shared" si="147"/>
        <v>208649.6940011238</v>
      </c>
      <c r="O556">
        <f t="shared" si="148"/>
        <v>-349862.56263619068</v>
      </c>
      <c r="P556">
        <f t="shared" si="149"/>
        <v>1140.7399878063941</v>
      </c>
      <c r="Q556">
        <f t="shared" si="150"/>
        <v>-4112.3241159748732</v>
      </c>
      <c r="R556">
        <f t="shared" si="136"/>
        <v>-14.44144075738777</v>
      </c>
      <c r="S556">
        <f t="shared" si="137"/>
        <v>26.443156971634753</v>
      </c>
      <c r="T556">
        <f t="shared" si="138"/>
        <v>401890.71326349652</v>
      </c>
      <c r="U556">
        <f t="shared" si="139"/>
        <v>426358.70643613435</v>
      </c>
      <c r="V556">
        <f t="shared" si="140"/>
        <v>397214.20871118212</v>
      </c>
      <c r="W556">
        <f t="shared" si="141"/>
        <v>-12.128566667813942</v>
      </c>
      <c r="X556">
        <f t="shared" si="142"/>
        <v>-0.52961756970261409</v>
      </c>
      <c r="Y556">
        <f t="shared" si="143"/>
        <v>-1.7832565198712136</v>
      </c>
      <c r="Z556">
        <f t="shared" si="144"/>
        <v>22.814636788219229</v>
      </c>
      <c r="AA556">
        <f t="shared" si="145"/>
        <v>0.8335438045650625</v>
      </c>
      <c r="AB556">
        <f t="shared" si="146"/>
        <v>2.7949763788504591</v>
      </c>
    </row>
    <row r="557" spans="12:28" x14ac:dyDescent="0.25">
      <c r="L557">
        <v>553</v>
      </c>
      <c r="M557">
        <f t="shared" si="151"/>
        <v>276.5</v>
      </c>
      <c r="N557">
        <f t="shared" si="147"/>
        <v>209218.25881493234</v>
      </c>
      <c r="O557">
        <f t="shared" si="148"/>
        <v>-351915.41929955664</v>
      </c>
      <c r="P557">
        <f t="shared" si="149"/>
        <v>1133.5192674277002</v>
      </c>
      <c r="Q557">
        <f t="shared" si="150"/>
        <v>-4099.102537489056</v>
      </c>
      <c r="R557">
        <f t="shared" si="136"/>
        <v>-14.262837731053928</v>
      </c>
      <c r="S557">
        <f t="shared" si="137"/>
        <v>26.190597006007494</v>
      </c>
      <c r="T557">
        <f t="shared" si="138"/>
        <v>403970.5014016903</v>
      </c>
      <c r="U557">
        <f t="shared" si="139"/>
        <v>428396.75640803261</v>
      </c>
      <c r="V557">
        <f t="shared" si="140"/>
        <v>399251.1267003481</v>
      </c>
      <c r="W557">
        <f t="shared" si="141"/>
        <v>-11.978650594903016</v>
      </c>
      <c r="X557">
        <f t="shared" si="142"/>
        <v>-0.5233949416554301</v>
      </c>
      <c r="Y557">
        <f t="shared" si="143"/>
        <v>-1.7607921944954823</v>
      </c>
      <c r="Z557">
        <f t="shared" si="144"/>
        <v>22.594886595507024</v>
      </c>
      <c r="AA557">
        <f t="shared" si="145"/>
        <v>0.82639446241248538</v>
      </c>
      <c r="AB557">
        <f t="shared" si="146"/>
        <v>2.7693159480879856</v>
      </c>
    </row>
    <row r="558" spans="12:28" x14ac:dyDescent="0.25">
      <c r="L558">
        <v>554</v>
      </c>
      <c r="M558">
        <f t="shared" si="151"/>
        <v>277</v>
      </c>
      <c r="N558">
        <f t="shared" si="147"/>
        <v>209783.2355939298</v>
      </c>
      <c r="O558">
        <f t="shared" si="148"/>
        <v>-353961.69674367539</v>
      </c>
      <c r="P558">
        <f t="shared" si="149"/>
        <v>1126.3878485621733</v>
      </c>
      <c r="Q558">
        <f t="shared" si="150"/>
        <v>-4086.007238986052</v>
      </c>
      <c r="R558">
        <f t="shared" si="136"/>
        <v>-14.087881532605081</v>
      </c>
      <c r="S558">
        <f t="shared" si="137"/>
        <v>25.942460587628467</v>
      </c>
      <c r="T558">
        <f t="shared" si="138"/>
        <v>406043.31818366307</v>
      </c>
      <c r="U558">
        <f t="shared" si="139"/>
        <v>430428.21940080851</v>
      </c>
      <c r="V558">
        <f t="shared" si="140"/>
        <v>401281.53477521107</v>
      </c>
      <c r="W558">
        <f t="shared" si="141"/>
        <v>-11.831798883024879</v>
      </c>
      <c r="X558">
        <f t="shared" si="142"/>
        <v>-0.51729300072537188</v>
      </c>
      <c r="Y558">
        <f t="shared" si="143"/>
        <v>-1.7387896488548302</v>
      </c>
      <c r="Z558">
        <f t="shared" si="144"/>
        <v>22.379018827922117</v>
      </c>
      <c r="AA558">
        <f t="shared" si="145"/>
        <v>0.81935846090334763</v>
      </c>
      <c r="AB558">
        <f t="shared" si="146"/>
        <v>2.7440832988029999</v>
      </c>
    </row>
    <row r="559" spans="12:28" x14ac:dyDescent="0.25">
      <c r="L559">
        <v>555</v>
      </c>
      <c r="M559">
        <f t="shared" si="151"/>
        <v>277.5</v>
      </c>
      <c r="N559">
        <f t="shared" si="147"/>
        <v>210344.66853301931</v>
      </c>
      <c r="O559">
        <f t="shared" si="148"/>
        <v>-356001.45755559497</v>
      </c>
      <c r="P559">
        <f t="shared" si="149"/>
        <v>1119.3439077958708</v>
      </c>
      <c r="Q559">
        <f t="shared" si="150"/>
        <v>-4073.0360086922378</v>
      </c>
      <c r="R559">
        <f t="shared" si="136"/>
        <v>-13.91646947125618</v>
      </c>
      <c r="S559">
        <f t="shared" si="137"/>
        <v>25.698637046305862</v>
      </c>
      <c r="T559">
        <f t="shared" si="138"/>
        <v>408109.23194190185</v>
      </c>
      <c r="U559">
        <f t="shared" si="139"/>
        <v>432453.15729499137</v>
      </c>
      <c r="V559">
        <f t="shared" si="140"/>
        <v>403305.4925495513</v>
      </c>
      <c r="W559">
        <f t="shared" si="141"/>
        <v>-11.687925068218483</v>
      </c>
      <c r="X559">
        <f t="shared" si="142"/>
        <v>-0.51130851889311835</v>
      </c>
      <c r="Y559">
        <f t="shared" si="143"/>
        <v>-1.717235884144579</v>
      </c>
      <c r="Z559">
        <f t="shared" si="144"/>
        <v>22.166935475240336</v>
      </c>
      <c r="AA559">
        <f t="shared" si="145"/>
        <v>0.81243323045980476</v>
      </c>
      <c r="AB559">
        <f t="shared" si="146"/>
        <v>2.7192683406057201</v>
      </c>
    </row>
    <row r="560" spans="12:28" x14ac:dyDescent="0.25">
      <c r="L560">
        <v>556</v>
      </c>
      <c r="M560">
        <f t="shared" si="151"/>
        <v>278</v>
      </c>
      <c r="N560">
        <f t="shared" si="147"/>
        <v>210902.60092823333</v>
      </c>
      <c r="O560">
        <f t="shared" si="148"/>
        <v>-358034.76323031029</v>
      </c>
      <c r="P560">
        <f t="shared" si="149"/>
        <v>1112.3856730602427</v>
      </c>
      <c r="Q560">
        <f t="shared" si="150"/>
        <v>-4060.1866901690851</v>
      </c>
      <c r="R560">
        <f t="shared" si="136"/>
        <v>-13.748502525123014</v>
      </c>
      <c r="S560">
        <f t="shared" si="137"/>
        <v>25.459019294074874</v>
      </c>
      <c r="T560">
        <f t="shared" si="138"/>
        <v>410168.30978861806</v>
      </c>
      <c r="U560">
        <f t="shared" si="139"/>
        <v>434471.63090518751</v>
      </c>
      <c r="V560">
        <f t="shared" si="140"/>
        <v>405323.05864834663</v>
      </c>
      <c r="W560">
        <f t="shared" si="141"/>
        <v>-11.546945783870525</v>
      </c>
      <c r="X560">
        <f t="shared" si="142"/>
        <v>-0.50543837773387146</v>
      </c>
      <c r="Y560">
        <f t="shared" si="143"/>
        <v>-1.6961183635186186</v>
      </c>
      <c r="Z560">
        <f t="shared" si="144"/>
        <v>21.958541729122679</v>
      </c>
      <c r="AA560">
        <f t="shared" si="145"/>
        <v>0.80561627685871717</v>
      </c>
      <c r="AB560">
        <f t="shared" si="146"/>
        <v>2.6948612880934761</v>
      </c>
    </row>
    <row r="561" spans="12:28" x14ac:dyDescent="0.25">
      <c r="L561">
        <v>557</v>
      </c>
      <c r="M561">
        <f t="shared" si="151"/>
        <v>278.5</v>
      </c>
      <c r="N561">
        <f t="shared" si="147"/>
        <v>211457.07520194782</v>
      </c>
      <c r="O561">
        <f t="shared" si="148"/>
        <v>-360061.67419798305</v>
      </c>
      <c r="P561">
        <f t="shared" si="149"/>
        <v>1105.5114217976811</v>
      </c>
      <c r="Q561">
        <f t="shared" si="150"/>
        <v>-4047.4571805220476</v>
      </c>
      <c r="R561">
        <f t="shared" si="136"/>
        <v>-13.583885182904426</v>
      </c>
      <c r="S561">
        <f t="shared" si="137"/>
        <v>25.223503683421267</v>
      </c>
      <c r="T561">
        <f t="shared" si="138"/>
        <v>412220.61764681136</v>
      </c>
      <c r="U561">
        <f t="shared" si="139"/>
        <v>436483.70000637398</v>
      </c>
      <c r="V561">
        <f t="shared" si="140"/>
        <v>407334.290730963</v>
      </c>
      <c r="W561">
        <f t="shared" si="141"/>
        <v>-11.408780626647426</v>
      </c>
      <c r="X561">
        <f t="shared" si="142"/>
        <v>-0.49967956392052115</v>
      </c>
      <c r="Y561">
        <f t="shared" si="143"/>
        <v>-1.6754249923364786</v>
      </c>
      <c r="Z561">
        <f t="shared" si="144"/>
        <v>21.753745855191312</v>
      </c>
      <c r="AA561">
        <f t="shared" si="145"/>
        <v>0.79890517853303455</v>
      </c>
      <c r="AB561">
        <f t="shared" si="146"/>
        <v>2.6708526496969216</v>
      </c>
    </row>
    <row r="562" spans="12:28" x14ac:dyDescent="0.25">
      <c r="L562">
        <v>558</v>
      </c>
      <c r="M562">
        <f t="shared" si="151"/>
        <v>279</v>
      </c>
      <c r="N562">
        <f t="shared" si="147"/>
        <v>212008.13292719881</v>
      </c>
      <c r="O562">
        <f t="shared" si="148"/>
        <v>-362082.24985028367</v>
      </c>
      <c r="P562">
        <f t="shared" si="149"/>
        <v>1098.7194792062289</v>
      </c>
      <c r="Q562">
        <f t="shared" si="150"/>
        <v>-4034.8454286803371</v>
      </c>
      <c r="R562">
        <f t="shared" si="136"/>
        <v>-13.42252529355207</v>
      </c>
      <c r="S562">
        <f t="shared" si="137"/>
        <v>24.99198987212274</v>
      </c>
      <c r="T562">
        <f t="shared" si="138"/>
        <v>414266.22028031072</v>
      </c>
      <c r="U562">
        <f t="shared" si="139"/>
        <v>438489.42335934815</v>
      </c>
      <c r="V562">
        <f t="shared" si="140"/>
        <v>409339.24551364913</v>
      </c>
      <c r="W562">
        <f t="shared" si="141"/>
        <v>-11.273352029214809</v>
      </c>
      <c r="X562">
        <f t="shared" si="142"/>
        <v>-0.49402916494268434</v>
      </c>
      <c r="Y562">
        <f t="shared" si="143"/>
        <v>-1.6551440993945763</v>
      </c>
      <c r="Z562">
        <f t="shared" si="144"/>
        <v>21.552459071134649</v>
      </c>
      <c r="AA562">
        <f t="shared" si="145"/>
        <v>0.79229758398689887</v>
      </c>
      <c r="AB562">
        <f t="shared" si="146"/>
        <v>2.6472332170011934</v>
      </c>
    </row>
    <row r="563" spans="12:28" x14ac:dyDescent="0.25">
      <c r="L563">
        <v>559</v>
      </c>
      <c r="M563">
        <f t="shared" si="151"/>
        <v>279.5</v>
      </c>
      <c r="N563">
        <f t="shared" si="147"/>
        <v>212555.81485114023</v>
      </c>
      <c r="O563">
        <f t="shared" si="148"/>
        <v>-364096.54856588983</v>
      </c>
      <c r="P563">
        <f t="shared" si="149"/>
        <v>1092.0082165594529</v>
      </c>
      <c r="Q563">
        <f t="shared" si="150"/>
        <v>-4022.3494337442758</v>
      </c>
      <c r="R563">
        <f t="shared" si="136"/>
        <v>-13.264333923464518</v>
      </c>
      <c r="S563">
        <f t="shared" si="137"/>
        <v>24.764380694347278</v>
      </c>
      <c r="T563">
        <f t="shared" si="138"/>
        <v>416305.18132283539</v>
      </c>
      <c r="U563">
        <f t="shared" si="139"/>
        <v>440488.85873537028</v>
      </c>
      <c r="V563">
        <f t="shared" si="140"/>
        <v>411337.97879135871</v>
      </c>
      <c r="W563">
        <f t="shared" si="141"/>
        <v>-11.14058513934876</v>
      </c>
      <c r="X563">
        <f t="shared" si="142"/>
        <v>-0.48848436502972165</v>
      </c>
      <c r="Y563">
        <f t="shared" si="143"/>
        <v>-1.635264419086037</v>
      </c>
      <c r="Z563">
        <f t="shared" si="144"/>
        <v>21.354595430508866</v>
      </c>
      <c r="AA563">
        <f t="shared" si="145"/>
        <v>0.78579120931889768</v>
      </c>
      <c r="AB563">
        <f t="shared" si="146"/>
        <v>2.6239940545195148</v>
      </c>
    </row>
    <row r="564" spans="12:28" x14ac:dyDescent="0.25">
      <c r="L564">
        <v>560</v>
      </c>
      <c r="M564">
        <f t="shared" si="151"/>
        <v>280</v>
      </c>
      <c r="N564">
        <f t="shared" si="147"/>
        <v>213100.16091767952</v>
      </c>
      <c r="O564">
        <f t="shared" si="148"/>
        <v>-366104.62773517519</v>
      </c>
      <c r="P564">
        <f t="shared" si="149"/>
        <v>1085.3760495977206</v>
      </c>
      <c r="Q564">
        <f t="shared" si="150"/>
        <v>-4009.9672433971023</v>
      </c>
      <c r="R564">
        <f t="shared" si="136"/>
        <v>-13.109225220777768</v>
      </c>
      <c r="S564">
        <f t="shared" si="137"/>
        <v>24.540582037680114</v>
      </c>
      <c r="T564">
        <f t="shared" si="138"/>
        <v>418337.56330611371</v>
      </c>
      <c r="U564">
        <f t="shared" si="139"/>
        <v>442482.06294002791</v>
      </c>
      <c r="V564">
        <f t="shared" si="140"/>
        <v>413330.54545892647</v>
      </c>
      <c r="W564">
        <f t="shared" si="141"/>
        <v>-11.010407705074623</v>
      </c>
      <c r="X564">
        <f t="shared" si="142"/>
        <v>-0.48304244126667423</v>
      </c>
      <c r="Y564">
        <f t="shared" si="143"/>
        <v>-1.6157750744364709</v>
      </c>
      <c r="Z564">
        <f t="shared" si="144"/>
        <v>21.160071711934666</v>
      </c>
      <c r="AA564">
        <f t="shared" si="145"/>
        <v>0.77938383584836735</v>
      </c>
      <c r="AB564">
        <f t="shared" si="146"/>
        <v>2.6011264898970805</v>
      </c>
    </row>
    <row r="565" spans="12:28" x14ac:dyDescent="0.25">
      <c r="L565">
        <v>561</v>
      </c>
      <c r="M565">
        <f t="shared" si="151"/>
        <v>280.5</v>
      </c>
      <c r="N565">
        <f t="shared" si="147"/>
        <v>213641.2102893258</v>
      </c>
      <c r="O565">
        <f t="shared" si="148"/>
        <v>-368106.54378411907</v>
      </c>
      <c r="P565">
        <f t="shared" si="149"/>
        <v>1078.8214369873317</v>
      </c>
      <c r="Q565">
        <f t="shared" si="150"/>
        <v>-3997.6969523782623</v>
      </c>
      <c r="R565">
        <f t="shared" si="136"/>
        <v>-12.95711628634821</v>
      </c>
      <c r="S565">
        <f t="shared" si="137"/>
        <v>24.320502725763614</v>
      </c>
      <c r="T565">
        <f t="shared" si="138"/>
        <v>420363.42768709752</v>
      </c>
      <c r="U565">
        <f t="shared" si="139"/>
        <v>444469.09183635359</v>
      </c>
      <c r="V565">
        <f t="shared" si="140"/>
        <v>415316.99953161948</v>
      </c>
      <c r="W565">
        <f t="shared" si="141"/>
        <v>-10.882749965488708</v>
      </c>
      <c r="X565">
        <f t="shared" si="142"/>
        <v>-0.47770075989264027</v>
      </c>
      <c r="Y565">
        <f t="shared" si="143"/>
        <v>-1.5966655609668614</v>
      </c>
      <c r="Z565">
        <f t="shared" si="144"/>
        <v>20.968807313398919</v>
      </c>
      <c r="AA565">
        <f t="shared" si="145"/>
        <v>0.77307330783975781</v>
      </c>
      <c r="AB565">
        <f t="shared" si="146"/>
        <v>2.5786221045249347</v>
      </c>
    </row>
    <row r="566" spans="12:28" x14ac:dyDescent="0.25">
      <c r="L566">
        <v>562</v>
      </c>
      <c r="M566">
        <f t="shared" si="151"/>
        <v>281</v>
      </c>
      <c r="N566">
        <f t="shared" si="147"/>
        <v>214179.00136828367</v>
      </c>
      <c r="O566">
        <f t="shared" si="148"/>
        <v>-370102.35219746747</v>
      </c>
      <c r="P566">
        <f t="shared" si="149"/>
        <v>1072.3428788441577</v>
      </c>
      <c r="Q566">
        <f t="shared" si="150"/>
        <v>-3985.5367010153805</v>
      </c>
      <c r="R566">
        <f t="shared" si="136"/>
        <v>-12.807927051050891</v>
      </c>
      <c r="S566">
        <f t="shared" si="137"/>
        <v>24.104054406255344</v>
      </c>
      <c r="T566">
        <f t="shared" si="138"/>
        <v>422382.83487430791</v>
      </c>
      <c r="U566">
        <f t="shared" si="139"/>
        <v>446450.00036722393</v>
      </c>
      <c r="V566">
        <f t="shared" si="140"/>
        <v>417297.39416508737</v>
      </c>
      <c r="W566">
        <f t="shared" si="141"/>
        <v>-10.757544546941453</v>
      </c>
      <c r="X566">
        <f t="shared" si="142"/>
        <v>-0.47245677277182141</v>
      </c>
      <c r="Y566">
        <f t="shared" si="143"/>
        <v>-1.5779257313376174</v>
      </c>
      <c r="Z566">
        <f t="shared" si="144"/>
        <v>20.780724151390483</v>
      </c>
      <c r="AA566">
        <f t="shared" si="145"/>
        <v>0.76685753032046045</v>
      </c>
      <c r="AB566">
        <f t="shared" si="146"/>
        <v>2.5564727245444003</v>
      </c>
    </row>
    <row r="567" spans="12:28" x14ac:dyDescent="0.25">
      <c r="L567">
        <v>563</v>
      </c>
      <c r="M567">
        <f t="shared" si="151"/>
        <v>281.5</v>
      </c>
      <c r="N567">
        <f t="shared" si="147"/>
        <v>214713.57181682438</v>
      </c>
      <c r="O567">
        <f t="shared" si="148"/>
        <v>-372092.1075411744</v>
      </c>
      <c r="P567">
        <f t="shared" si="149"/>
        <v>1065.9389153186323</v>
      </c>
      <c r="Q567">
        <f t="shared" si="150"/>
        <v>-3973.4846738122528</v>
      </c>
      <c r="R567">
        <f t="shared" si="136"/>
        <v>-12.661580159041522</v>
      </c>
      <c r="S567">
        <f t="shared" si="137"/>
        <v>23.891151443830516</v>
      </c>
      <c r="T567">
        <f t="shared" si="138"/>
        <v>424395.84425334592</v>
      </c>
      <c r="U567">
        <f t="shared" si="139"/>
        <v>448424.84257706767</v>
      </c>
      <c r="V567">
        <f t="shared" si="140"/>
        <v>419271.78167473245</v>
      </c>
      <c r="W567">
        <f t="shared" si="141"/>
        <v>-10.634726364282901</v>
      </c>
      <c r="X567">
        <f t="shared" si="142"/>
        <v>-0.46730801402802469</v>
      </c>
      <c r="Y567">
        <f t="shared" si="143"/>
        <v>-1.5595457807305968</v>
      </c>
      <c r="Z567">
        <f t="shared" si="144"/>
        <v>20.595746564619386</v>
      </c>
      <c r="AA567">
        <f t="shared" si="145"/>
        <v>0.76073446698768932</v>
      </c>
      <c r="AB567">
        <f t="shared" si="146"/>
        <v>2.5346704122234418</v>
      </c>
    </row>
    <row r="568" spans="12:28" x14ac:dyDescent="0.25">
      <c r="L568">
        <v>564</v>
      </c>
      <c r="M568">
        <f t="shared" si="151"/>
        <v>282</v>
      </c>
      <c r="N568">
        <f t="shared" si="147"/>
        <v>215244.95857696381</v>
      </c>
      <c r="O568">
        <f t="shared" si="148"/>
        <v>-374075.86348415003</v>
      </c>
      <c r="P568">
        <f t="shared" si="149"/>
        <v>1059.6081252391116</v>
      </c>
      <c r="Q568">
        <f t="shared" si="150"/>
        <v>-3961.5390980903376</v>
      </c>
      <c r="R568">
        <f t="shared" si="136"/>
        <v>-12.518000856648783</v>
      </c>
      <c r="S568">
        <f t="shared" si="137"/>
        <v>23.681710817963157</v>
      </c>
      <c r="T568">
        <f t="shared" si="138"/>
        <v>426402.51421160059</v>
      </c>
      <c r="U568">
        <f t="shared" si="139"/>
        <v>450393.67163290922</v>
      </c>
      <c r="V568">
        <f t="shared" si="140"/>
        <v>421240.21355451865</v>
      </c>
      <c r="W568">
        <f t="shared" si="141"/>
        <v>-10.514232526885928</v>
      </c>
      <c r="X568">
        <f t="shared" si="142"/>
        <v>-0.4622520968339594</v>
      </c>
      <c r="Y568">
        <f t="shared" si="143"/>
        <v>-1.5415162329288949</v>
      </c>
      <c r="Z568">
        <f t="shared" si="144"/>
        <v>20.413801222075065</v>
      </c>
      <c r="AA568">
        <f t="shared" si="145"/>
        <v>0.75470213820024179</v>
      </c>
      <c r="AB568">
        <f t="shared" si="146"/>
        <v>2.5132074576878498</v>
      </c>
    </row>
    <row r="569" spans="12:28" x14ac:dyDescent="0.25">
      <c r="L569">
        <v>565</v>
      </c>
      <c r="M569">
        <f t="shared" si="151"/>
        <v>282.5</v>
      </c>
      <c r="N569">
        <f t="shared" si="147"/>
        <v>215773.19788947626</v>
      </c>
      <c r="O569">
        <f t="shared" si="148"/>
        <v>-376053.67281934299</v>
      </c>
      <c r="P569">
        <f t="shared" si="149"/>
        <v>1053.3491248107871</v>
      </c>
      <c r="Q569">
        <f t="shared" si="150"/>
        <v>-3949.6982426813561</v>
      </c>
      <c r="R569">
        <f t="shared" si="136"/>
        <v>-12.377116886588338</v>
      </c>
      <c r="S569">
        <f t="shared" si="137"/>
        <v>23.475652025244159</v>
      </c>
      <c r="T569">
        <f t="shared" si="138"/>
        <v>428402.90216218535</v>
      </c>
      <c r="U569">
        <f t="shared" si="139"/>
        <v>452356.53984477161</v>
      </c>
      <c r="V569">
        <f t="shared" si="140"/>
        <v>423202.74049524183</v>
      </c>
      <c r="W569">
        <f t="shared" si="141"/>
        <v>-10.396002249185031</v>
      </c>
      <c r="X569">
        <f t="shared" si="142"/>
        <v>-0.45728671034718998</v>
      </c>
      <c r="Y569">
        <f t="shared" si="143"/>
        <v>-1.5238279270561168</v>
      </c>
      <c r="Z569">
        <f t="shared" si="144"/>
        <v>20.234817035202816</v>
      </c>
      <c r="AA569">
        <f t="shared" si="145"/>
        <v>0.74875861905119234</v>
      </c>
      <c r="AB569">
        <f t="shared" si="146"/>
        <v>2.4920763709901528</v>
      </c>
    </row>
    <row r="570" spans="12:28" x14ac:dyDescent="0.25">
      <c r="L570">
        <v>566</v>
      </c>
      <c r="M570">
        <f t="shared" si="151"/>
        <v>283</v>
      </c>
      <c r="N570">
        <f t="shared" si="147"/>
        <v>216298.32531227081</v>
      </c>
      <c r="O570">
        <f t="shared" si="148"/>
        <v>-378025.58748418052</v>
      </c>
      <c r="P570">
        <f t="shared" si="149"/>
        <v>1047.1605663674929</v>
      </c>
      <c r="Q570">
        <f t="shared" si="150"/>
        <v>-3937.9604166687341</v>
      </c>
      <c r="R570">
        <f t="shared" si="136"/>
        <v>-12.238858387206836</v>
      </c>
      <c r="S570">
        <f t="shared" si="137"/>
        <v>23.27289698600346</v>
      </c>
      <c r="T570">
        <f t="shared" si="138"/>
        <v>430397.06456713169</v>
      </c>
      <c r="U570">
        <f t="shared" si="139"/>
        <v>454313.49868546409</v>
      </c>
      <c r="V570">
        <f t="shared" si="140"/>
        <v>425159.4124022777</v>
      </c>
      <c r="W570">
        <f t="shared" si="141"/>
        <v>-10.279976765481836</v>
      </c>
      <c r="X570">
        <f t="shared" si="142"/>
        <v>-0.45240961678510067</v>
      </c>
      <c r="Y570">
        <f t="shared" si="143"/>
        <v>-1.5064720049398994</v>
      </c>
      <c r="Z570">
        <f t="shared" si="144"/>
        <v>20.058725073984466</v>
      </c>
      <c r="AA570">
        <f t="shared" si="145"/>
        <v>0.74290203751780748</v>
      </c>
      <c r="AB570">
        <f t="shared" si="146"/>
        <v>2.471269874501187</v>
      </c>
    </row>
    <row r="571" spans="12:28" x14ac:dyDescent="0.25">
      <c r="L571">
        <v>567</v>
      </c>
      <c r="M571">
        <f t="shared" si="151"/>
        <v>283.5</v>
      </c>
      <c r="N571">
        <f t="shared" si="147"/>
        <v>216820.37573815617</v>
      </c>
      <c r="O571">
        <f t="shared" si="148"/>
        <v>-379991.65858039161</v>
      </c>
      <c r="P571">
        <f t="shared" si="149"/>
        <v>1041.0411371738896</v>
      </c>
      <c r="Q571">
        <f t="shared" si="150"/>
        <v>-3926.3239681757323</v>
      </c>
      <c r="R571">
        <f t="shared" si="136"/>
        <v>-12.103157796482405</v>
      </c>
      <c r="S571">
        <f t="shared" si="137"/>
        <v>23.073369955018237</v>
      </c>
      <c r="T571">
        <f t="shared" si="138"/>
        <v>432385.05695986975</v>
      </c>
      <c r="U571">
        <f t="shared" si="139"/>
        <v>456264.59880977636</v>
      </c>
      <c r="V571">
        <f t="shared" si="140"/>
        <v>427110.27841282624</v>
      </c>
      <c r="W571">
        <f t="shared" si="141"/>
        <v>-10.166099248784882</v>
      </c>
      <c r="X571">
        <f t="shared" si="142"/>
        <v>-0.44761864863163248</v>
      </c>
      <c r="Y571">
        <f t="shared" si="143"/>
        <v>-1.4894398990658906</v>
      </c>
      <c r="Z571">
        <f t="shared" si="144"/>
        <v>19.885458486724207</v>
      </c>
      <c r="AA571">
        <f t="shared" si="145"/>
        <v>0.73713057268508408</v>
      </c>
      <c r="AB571">
        <f t="shared" si="146"/>
        <v>2.4507808956089421</v>
      </c>
    </row>
    <row r="572" spans="12:28" x14ac:dyDescent="0.25">
      <c r="L572">
        <v>568</v>
      </c>
      <c r="M572">
        <f t="shared" si="151"/>
        <v>284</v>
      </c>
      <c r="N572">
        <f t="shared" si="147"/>
        <v>217339.38341201856</v>
      </c>
      <c r="O572">
        <f t="shared" si="148"/>
        <v>-381951.93639323505</v>
      </c>
      <c r="P572">
        <f t="shared" si="149"/>
        <v>1034.9895582756485</v>
      </c>
      <c r="Q572">
        <f t="shared" si="150"/>
        <v>-3914.7872831982231</v>
      </c>
      <c r="R572">
        <f t="shared" si="136"/>
        <v>-11.969949760525276</v>
      </c>
      <c r="S572">
        <f t="shared" si="137"/>
        <v>22.876997436101874</v>
      </c>
      <c r="T572">
        <f t="shared" si="138"/>
        <v>434366.93396702042</v>
      </c>
      <c r="U572">
        <f t="shared" si="139"/>
        <v>458209.8900731015</v>
      </c>
      <c r="V572">
        <f t="shared" si="140"/>
        <v>429055.38691267057</v>
      </c>
      <c r="W572">
        <f t="shared" si="141"/>
        <v>-10.054314733465432</v>
      </c>
      <c r="X572">
        <f t="shared" si="142"/>
        <v>-0.44291170596902707</v>
      </c>
      <c r="Y572">
        <f t="shared" si="143"/>
        <v>-1.4727233210908157</v>
      </c>
      <c r="Z572">
        <f t="shared" si="144"/>
        <v>19.71495242335158</v>
      </c>
      <c r="AA572">
        <f t="shared" si="145"/>
        <v>0.73144245303959288</v>
      </c>
      <c r="AB572">
        <f t="shared" si="146"/>
        <v>2.4306025597106991</v>
      </c>
    </row>
    <row r="573" spans="12:28" x14ac:dyDescent="0.25">
      <c r="L573">
        <v>569</v>
      </c>
      <c r="M573">
        <f t="shared" si="151"/>
        <v>284.5</v>
      </c>
      <c r="N573">
        <f t="shared" si="147"/>
        <v>217855.38194743634</v>
      </c>
      <c r="O573">
        <f t="shared" si="148"/>
        <v>-383906.47041015467</v>
      </c>
      <c r="P573">
        <f t="shared" si="149"/>
        <v>1029.0045833953859</v>
      </c>
      <c r="Q573">
        <f t="shared" si="150"/>
        <v>-3903.3487844801721</v>
      </c>
      <c r="R573">
        <f t="shared" si="136"/>
        <v>-11.839171046337144</v>
      </c>
      <c r="S573">
        <f t="shared" si="137"/>
        <v>22.683708100379118</v>
      </c>
      <c r="T573">
        <f t="shared" si="138"/>
        <v>436342.74932952703</v>
      </c>
      <c r="U573">
        <f t="shared" si="139"/>
        <v>460149.42154950806</v>
      </c>
      <c r="V573">
        <f t="shared" si="140"/>
        <v>430994.78555246588</v>
      </c>
      <c r="W573">
        <f t="shared" si="141"/>
        <v>-9.9445700415237948</v>
      </c>
      <c r="X573">
        <f t="shared" si="142"/>
        <v>-0.4382867539281638</v>
      </c>
      <c r="Y573">
        <f t="shared" si="143"/>
        <v>-1.4563142508851856</v>
      </c>
      <c r="Z573">
        <f t="shared" si="144"/>
        <v>19.547143962063434</v>
      </c>
      <c r="AA573">
        <f t="shared" si="145"/>
        <v>0.72583595483040031</v>
      </c>
      <c r="AB573">
        <f t="shared" si="146"/>
        <v>2.4107281834852836</v>
      </c>
    </row>
    <row r="574" spans="12:28" x14ac:dyDescent="0.25">
      <c r="L574">
        <v>570</v>
      </c>
      <c r="M574">
        <f t="shared" si="151"/>
        <v>285</v>
      </c>
      <c r="N574">
        <f t="shared" si="147"/>
        <v>218368.40434275323</v>
      </c>
      <c r="O574">
        <f t="shared" si="148"/>
        <v>-385855.30933888216</v>
      </c>
      <c r="P574">
        <f t="shared" si="149"/>
        <v>1023.0849978722173</v>
      </c>
      <c r="Q574">
        <f t="shared" si="150"/>
        <v>-3892.0069304299827</v>
      </c>
      <c r="R574">
        <f t="shared" si="136"/>
        <v>-11.71076045860379</v>
      </c>
      <c r="S574">
        <f t="shared" si="137"/>
        <v>22.493432708066596</v>
      </c>
      <c r="T574">
        <f t="shared" si="138"/>
        <v>438312.55592314864</v>
      </c>
      <c r="U574">
        <f t="shared" si="139"/>
        <v>462083.24154928233</v>
      </c>
      <c r="V574">
        <f t="shared" si="140"/>
        <v>432928.52126357501</v>
      </c>
      <c r="W574">
        <f t="shared" si="141"/>
        <v>-9.8368137122746937</v>
      </c>
      <c r="X574">
        <f t="shared" si="142"/>
        <v>-0.43374182025147756</v>
      </c>
      <c r="Y574">
        <f t="shared" si="143"/>
        <v>-1.44020492607762</v>
      </c>
      <c r="Z574">
        <f t="shared" si="144"/>
        <v>19.381972039140109</v>
      </c>
      <c r="AA574">
        <f t="shared" si="145"/>
        <v>0.72030940049407766</v>
      </c>
      <c r="AB574">
        <f t="shared" si="146"/>
        <v>2.391151268432409</v>
      </c>
    </row>
    <row r="575" spans="12:28" x14ac:dyDescent="0.25">
      <c r="L575">
        <v>571</v>
      </c>
      <c r="M575">
        <f t="shared" si="151"/>
        <v>285.5</v>
      </c>
      <c r="N575">
        <f t="shared" si="147"/>
        <v>218878.48299663202</v>
      </c>
      <c r="O575">
        <f t="shared" si="148"/>
        <v>-387798.50112500862</v>
      </c>
      <c r="P575">
        <f t="shared" si="149"/>
        <v>1017.2296176429154</v>
      </c>
      <c r="Q575">
        <f t="shared" si="150"/>
        <v>-3880.7602140759495</v>
      </c>
      <c r="R575">
        <f t="shared" si="136"/>
        <v>-11.584658760305702</v>
      </c>
      <c r="S575">
        <f t="shared" si="137"/>
        <v>22.306104033581718</v>
      </c>
      <c r="T575">
        <f t="shared" si="138"/>
        <v>440276.40577834175</v>
      </c>
      <c r="U575">
        <f t="shared" si="139"/>
        <v>464011.39763595862</v>
      </c>
      <c r="V575">
        <f t="shared" si="140"/>
        <v>434856.64027346566</v>
      </c>
      <c r="W575">
        <f t="shared" si="141"/>
        <v>-9.7309959352682665</v>
      </c>
      <c r="X575">
        <f t="shared" si="142"/>
        <v>-0.42927499296277366</v>
      </c>
      <c r="Y575">
        <f t="shared" si="143"/>
        <v>-1.4243878320746628</v>
      </c>
      <c r="Z575">
        <f t="shared" si="144"/>
        <v>19.219377381773661</v>
      </c>
      <c r="AA575">
        <f t="shared" si="145"/>
        <v>0.71486115714092013</v>
      </c>
      <c r="AB575">
        <f t="shared" si="146"/>
        <v>2.3718654946671367</v>
      </c>
    </row>
    <row r="576" spans="12:28" x14ac:dyDescent="0.25">
      <c r="L576">
        <v>572</v>
      </c>
      <c r="M576">
        <f t="shared" si="151"/>
        <v>286</v>
      </c>
      <c r="N576">
        <f t="shared" si="147"/>
        <v>219385.64972310845</v>
      </c>
      <c r="O576">
        <f t="shared" si="148"/>
        <v>-389736.09296904237</v>
      </c>
      <c r="P576">
        <f t="shared" si="149"/>
        <v>1011.4372882627625</v>
      </c>
      <c r="Q576">
        <f t="shared" si="150"/>
        <v>-3869.6071620591588</v>
      </c>
      <c r="R576">
        <f t="shared" si="136"/>
        <v>-11.460808596948915</v>
      </c>
      <c r="S576">
        <f t="shared" si="137"/>
        <v>22.121656793821682</v>
      </c>
      <c r="T576">
        <f t="shared" si="138"/>
        <v>442234.3500995491</v>
      </c>
      <c r="U576">
        <f t="shared" si="139"/>
        <v>465933.93664285674</v>
      </c>
      <c r="V576">
        <f t="shared" si="140"/>
        <v>436779.18812068447</v>
      </c>
      <c r="W576">
        <f t="shared" si="141"/>
        <v>-9.6270684862788354</v>
      </c>
      <c r="X576">
        <f t="shared" si="142"/>
        <v>-0.42488441813854516</v>
      </c>
      <c r="Y576">
        <f t="shared" si="143"/>
        <v>-1.4088556925315352</v>
      </c>
      <c r="Z576">
        <f t="shared" si="144"/>
        <v>19.059302443763933</v>
      </c>
      <c r="AA576">
        <f t="shared" si="145"/>
        <v>0.70948963509959206</v>
      </c>
      <c r="AB576">
        <f t="shared" si="146"/>
        <v>2.3528647149581547</v>
      </c>
    </row>
    <row r="577" spans="12:28" x14ac:dyDescent="0.25">
      <c r="L577">
        <v>573</v>
      </c>
      <c r="M577">
        <f t="shared" si="151"/>
        <v>286.5</v>
      </c>
      <c r="N577">
        <f t="shared" si="147"/>
        <v>219889.9357661652</v>
      </c>
      <c r="O577">
        <f t="shared" si="148"/>
        <v>-391668.13134297275</v>
      </c>
      <c r="P577">
        <f t="shared" si="149"/>
        <v>1005.7068839642881</v>
      </c>
      <c r="Q577">
        <f t="shared" si="150"/>
        <v>-3858.5463336622479</v>
      </c>
      <c r="R577">
        <f t="shared" si="136"/>
        <v>-11.339154424225756</v>
      </c>
      <c r="S577">
        <f t="shared" si="137"/>
        <v>21.940027579455386</v>
      </c>
      <c r="T577">
        <f t="shared" si="138"/>
        <v>444186.43928391999</v>
      </c>
      <c r="U577">
        <f t="shared" si="139"/>
        <v>467850.90468914394</v>
      </c>
      <c r="V577">
        <f t="shared" si="140"/>
        <v>438696.20966942131</v>
      </c>
      <c r="W577">
        <f t="shared" si="141"/>
        <v>-9.5249846661995878</v>
      </c>
      <c r="X577">
        <f t="shared" si="142"/>
        <v>-0.42056829777576937</v>
      </c>
      <c r="Y577">
        <f t="shared" si="143"/>
        <v>-1.3936014602503983</v>
      </c>
      <c r="Z577">
        <f t="shared" si="144"/>
        <v>18.90169134393906</v>
      </c>
      <c r="AA577">
        <f t="shared" si="145"/>
        <v>0.7041932865176681</v>
      </c>
      <c r="AB577">
        <f t="shared" si="146"/>
        <v>2.3341429489986578</v>
      </c>
    </row>
    <row r="578" spans="12:28" x14ac:dyDescent="0.25">
      <c r="L578">
        <v>574</v>
      </c>
      <c r="M578">
        <f t="shared" si="151"/>
        <v>287</v>
      </c>
      <c r="N578">
        <f t="shared" si="147"/>
        <v>220391.37181384434</v>
      </c>
      <c r="O578">
        <f t="shared" si="148"/>
        <v>-393594.6620063564</v>
      </c>
      <c r="P578">
        <f t="shared" si="149"/>
        <v>1000.0373067521751</v>
      </c>
      <c r="Q578">
        <f t="shared" si="150"/>
        <v>-3847.5763198725203</v>
      </c>
      <c r="R578">
        <f t="shared" si="136"/>
        <v>-11.219642438928307</v>
      </c>
      <c r="S578">
        <f t="shared" si="137"/>
        <v>21.761154789082997</v>
      </c>
      <c r="T578">
        <f t="shared" si="138"/>
        <v>446132.7229394812</v>
      </c>
      <c r="U578">
        <f t="shared" si="139"/>
        <v>469762.34719543776</v>
      </c>
      <c r="V578">
        <f t="shared" si="140"/>
        <v>440607.7491236779</v>
      </c>
      <c r="W578">
        <f t="shared" si="141"/>
        <v>-9.4246992426924692</v>
      </c>
      <c r="X578">
        <f t="shared" si="142"/>
        <v>-0.41632488775140003</v>
      </c>
      <c r="Y578">
        <f t="shared" si="143"/>
        <v>-1.3786183084844372</v>
      </c>
      <c r="Z578">
        <f t="shared" si="144"/>
        <v>18.746489807167613</v>
      </c>
      <c r="AA578">
        <f t="shared" si="145"/>
        <v>0.69897060401559619</v>
      </c>
      <c r="AB578">
        <f t="shared" si="146"/>
        <v>2.3156943778997889</v>
      </c>
    </row>
    <row r="579" spans="12:28" x14ac:dyDescent="0.25">
      <c r="L579">
        <v>575</v>
      </c>
      <c r="M579">
        <f t="shared" si="151"/>
        <v>287.5</v>
      </c>
      <c r="N579">
        <f t="shared" si="147"/>
        <v>220889.98801191556</v>
      </c>
      <c r="O579">
        <f t="shared" si="148"/>
        <v>-395515.73002194404</v>
      </c>
      <c r="P579">
        <f t="shared" si="149"/>
        <v>994.42748553271099</v>
      </c>
      <c r="Q579">
        <f t="shared" si="150"/>
        <v>-3836.6957424779789</v>
      </c>
      <c r="R579">
        <f t="shared" si="136"/>
        <v>-11.102220512947831</v>
      </c>
      <c r="S579">
        <f t="shared" si="137"/>
        <v>21.584978566126587</v>
      </c>
      <c r="T579">
        <f t="shared" si="138"/>
        <v>448073.24990277912</v>
      </c>
      <c r="U579">
        <f t="shared" si="139"/>
        <v>471668.30889896664</v>
      </c>
      <c r="V579">
        <f t="shared" si="140"/>
        <v>442513.8500410539</v>
      </c>
      <c r="W579">
        <f t="shared" si="141"/>
        <v>-9.326168394451793</v>
      </c>
      <c r="X579">
        <f t="shared" si="142"/>
        <v>-0.41215249586903896</v>
      </c>
      <c r="Y579">
        <f t="shared" si="143"/>
        <v>-1.3638996226269984</v>
      </c>
      <c r="Z579">
        <f t="shared" si="144"/>
        <v>18.593645107838267</v>
      </c>
      <c r="AA579">
        <f t="shared" si="145"/>
        <v>0.69382011939172972</v>
      </c>
      <c r="AB579">
        <f t="shared" si="146"/>
        <v>2.2975133388965876</v>
      </c>
    </row>
    <row r="580" spans="12:28" x14ac:dyDescent="0.25">
      <c r="L580">
        <v>576</v>
      </c>
      <c r="M580">
        <f t="shared" si="151"/>
        <v>288</v>
      </c>
      <c r="N580">
        <f t="shared" si="147"/>
        <v>221385.8139771178</v>
      </c>
      <c r="O580">
        <f t="shared" si="148"/>
        <v>-397431.37977086229</v>
      </c>
      <c r="P580">
        <f t="shared" si="149"/>
        <v>988.87637527623713</v>
      </c>
      <c r="Q580">
        <f t="shared" si="150"/>
        <v>-3825.9032531949156</v>
      </c>
      <c r="R580">
        <f t="shared" si="136"/>
        <v>-10.986838130202129</v>
      </c>
      <c r="S580">
        <f t="shared" si="137"/>
        <v>21.411440738320518</v>
      </c>
      <c r="T580">
        <f t="shared" si="138"/>
        <v>450008.06825601059</v>
      </c>
      <c r="U580">
        <f t="shared" si="139"/>
        <v>473568.83386830299</v>
      </c>
      <c r="V580">
        <f t="shared" si="140"/>
        <v>444414.55534616287</v>
      </c>
      <c r="W580">
        <f t="shared" si="141"/>
        <v>-9.229349657947159</v>
      </c>
      <c r="X580">
        <f t="shared" si="142"/>
        <v>-0.40804947998851482</v>
      </c>
      <c r="Y580">
        <f t="shared" si="143"/>
        <v>-1.3494389922664549</v>
      </c>
      <c r="Z580">
        <f t="shared" si="144"/>
        <v>18.443106015687036</v>
      </c>
      <c r="AA580">
        <f t="shared" si="145"/>
        <v>0.68874040237618661</v>
      </c>
      <c r="AB580">
        <f t="shared" si="146"/>
        <v>2.2795943202572952</v>
      </c>
    </row>
    <row r="581" spans="12:28" x14ac:dyDescent="0.25">
      <c r="L581">
        <v>577</v>
      </c>
      <c r="M581">
        <f t="shared" si="151"/>
        <v>288.5</v>
      </c>
      <c r="N581">
        <f t="shared" si="147"/>
        <v>221878.87880998963</v>
      </c>
      <c r="O581">
        <f t="shared" si="148"/>
        <v>-399341.65496736742</v>
      </c>
      <c r="P581">
        <f t="shared" si="149"/>
        <v>983.38295621113605</v>
      </c>
      <c r="Q581">
        <f t="shared" si="150"/>
        <v>-3815.1975328257554</v>
      </c>
      <c r="R581">
        <f t="shared" ref="R581:R644" si="152">SUM(W581:Y581)</f>
        <v>-10.873446326342615</v>
      </c>
      <c r="S581">
        <f t="shared" ref="S581:S644" si="153">SUM(Z581:AB581)</f>
        <v>21.240484759679102</v>
      </c>
      <c r="T581">
        <f t="shared" ref="T581:T644" si="154">SQRT(($D$18-N581)^2 + ($E$18 - O581) ^2)</f>
        <v>451937.2253436622</v>
      </c>
      <c r="U581">
        <f t="shared" ref="U581:U644" si="155">SQRT(($D$26-N581)^2 + ($E$26- O581) ^2)</f>
        <v>475463.96551768354</v>
      </c>
      <c r="V581">
        <f t="shared" ref="V581:V644" si="156">SQRT(($D$34-N581)^2 + ($E$34 - O581) ^2)</f>
        <v>446309.9073436897</v>
      </c>
      <c r="W581">
        <f t="shared" ref="W581:W644" si="157">$D$22*(($D$18-N581)/(T581^2+($D$23^2))^(3/2))</f>
        <v>-9.1342018765199278</v>
      </c>
      <c r="X581">
        <f t="shared" ref="X581:X644" si="158">$D$30*(($D$26-N581)/(U581^2+($D$31^2))^(3/2))</f>
        <v>-0.40401424623436671</v>
      </c>
      <c r="Y581">
        <f t="shared" ref="Y581:Y644" si="159">$D$38*(($D$34-N581)/(V581^2+($D$39^2))^(3/2))</f>
        <v>-1.335230203588321</v>
      </c>
      <c r="Z581">
        <f t="shared" ref="Z581:Z644" si="160">$D$22*(($E$18-O581)/(T581^2+($D$23^2))^(3/2))</f>
        <v>18.294822743860724</v>
      </c>
      <c r="AA581">
        <f t="shared" ref="AA581:AA644" si="161">$D$30*(($E$26-O581)/(U581^2+($D$31^2))^(3/2))</f>
        <v>0.68373005943146015</v>
      </c>
      <c r="AB581">
        <f t="shared" ref="AB581:AB644" si="162">$D$38*(($E$34-O581)/(V581^2+($D$39^2))^(3/2))</f>
        <v>2.2619319563869174</v>
      </c>
    </row>
    <row r="582" spans="12:28" x14ac:dyDescent="0.25">
      <c r="L582">
        <v>578</v>
      </c>
      <c r="M582">
        <f t="shared" si="151"/>
        <v>289</v>
      </c>
      <c r="N582">
        <f t="shared" ref="N582:N645" si="163">(N581)+(P581)*(M582-M581)+((1/2*(R581))*((M582-M581)^2))</f>
        <v>222369.21110730444</v>
      </c>
      <c r="O582">
        <f t="shared" ref="O582:O645" si="164">(O581)+(Q581)*(M582-M581)+((1/2*(S581))*((M582-M581)^2))</f>
        <v>-401246.59867318533</v>
      </c>
      <c r="P582">
        <f t="shared" ref="P582:P645" si="165">P581+(R581*(M582-M581))</f>
        <v>977.94623304796471</v>
      </c>
      <c r="Q582">
        <f t="shared" ref="Q582:Q645" si="166">Q581+(S581*(M582-M581))</f>
        <v>-3804.5772904459159</v>
      </c>
      <c r="R582">
        <f t="shared" si="152"/>
        <v>-10.761997631100467</v>
      </c>
      <c r="S582">
        <f t="shared" si="153"/>
        <v>21.072055654823611</v>
      </c>
      <c r="T582">
        <f t="shared" si="154"/>
        <v>453860.76778867422</v>
      </c>
      <c r="U582">
        <f t="shared" si="155"/>
        <v>477353.74662093213</v>
      </c>
      <c r="V582">
        <f t="shared" si="156"/>
        <v>448199.94773110212</v>
      </c>
      <c r="W582">
        <f t="shared" si="157"/>
        <v>-9.040685151713733</v>
      </c>
      <c r="X582">
        <f t="shared" si="158"/>
        <v>-0.40004524727940871</v>
      </c>
      <c r="Y582">
        <f t="shared" si="159"/>
        <v>-1.3212672321073256</v>
      </c>
      <c r="Z582">
        <f t="shared" si="160"/>
        <v>18.148746899109238</v>
      </c>
      <c r="AA582">
        <f t="shared" si="161"/>
        <v>0.67878773259774006</v>
      </c>
      <c r="AB582">
        <f t="shared" si="162"/>
        <v>2.2445210231166328</v>
      </c>
    </row>
    <row r="583" spans="12:28" x14ac:dyDescent="0.25">
      <c r="L583">
        <v>579</v>
      </c>
      <c r="M583">
        <f t="shared" si="151"/>
        <v>289.5</v>
      </c>
      <c r="N583">
        <f t="shared" si="163"/>
        <v>222856.83897412455</v>
      </c>
      <c r="O583">
        <f t="shared" si="164"/>
        <v>-403146.25331145147</v>
      </c>
      <c r="P583">
        <f t="shared" si="165"/>
        <v>972.56523423241447</v>
      </c>
      <c r="Q583">
        <f t="shared" si="166"/>
        <v>-3794.0412626185039</v>
      </c>
      <c r="R583">
        <f t="shared" si="152"/>
        <v>-10.652446013140903</v>
      </c>
      <c r="S583">
        <f t="shared" si="153"/>
        <v>20.906099965560607</v>
      </c>
      <c r="T583">
        <f t="shared" si="154"/>
        <v>455778.74150814605</v>
      </c>
      <c r="U583">
        <f t="shared" si="155"/>
        <v>479238.21932499693</v>
      </c>
      <c r="V583">
        <f t="shared" si="156"/>
        <v>450084.7176110266</v>
      </c>
      <c r="W583">
        <f t="shared" si="157"/>
        <v>-8.9487607967278713</v>
      </c>
      <c r="X583">
        <f t="shared" si="158"/>
        <v>-0.39614098069978787</v>
      </c>
      <c r="Y583">
        <f t="shared" si="159"/>
        <v>-1.3075442357132441</v>
      </c>
      <c r="Z583">
        <f t="shared" si="160"/>
        <v>18.00483143400831</v>
      </c>
      <c r="AA583">
        <f t="shared" si="161"/>
        <v>0.67391209838105137</v>
      </c>
      <c r="AB583">
        <f t="shared" si="162"/>
        <v>2.2273564331712463</v>
      </c>
    </row>
    <row r="584" spans="12:28" x14ac:dyDescent="0.25">
      <c r="L584">
        <v>580</v>
      </c>
      <c r="M584">
        <f t="shared" si="151"/>
        <v>290</v>
      </c>
      <c r="N584">
        <f t="shared" si="163"/>
        <v>223341.7900354891</v>
      </c>
      <c r="O584">
        <f t="shared" si="164"/>
        <v>-405040.66068026505</v>
      </c>
      <c r="P584">
        <f t="shared" si="165"/>
        <v>967.23901122584402</v>
      </c>
      <c r="Q584">
        <f t="shared" si="166"/>
        <v>-3783.5882126357237</v>
      </c>
      <c r="R584">
        <f t="shared" si="152"/>
        <v>-10.544746827299232</v>
      </c>
      <c r="S584">
        <f t="shared" si="153"/>
        <v>20.742565699603652</v>
      </c>
      <c r="T584">
        <f t="shared" si="154"/>
        <v>457691.19172859902</v>
      </c>
      <c r="U584">
        <f t="shared" si="155"/>
        <v>481117.42516311648</v>
      </c>
      <c r="V584">
        <f t="shared" si="156"/>
        <v>451964.25750329974</v>
      </c>
      <c r="W584">
        <f t="shared" si="157"/>
        <v>-8.8583912918863827</v>
      </c>
      <c r="X584">
        <f t="shared" si="158"/>
        <v>-0.39229998739809607</v>
      </c>
      <c r="Y584">
        <f t="shared" si="159"/>
        <v>-1.2940555480147535</v>
      </c>
      <c r="Z584">
        <f t="shared" si="160"/>
        <v>17.863030601114783</v>
      </c>
      <c r="AA584">
        <f t="shared" si="161"/>
        <v>0.66910186668233029</v>
      </c>
      <c r="AB584">
        <f t="shared" si="162"/>
        <v>2.2104332318065416</v>
      </c>
    </row>
    <row r="585" spans="12:28" x14ac:dyDescent="0.25">
      <c r="L585">
        <v>581</v>
      </c>
      <c r="M585">
        <f t="shared" si="151"/>
        <v>290.5</v>
      </c>
      <c r="N585">
        <f t="shared" si="163"/>
        <v>223824.09144774862</v>
      </c>
      <c r="O585">
        <f t="shared" si="164"/>
        <v>-406929.86196587048</v>
      </c>
      <c r="P585">
        <f t="shared" si="165"/>
        <v>961.96663781219445</v>
      </c>
      <c r="Q585">
        <f t="shared" si="166"/>
        <v>-3773.2169297859218</v>
      </c>
      <c r="R585">
        <f t="shared" si="152"/>
        <v>-10.438856764082596</v>
      </c>
      <c r="S585">
        <f t="shared" si="153"/>
        <v>20.581402281342591</v>
      </c>
      <c r="T585">
        <f t="shared" si="154"/>
        <v>459598.16300081235</v>
      </c>
      <c r="U585">
        <f t="shared" si="155"/>
        <v>482991.40506762633</v>
      </c>
      <c r="V585">
        <f t="shared" si="156"/>
        <v>453838.60735670553</v>
      </c>
      <c r="W585">
        <f t="shared" si="157"/>
        <v>-8.7695402420241422</v>
      </c>
      <c r="X585">
        <f t="shared" si="158"/>
        <v>-0.38852085009138021</v>
      </c>
      <c r="Y585">
        <f t="shared" si="159"/>
        <v>-1.2807956719670737</v>
      </c>
      <c r="Z585">
        <f t="shared" si="160"/>
        <v>17.723299908966936</v>
      </c>
      <c r="AA585">
        <f t="shared" si="161"/>
        <v>0.66435577976582072</v>
      </c>
      <c r="AB585">
        <f t="shared" si="162"/>
        <v>2.1937465926098332</v>
      </c>
    </row>
    <row r="586" spans="12:28" x14ac:dyDescent="0.25">
      <c r="L586">
        <v>582</v>
      </c>
      <c r="M586">
        <f t="shared" si="151"/>
        <v>291</v>
      </c>
      <c r="N586">
        <f t="shared" si="163"/>
        <v>224303.76990955923</v>
      </c>
      <c r="O586">
        <f t="shared" si="164"/>
        <v>-408813.89775547828</v>
      </c>
      <c r="P586">
        <f t="shared" si="165"/>
        <v>956.74720943015313</v>
      </c>
      <c r="Q586">
        <f t="shared" si="166"/>
        <v>-3762.9262286452504</v>
      </c>
      <c r="R586">
        <f t="shared" si="152"/>
        <v>-10.334733801325058</v>
      </c>
      <c r="S586">
        <f t="shared" si="153"/>
        <v>20.422560504564146</v>
      </c>
      <c r="T586">
        <f t="shared" si="154"/>
        <v>461499.69921424601</v>
      </c>
      <c r="U586">
        <f t="shared" si="155"/>
        <v>484860.19938241894</v>
      </c>
      <c r="V586">
        <f t="shared" si="156"/>
        <v>455707.80656040815</v>
      </c>
      <c r="W586">
        <f t="shared" si="157"/>
        <v>-8.6821723356948546</v>
      </c>
      <c r="X586">
        <f t="shared" si="158"/>
        <v>-0.38480219186090342</v>
      </c>
      <c r="Y586">
        <f t="shared" si="159"/>
        <v>-1.2677592737693004</v>
      </c>
      <c r="Z586">
        <f t="shared" si="160"/>
        <v>17.585596079842908</v>
      </c>
      <c r="AA586">
        <f t="shared" si="161"/>
        <v>0.65967261126497401</v>
      </c>
      <c r="AB586">
        <f t="shared" si="162"/>
        <v>2.1772918134562662</v>
      </c>
    </row>
    <row r="587" spans="12:28" x14ac:dyDescent="0.25">
      <c r="L587">
        <v>583</v>
      </c>
      <c r="M587">
        <f t="shared" si="151"/>
        <v>291.5</v>
      </c>
      <c r="N587">
        <f t="shared" si="163"/>
        <v>224780.85167254912</v>
      </c>
      <c r="O587">
        <f t="shared" si="164"/>
        <v>-410692.80804973783</v>
      </c>
      <c r="P587">
        <f t="shared" si="165"/>
        <v>951.57984252949063</v>
      </c>
      <c r="Q587">
        <f t="shared" si="166"/>
        <v>-3752.7149483929684</v>
      </c>
      <c r="R587">
        <f t="shared" si="152"/>
        <v>-10.232337157891637</v>
      </c>
      <c r="S587">
        <f t="shared" si="153"/>
        <v>20.265992487036122</v>
      </c>
      <c r="T587">
        <f t="shared" si="154"/>
        <v>463395.84361106512</v>
      </c>
      <c r="U587">
        <f t="shared" si="155"/>
        <v>486723.84787506767</v>
      </c>
      <c r="V587">
        <f t="shared" si="156"/>
        <v>457571.89395509061</v>
      </c>
      <c r="W587">
        <f t="shared" si="157"/>
        <v>-8.5962533061121977</v>
      </c>
      <c r="X587">
        <f t="shared" si="158"/>
        <v>-0.38114267476086605</v>
      </c>
      <c r="Y587">
        <f t="shared" si="159"/>
        <v>-1.2549411770185732</v>
      </c>
      <c r="Z587">
        <f t="shared" si="160"/>
        <v>17.449877009197127</v>
      </c>
      <c r="AA587">
        <f t="shared" si="161"/>
        <v>0.6550511652244505</v>
      </c>
      <c r="AB587">
        <f t="shared" si="162"/>
        <v>2.1610643126145463</v>
      </c>
    </row>
    <row r="588" spans="12:28" x14ac:dyDescent="0.25">
      <c r="L588">
        <v>584</v>
      </c>
      <c r="M588">
        <f t="shared" si="151"/>
        <v>292</v>
      </c>
      <c r="N588">
        <f t="shared" si="163"/>
        <v>225255.36255166912</v>
      </c>
      <c r="O588">
        <f t="shared" si="164"/>
        <v>-412566.63227487344</v>
      </c>
      <c r="P588">
        <f t="shared" si="165"/>
        <v>946.46367395054483</v>
      </c>
      <c r="Q588">
        <f t="shared" si="166"/>
        <v>-3742.5819521494504</v>
      </c>
      <c r="R588">
        <f t="shared" si="152"/>
        <v>-10.131627249331546</v>
      </c>
      <c r="S588">
        <f t="shared" si="153"/>
        <v>20.111651626869673</v>
      </c>
      <c r="T588">
        <f t="shared" si="154"/>
        <v>465286.63879977952</v>
      </c>
      <c r="U588">
        <f t="shared" si="155"/>
        <v>488582.38974862651</v>
      </c>
      <c r="V588">
        <f t="shared" si="156"/>
        <v>459430.90784380736</v>
      </c>
      <c r="W588">
        <f t="shared" si="157"/>
        <v>-8.5117498937396174</v>
      </c>
      <c r="X588">
        <f t="shared" si="158"/>
        <v>-0.37754099848326356</v>
      </c>
      <c r="Y588">
        <f t="shared" si="159"/>
        <v>-1.2423363571086641</v>
      </c>
      <c r="Z588">
        <f t="shared" si="160"/>
        <v>17.316101726697426</v>
      </c>
      <c r="AA588">
        <f t="shared" si="161"/>
        <v>0.65049027517657454</v>
      </c>
      <c r="AB588">
        <f t="shared" si="162"/>
        <v>2.1450596249956728</v>
      </c>
    </row>
    <row r="589" spans="12:28" x14ac:dyDescent="0.25">
      <c r="L589">
        <v>585</v>
      </c>
      <c r="M589">
        <f t="shared" si="151"/>
        <v>292.5</v>
      </c>
      <c r="N589">
        <f t="shared" si="163"/>
        <v>225727.32793523822</v>
      </c>
      <c r="O589">
        <f t="shared" si="164"/>
        <v>-414435.40929449478</v>
      </c>
      <c r="P589">
        <f t="shared" si="165"/>
        <v>941.39786032587904</v>
      </c>
      <c r="Q589">
        <f t="shared" si="166"/>
        <v>-3732.5261263360157</v>
      </c>
      <c r="R589">
        <f t="shared" si="152"/>
        <v>-10.03256564538693</v>
      </c>
      <c r="S589">
        <f t="shared" si="153"/>
        <v>19.959492560580053</v>
      </c>
      <c r="T589">
        <f t="shared" si="154"/>
        <v>467172.12676851067</v>
      </c>
      <c r="U589">
        <f t="shared" si="155"/>
        <v>490435.86365311558</v>
      </c>
      <c r="V589">
        <f t="shared" si="156"/>
        <v>461284.88600256079</v>
      </c>
      <c r="W589">
        <f t="shared" si="157"/>
        <v>-8.4286298104491717</v>
      </c>
      <c r="X589">
        <f t="shared" si="158"/>
        <v>-0.37399589907635256</v>
      </c>
      <c r="Y589">
        <f t="shared" si="159"/>
        <v>-1.2299399358614058</v>
      </c>
      <c r="Z589">
        <f t="shared" si="160"/>
        <v>17.184230358790302</v>
      </c>
      <c r="AA589">
        <f t="shared" si="161"/>
        <v>0.64598880325093377</v>
      </c>
      <c r="AB589">
        <f t="shared" si="162"/>
        <v>2.1292733985388188</v>
      </c>
    </row>
    <row r="590" spans="12:28" x14ac:dyDescent="0.25">
      <c r="L590">
        <v>586</v>
      </c>
      <c r="M590">
        <f t="shared" si="151"/>
        <v>293</v>
      </c>
      <c r="N590">
        <f t="shared" si="163"/>
        <v>226196.77279469548</v>
      </c>
      <c r="O590">
        <f t="shared" si="164"/>
        <v>-416299.17742109275</v>
      </c>
      <c r="P590">
        <f t="shared" si="165"/>
        <v>936.38157750318555</v>
      </c>
      <c r="Q590">
        <f t="shared" si="166"/>
        <v>-3722.5463800557259</v>
      </c>
      <c r="R590">
        <f t="shared" si="152"/>
        <v>-9.9351150292685713</v>
      </c>
      <c r="S590">
        <f t="shared" si="153"/>
        <v>19.809471122770166</v>
      </c>
      <c r="T590">
        <f t="shared" si="154"/>
        <v>469052.34889789933</v>
      </c>
      <c r="U590">
        <f t="shared" si="155"/>
        <v>492284.30769670411</v>
      </c>
      <c r="V590">
        <f t="shared" si="156"/>
        <v>463133.86569060973</v>
      </c>
      <c r="W590">
        <f t="shared" si="157"/>
        <v>-8.3468617051745326</v>
      </c>
      <c r="X590">
        <f t="shared" si="158"/>
        <v>-0.37050614771421103</v>
      </c>
      <c r="Y590">
        <f t="shared" si="159"/>
        <v>-1.217747176379828</v>
      </c>
      <c r="Z590">
        <f t="shared" si="160"/>
        <v>17.054224092726027</v>
      </c>
      <c r="AA590">
        <f t="shared" si="161"/>
        <v>0.64154563931566344</v>
      </c>
      <c r="AB590">
        <f t="shared" si="162"/>
        <v>2.1137013907284756</v>
      </c>
    </row>
    <row r="591" spans="12:28" x14ac:dyDescent="0.25">
      <c r="L591">
        <v>587</v>
      </c>
      <c r="M591">
        <f t="shared" si="151"/>
        <v>293.5</v>
      </c>
      <c r="N591">
        <f t="shared" si="163"/>
        <v>226663.7216940684</v>
      </c>
      <c r="O591">
        <f t="shared" si="164"/>
        <v>-418157.97442723025</v>
      </c>
      <c r="P591">
        <f t="shared" si="165"/>
        <v>931.41401998855122</v>
      </c>
      <c r="Q591">
        <f t="shared" si="166"/>
        <v>-3712.6416444943407</v>
      </c>
      <c r="R591">
        <f t="shared" si="152"/>
        <v>-9.8392391586139958</v>
      </c>
      <c r="S591">
        <f t="shared" si="153"/>
        <v>19.661544307363695</v>
      </c>
      <c r="T591">
        <f t="shared" si="154"/>
        <v>470927.34597366484</v>
      </c>
      <c r="U591">
        <f t="shared" si="155"/>
        <v>494127.75945659803</v>
      </c>
      <c r="V591">
        <f t="shared" si="156"/>
        <v>464977.88366051781</v>
      </c>
      <c r="W591">
        <f t="shared" si="157"/>
        <v>-8.2664151309863616</v>
      </c>
      <c r="X591">
        <f t="shared" si="158"/>
        <v>-0.36707054951508883</v>
      </c>
      <c r="Y591">
        <f t="shared" si="159"/>
        <v>-1.2057534781125439</v>
      </c>
      <c r="Z591">
        <f t="shared" si="160"/>
        <v>16.926045141977109</v>
      </c>
      <c r="AA591">
        <f t="shared" si="161"/>
        <v>0.63715970014916923</v>
      </c>
      <c r="AB591">
        <f t="shared" si="162"/>
        <v>2.0983394652374154</v>
      </c>
    </row>
    <row r="592" spans="12:28" x14ac:dyDescent="0.25">
      <c r="L592">
        <v>588</v>
      </c>
      <c r="M592">
        <f t="shared" si="151"/>
        <v>294</v>
      </c>
      <c r="N592">
        <f t="shared" si="163"/>
        <v>227128.19879916785</v>
      </c>
      <c r="O592">
        <f t="shared" si="164"/>
        <v>-420011.83755643904</v>
      </c>
      <c r="P592">
        <f t="shared" si="165"/>
        <v>926.49440040924424</v>
      </c>
      <c r="Q592">
        <f t="shared" si="166"/>
        <v>-3702.810872340659</v>
      </c>
      <c r="R592">
        <f t="shared" si="152"/>
        <v>-9.7449028280487635</v>
      </c>
      <c r="S592">
        <f t="shared" si="153"/>
        <v>19.515670230319788</v>
      </c>
      <c r="T592">
        <f t="shared" si="154"/>
        <v>472797.15819882898</v>
      </c>
      <c r="U592">
        <f t="shared" si="155"/>
        <v>495966.25598964526</v>
      </c>
      <c r="V592">
        <f t="shared" si="156"/>
        <v>466816.97616795101</v>
      </c>
      <c r="W592">
        <f t="shared" si="157"/>
        <v>-8.1872605135227978</v>
      </c>
      <c r="X592">
        <f t="shared" si="158"/>
        <v>-0.363687942406342</v>
      </c>
      <c r="Y592">
        <f t="shared" si="159"/>
        <v>-1.1939543721196244</v>
      </c>
      <c r="Z592">
        <f t="shared" si="160"/>
        <v>16.79965671298822</v>
      </c>
      <c r="AA592">
        <f t="shared" si="161"/>
        <v>0.63282992864106169</v>
      </c>
      <c r="AB592">
        <f t="shared" si="162"/>
        <v>2.0831835886905052</v>
      </c>
    </row>
    <row r="593" spans="12:28" x14ac:dyDescent="0.25">
      <c r="L593">
        <v>589</v>
      </c>
      <c r="M593">
        <f t="shared" ref="M593:M656" si="167">L593*$D$5</f>
        <v>294.5</v>
      </c>
      <c r="N593">
        <f t="shared" si="163"/>
        <v>227590.22788651896</v>
      </c>
      <c r="O593">
        <f t="shared" si="164"/>
        <v>-421860.80353383062</v>
      </c>
      <c r="P593">
        <f t="shared" si="165"/>
        <v>921.6219489952199</v>
      </c>
      <c r="Q593">
        <f t="shared" si="166"/>
        <v>-3693.0530372254989</v>
      </c>
      <c r="R593">
        <f t="shared" si="152"/>
        <v>-9.652071833275814</v>
      </c>
      <c r="S593">
        <f t="shared" si="153"/>
        <v>19.371808093764489</v>
      </c>
      <c r="T593">
        <f t="shared" si="154"/>
        <v>474661.82520561351</v>
      </c>
      <c r="U593">
        <f t="shared" si="155"/>
        <v>497799.83384266437</v>
      </c>
      <c r="V593">
        <f t="shared" si="156"/>
        <v>468651.17898123024</v>
      </c>
      <c r="W593">
        <f t="shared" si="157"/>
        <v>-8.109369120711591</v>
      </c>
      <c r="X593">
        <f t="shared" si="158"/>
        <v>-0.36035719603382005</v>
      </c>
      <c r="Y593">
        <f t="shared" si="159"/>
        <v>-1.1823455165304029</v>
      </c>
      <c r="Z593">
        <f t="shared" si="160"/>
        <v>16.675022973199308</v>
      </c>
      <c r="AA593">
        <f t="shared" si="161"/>
        <v>0.62855529302106683</v>
      </c>
      <c r="AB593">
        <f t="shared" si="162"/>
        <v>2.068229827544116</v>
      </c>
    </row>
    <row r="594" spans="12:28" x14ac:dyDescent="0.25">
      <c r="L594">
        <v>590</v>
      </c>
      <c r="M594">
        <f t="shared" si="167"/>
        <v>295</v>
      </c>
      <c r="N594">
        <f t="shared" si="163"/>
        <v>228049.8323520374</v>
      </c>
      <c r="O594">
        <f t="shared" si="164"/>
        <v>-423704.90857643163</v>
      </c>
      <c r="P594">
        <f t="shared" si="165"/>
        <v>916.79591307858198</v>
      </c>
      <c r="Q594">
        <f t="shared" si="166"/>
        <v>-3683.3671331786168</v>
      </c>
      <c r="R594">
        <f t="shared" si="152"/>
        <v>-9.5607129366210355</v>
      </c>
      <c r="S594">
        <f t="shared" si="153"/>
        <v>19.229918151476088</v>
      </c>
      <c r="T594">
        <f t="shared" si="154"/>
        <v>476521.38606702373</v>
      </c>
      <c r="U594">
        <f t="shared" si="155"/>
        <v>499628.52906250738</v>
      </c>
      <c r="V594">
        <f t="shared" si="156"/>
        <v>470480.5273906478</v>
      </c>
      <c r="W594">
        <f t="shared" si="157"/>
        <v>-8.0327130337228763</v>
      </c>
      <c r="X594">
        <f t="shared" si="158"/>
        <v>-0.35707721071373011</v>
      </c>
      <c r="Y594">
        <f t="shared" si="159"/>
        <v>-1.1709226921844305</v>
      </c>
      <c r="Z594">
        <f t="shared" si="160"/>
        <v>16.552109020284689</v>
      </c>
      <c r="AA594">
        <f t="shared" si="161"/>
        <v>0.62433478611481719</v>
      </c>
      <c r="AB594">
        <f t="shared" si="162"/>
        <v>2.0534743450765807</v>
      </c>
    </row>
    <row r="595" spans="12:28" x14ac:dyDescent="0.25">
      <c r="L595">
        <v>591</v>
      </c>
      <c r="M595">
        <f t="shared" si="167"/>
        <v>295.5</v>
      </c>
      <c r="N595">
        <f t="shared" si="163"/>
        <v>228507.03521945962</v>
      </c>
      <c r="O595">
        <f t="shared" si="164"/>
        <v>-425544.18840325199</v>
      </c>
      <c r="P595">
        <f t="shared" si="165"/>
        <v>912.01555661027146</v>
      </c>
      <c r="Q595">
        <f t="shared" si="166"/>
        <v>-3673.7521741028786</v>
      </c>
      <c r="R595">
        <f t="shared" si="152"/>
        <v>-9.4707938339679316</v>
      </c>
      <c r="S595">
        <f t="shared" si="153"/>
        <v>19.089961675666284</v>
      </c>
      <c r="T595">
        <f t="shared" si="154"/>
        <v>478375.87930812722</v>
      </c>
      <c r="U595">
        <f t="shared" si="155"/>
        <v>501452.37720586511</v>
      </c>
      <c r="V595">
        <f t="shared" si="156"/>
        <v>472305.05621755397</v>
      </c>
      <c r="W595">
        <f t="shared" si="157"/>
        <v>-7.95726511909574</v>
      </c>
      <c r="X595">
        <f t="shared" si="158"/>
        <v>-0.35384691642509869</v>
      </c>
      <c r="Y595">
        <f t="shared" si="159"/>
        <v>-1.1596817984470915</v>
      </c>
      <c r="Z595">
        <f t="shared" si="160"/>
        <v>16.430880852555731</v>
      </c>
      <c r="AA595">
        <f t="shared" si="161"/>
        <v>0.62016742462546881</v>
      </c>
      <c r="AB595">
        <f t="shared" si="162"/>
        <v>2.0389133984850853</v>
      </c>
    </row>
    <row r="596" spans="12:28" x14ac:dyDescent="0.25">
      <c r="L596">
        <v>592</v>
      </c>
      <c r="M596">
        <f t="shared" si="167"/>
        <v>296</v>
      </c>
      <c r="N596">
        <f t="shared" si="163"/>
        <v>228961.8591485355</v>
      </c>
      <c r="O596">
        <f t="shared" si="164"/>
        <v>-427378.67824509402</v>
      </c>
      <c r="P596">
        <f t="shared" si="165"/>
        <v>907.28015969328749</v>
      </c>
      <c r="Q596">
        <f t="shared" si="166"/>
        <v>-3664.2071932650456</v>
      </c>
      <c r="R596">
        <f t="shared" si="152"/>
        <v>-9.3822831230168688</v>
      </c>
      <c r="S596">
        <f t="shared" si="153"/>
        <v>18.951900925000366</v>
      </c>
      <c r="T596">
        <f t="shared" si="154"/>
        <v>480225.34291703819</v>
      </c>
      <c r="U596">
        <f t="shared" si="155"/>
        <v>503271.41334882186</v>
      </c>
      <c r="V596">
        <f t="shared" si="156"/>
        <v>474124.79982322158</v>
      </c>
      <c r="W596">
        <f t="shared" si="157"/>
        <v>-7.8829990019838672</v>
      </c>
      <c r="X596">
        <f t="shared" si="158"/>
        <v>-0.35066527184099777</v>
      </c>
      <c r="Y596">
        <f t="shared" si="159"/>
        <v>-1.1486188491920044</v>
      </c>
      <c r="Z596">
        <f t="shared" si="160"/>
        <v>16.311305340475418</v>
      </c>
      <c r="AA596">
        <f t="shared" si="161"/>
        <v>0.61605224844005757</v>
      </c>
      <c r="AB596">
        <f t="shared" si="162"/>
        <v>2.0245433360848923</v>
      </c>
    </row>
    <row r="597" spans="12:28" x14ac:dyDescent="0.25">
      <c r="L597">
        <v>593</v>
      </c>
      <c r="M597">
        <f t="shared" si="167"/>
        <v>296.5</v>
      </c>
      <c r="N597">
        <f t="shared" si="163"/>
        <v>229414.32644299176</v>
      </c>
      <c r="O597">
        <f t="shared" si="164"/>
        <v>-429208.41285411094</v>
      </c>
      <c r="P597">
        <f t="shared" si="165"/>
        <v>902.58901813177908</v>
      </c>
      <c r="Q597">
        <f t="shared" si="166"/>
        <v>-3654.7312428025452</v>
      </c>
      <c r="R597">
        <f t="shared" si="152"/>
        <v>-9.2951502728088773</v>
      </c>
      <c r="S597">
        <f t="shared" si="153"/>
        <v>18.815699113804609</v>
      </c>
      <c r="T597">
        <f t="shared" si="154"/>
        <v>482069.81435561588</v>
      </c>
      <c r="U597">
        <f t="shared" si="155"/>
        <v>505085.67209616868</v>
      </c>
      <c r="V597">
        <f t="shared" si="156"/>
        <v>475939.79211749369</v>
      </c>
      <c r="W597">
        <f t="shared" si="157"/>
        <v>-7.8098890404696171</v>
      </c>
      <c r="X597">
        <f t="shared" si="158"/>
        <v>-0.34753126339685297</v>
      </c>
      <c r="Y597">
        <f t="shared" si="159"/>
        <v>-1.1377299689424079</v>
      </c>
      <c r="Z597">
        <f t="shared" si="160"/>
        <v>16.193350199238552</v>
      </c>
      <c r="AA597">
        <f t="shared" si="161"/>
        <v>0.61198831995965608</v>
      </c>
      <c r="AB597">
        <f t="shared" si="162"/>
        <v>2.0103605946064</v>
      </c>
    </row>
    <row r="598" spans="12:28" x14ac:dyDescent="0.25">
      <c r="L598">
        <v>594</v>
      </c>
      <c r="M598">
        <f t="shared" si="167"/>
        <v>297</v>
      </c>
      <c r="N598">
        <f t="shared" si="163"/>
        <v>229864.45905827355</v>
      </c>
      <c r="O598">
        <f t="shared" si="164"/>
        <v>-431033.42651312298</v>
      </c>
      <c r="P598">
        <f t="shared" si="165"/>
        <v>897.9414429953747</v>
      </c>
      <c r="Q598">
        <f t="shared" si="166"/>
        <v>-3645.3233932456428</v>
      </c>
      <c r="R598">
        <f t="shared" si="152"/>
        <v>-9.2093655944555994</v>
      </c>
      <c r="S598">
        <f t="shared" si="153"/>
        <v>18.681320382408504</v>
      </c>
      <c r="T598">
        <f t="shared" si="154"/>
        <v>483909.33056988765</v>
      </c>
      <c r="U598">
        <f t="shared" si="155"/>
        <v>506895.18759048195</v>
      </c>
      <c r="V598">
        <f t="shared" si="156"/>
        <v>477750.06656722253</v>
      </c>
      <c r="W598">
        <f t="shared" si="157"/>
        <v>-7.7379103008968375</v>
      </c>
      <c r="X598">
        <f t="shared" si="158"/>
        <v>-0.34444390439420841</v>
      </c>
      <c r="Y598">
        <f t="shared" si="159"/>
        <v>-1.1270113891645546</v>
      </c>
      <c r="Z598">
        <f t="shared" si="160"/>
        <v>16.076983962369614</v>
      </c>
      <c r="AA598">
        <f t="shared" si="161"/>
        <v>0.60797472345239545</v>
      </c>
      <c r="AB598">
        <f t="shared" si="162"/>
        <v>1.9963616965864952</v>
      </c>
    </row>
    <row r="599" spans="12:28" x14ac:dyDescent="0.25">
      <c r="L599">
        <v>595</v>
      </c>
      <c r="M599">
        <f t="shared" si="167"/>
        <v>297.5</v>
      </c>
      <c r="N599">
        <f t="shared" si="163"/>
        <v>230312.27860907195</v>
      </c>
      <c r="O599">
        <f t="shared" si="164"/>
        <v>-432853.75304469804</v>
      </c>
      <c r="P599">
        <f t="shared" si="165"/>
        <v>893.33676019814686</v>
      </c>
      <c r="Q599">
        <f t="shared" si="166"/>
        <v>-3635.9827330544385</v>
      </c>
      <c r="R599">
        <f t="shared" si="152"/>
        <v>-9.1249002130211494</v>
      </c>
      <c r="S599">
        <f t="shared" si="153"/>
        <v>18.54872976857461</v>
      </c>
      <c r="T599">
        <f t="shared" si="154"/>
        <v>485743.92800020397</v>
      </c>
      <c r="U599">
        <f t="shared" si="155"/>
        <v>508699.99352097505</v>
      </c>
      <c r="V599">
        <f t="shared" si="156"/>
        <v>479555.65620450454</v>
      </c>
      <c r="W599">
        <f t="shared" si="157"/>
        <v>-7.6670385341765686</v>
      </c>
      <c r="X599">
        <f t="shared" si="158"/>
        <v>-0.34140223413838278</v>
      </c>
      <c r="Y599">
        <f t="shared" si="159"/>
        <v>-1.1164594447061977</v>
      </c>
      <c r="Z599">
        <f t="shared" si="160"/>
        <v>15.962175956295894</v>
      </c>
      <c r="AA599">
        <f t="shared" si="161"/>
        <v>0.60401056442841228</v>
      </c>
      <c r="AB599">
        <f t="shared" si="162"/>
        <v>1.9825432478503007</v>
      </c>
    </row>
    <row r="600" spans="12:28" x14ac:dyDescent="0.25">
      <c r="L600">
        <v>596</v>
      </c>
      <c r="M600">
        <f t="shared" si="167"/>
        <v>298</v>
      </c>
      <c r="N600">
        <f t="shared" si="163"/>
        <v>230757.80637664441</v>
      </c>
      <c r="O600">
        <f t="shared" si="164"/>
        <v>-434669.42582000419</v>
      </c>
      <c r="P600">
        <f t="shared" si="165"/>
        <v>888.77431009163627</v>
      </c>
      <c r="Q600">
        <f t="shared" si="166"/>
        <v>-3626.7083681701511</v>
      </c>
      <c r="R600">
        <f t="shared" si="152"/>
        <v>-9.0417260405038746</v>
      </c>
      <c r="S600">
        <f t="shared" si="153"/>
        <v>18.417893179969639</v>
      </c>
      <c r="T600">
        <f t="shared" si="154"/>
        <v>487573.64259113447</v>
      </c>
      <c r="U600">
        <f t="shared" si="155"/>
        <v>510500.12313212903</v>
      </c>
      <c r="V600">
        <f t="shared" si="156"/>
        <v>481356.59363471839</v>
      </c>
      <c r="W600">
        <f t="shared" si="157"/>
        <v>-7.5972501530216565</v>
      </c>
      <c r="X600">
        <f t="shared" si="158"/>
        <v>-0.33840531710858163</v>
      </c>
      <c r="Y600">
        <f t="shared" si="159"/>
        <v>-1.1060705703736371</v>
      </c>
      <c r="Z600">
        <f t="shared" si="160"/>
        <v>15.848896275854061</v>
      </c>
      <c r="AA600">
        <f t="shared" si="161"/>
        <v>0.60009496903592707</v>
      </c>
      <c r="AB600">
        <f t="shared" si="162"/>
        <v>1.9689019350796508</v>
      </c>
    </row>
    <row r="601" spans="12:28" x14ac:dyDescent="0.25">
      <c r="L601">
        <v>597</v>
      </c>
      <c r="M601">
        <f t="shared" si="167"/>
        <v>298.5</v>
      </c>
      <c r="N601">
        <f t="shared" si="163"/>
        <v>231201.06331593517</v>
      </c>
      <c r="O601">
        <f t="shared" si="164"/>
        <v>-436480.47776744177</v>
      </c>
      <c r="P601">
        <f t="shared" si="165"/>
        <v>884.25344707138436</v>
      </c>
      <c r="Q601">
        <f t="shared" si="166"/>
        <v>-3617.4994215801662</v>
      </c>
      <c r="R601">
        <f t="shared" si="152"/>
        <v>-8.9598157498691506</v>
      </c>
      <c r="S601">
        <f t="shared" si="153"/>
        <v>18.288777367634058</v>
      </c>
      <c r="T601">
        <f t="shared" si="154"/>
        <v>489398.50980111322</v>
      </c>
      <c r="U601">
        <f t="shared" si="155"/>
        <v>512295.60923211073</v>
      </c>
      <c r="V601">
        <f t="shared" si="156"/>
        <v>483152.9110443705</v>
      </c>
      <c r="W601">
        <f t="shared" si="157"/>
        <v>-7.5285222100688571</v>
      </c>
      <c r="X601">
        <f t="shared" si="158"/>
        <v>-0.33545224215903335</v>
      </c>
      <c r="Y601">
        <f t="shared" si="159"/>
        <v>-1.0958412976412593</v>
      </c>
      <c r="Z601">
        <f t="shared" si="160"/>
        <v>15.737115760691447</v>
      </c>
      <c r="AA601">
        <f t="shared" si="161"/>
        <v>0.59622708347757136</v>
      </c>
      <c r="AB601">
        <f t="shared" si="162"/>
        <v>1.9554345234650394</v>
      </c>
    </row>
    <row r="602" spans="12:28" x14ac:dyDescent="0.25">
      <c r="L602">
        <v>598</v>
      </c>
      <c r="M602">
        <f t="shared" si="167"/>
        <v>299</v>
      </c>
      <c r="N602">
        <f t="shared" si="163"/>
        <v>231642.07006250211</v>
      </c>
      <c r="O602">
        <f t="shared" si="164"/>
        <v>-438286.94138106087</v>
      </c>
      <c r="P602">
        <f t="shared" si="165"/>
        <v>879.77353919644975</v>
      </c>
      <c r="Q602">
        <f t="shared" si="166"/>
        <v>-3608.3550328963493</v>
      </c>
      <c r="R602">
        <f t="shared" si="152"/>
        <v>-8.8791427500858138</v>
      </c>
      <c r="S602">
        <f t="shared" si="153"/>
        <v>18.161349900407089</v>
      </c>
      <c r="T602">
        <f t="shared" si="154"/>
        <v>491218.56461184076</v>
      </c>
      <c r="U602">
        <f t="shared" si="155"/>
        <v>514086.48420098337</v>
      </c>
      <c r="V602">
        <f t="shared" si="156"/>
        <v>484944.64020875603</v>
      </c>
      <c r="W602">
        <f t="shared" si="157"/>
        <v>-7.4608323768484039</v>
      </c>
      <c r="X602">
        <f t="shared" si="158"/>
        <v>-0.33254212174983394</v>
      </c>
      <c r="Y602">
        <f t="shared" si="159"/>
        <v>-1.0857682514875755</v>
      </c>
      <c r="Z602">
        <f t="shared" si="160"/>
        <v>15.626805972523378</v>
      </c>
      <c r="AA602">
        <f t="shared" si="161"/>
        <v>0.59240607344620377</v>
      </c>
      <c r="AB602">
        <f t="shared" si="162"/>
        <v>1.9421378544375081</v>
      </c>
    </row>
    <row r="603" spans="12:28" x14ac:dyDescent="0.25">
      <c r="L603">
        <v>599</v>
      </c>
      <c r="M603">
        <f t="shared" si="167"/>
        <v>299.5</v>
      </c>
      <c r="N603">
        <f t="shared" si="163"/>
        <v>232080.84693925659</v>
      </c>
      <c r="O603">
        <f t="shared" si="164"/>
        <v>-440088.8487287715</v>
      </c>
      <c r="P603">
        <f t="shared" si="165"/>
        <v>875.33396782140687</v>
      </c>
      <c r="Q603">
        <f t="shared" si="166"/>
        <v>-3599.2743579461458</v>
      </c>
      <c r="R603">
        <f t="shared" si="152"/>
        <v>-8.7996811621220719</v>
      </c>
      <c r="S603">
        <f t="shared" si="153"/>
        <v>18.035579140268002</v>
      </c>
      <c r="T603">
        <f t="shared" si="154"/>
        <v>493033.84153745027</v>
      </c>
      <c r="U603">
        <f t="shared" si="155"/>
        <v>515872.7799987162</v>
      </c>
      <c r="V603">
        <f t="shared" si="156"/>
        <v>486731.81249943748</v>
      </c>
      <c r="W603">
        <f t="shared" si="157"/>
        <v>-7.3941589235633574</v>
      </c>
      <c r="X603">
        <f t="shared" si="158"/>
        <v>-0.32967409120626739</v>
      </c>
      <c r="Y603">
        <f t="shared" si="159"/>
        <v>-1.075848147352447</v>
      </c>
      <c r="Z603">
        <f t="shared" si="160"/>
        <v>15.517939173210674</v>
      </c>
      <c r="AA603">
        <f t="shared" si="161"/>
        <v>0.58863112357952507</v>
      </c>
      <c r="AB603">
        <f t="shared" si="162"/>
        <v>1.929008843477803</v>
      </c>
    </row>
    <row r="604" spans="12:28" x14ac:dyDescent="0.25">
      <c r="L604">
        <v>600</v>
      </c>
      <c r="M604">
        <f t="shared" si="167"/>
        <v>300</v>
      </c>
      <c r="N604">
        <f t="shared" si="163"/>
        <v>232517.413963022</v>
      </c>
      <c r="O604">
        <f t="shared" si="164"/>
        <v>-441886.23146035202</v>
      </c>
      <c r="P604">
        <f t="shared" si="165"/>
        <v>870.93412724034579</v>
      </c>
      <c r="Q604">
        <f t="shared" si="166"/>
        <v>-3590.2565683760117</v>
      </c>
      <c r="R604">
        <f t="shared" si="152"/>
        <v>-8.7214057958592495</v>
      </c>
      <c r="S604">
        <f t="shared" si="153"/>
        <v>17.911434218557183</v>
      </c>
      <c r="T604">
        <f t="shared" si="154"/>
        <v>494844.37463344552</v>
      </c>
      <c r="U604">
        <f t="shared" si="155"/>
        <v>517654.5281729998</v>
      </c>
      <c r="V604">
        <f t="shared" si="156"/>
        <v>488514.45889154886</v>
      </c>
      <c r="W604">
        <f t="shared" si="157"/>
        <v>-7.3284806996440359</v>
      </c>
      <c r="X604">
        <f t="shared" si="158"/>
        <v>-0.32684730800533168</v>
      </c>
      <c r="Y604">
        <f t="shared" si="159"/>
        <v>-1.0660777882098826</v>
      </c>
      <c r="Z604">
        <f t="shared" si="160"/>
        <v>15.410488303625302</v>
      </c>
      <c r="AA604">
        <f t="shared" si="161"/>
        <v>0.5849014369326575</v>
      </c>
      <c r="AB604">
        <f t="shared" si="162"/>
        <v>1.9160444779992241</v>
      </c>
    </row>
    <row r="605" spans="12:28" x14ac:dyDescent="0.25">
      <c r="L605">
        <v>601</v>
      </c>
      <c r="M605">
        <f t="shared" si="167"/>
        <v>300.5</v>
      </c>
      <c r="N605">
        <f t="shared" si="163"/>
        <v>232951.79085091769</v>
      </c>
      <c r="O605">
        <f t="shared" si="164"/>
        <v>-443679.12081526266</v>
      </c>
      <c r="P605">
        <f t="shared" si="165"/>
        <v>866.57342434241616</v>
      </c>
      <c r="Q605">
        <f t="shared" si="166"/>
        <v>-3581.3008512667329</v>
      </c>
      <c r="R605">
        <f t="shared" si="152"/>
        <v>-8.6442921278818687</v>
      </c>
      <c r="S605">
        <f t="shared" si="153"/>
        <v>17.788885013037905</v>
      </c>
      <c r="T605">
        <f t="shared" si="154"/>
        <v>496650.19750541734</v>
      </c>
      <c r="U605">
        <f t="shared" si="155"/>
        <v>519431.75986687228</v>
      </c>
      <c r="V605">
        <f t="shared" si="156"/>
        <v>490292.60997092893</v>
      </c>
      <c r="W605">
        <f t="shared" si="157"/>
        <v>-7.2637771150418189</v>
      </c>
      <c r="X605">
        <f t="shared" si="158"/>
        <v>-0.32406095108837352</v>
      </c>
      <c r="Y605">
        <f t="shared" si="159"/>
        <v>-1.0564540617516762</v>
      </c>
      <c r="Z605">
        <f t="shared" si="160"/>
        <v>15.30442696326798</v>
      </c>
      <c r="AA605">
        <f t="shared" si="161"/>
        <v>0.58121623446809356</v>
      </c>
      <c r="AB605">
        <f t="shared" si="162"/>
        <v>1.9032418153018293</v>
      </c>
    </row>
    <row r="606" spans="12:28" x14ac:dyDescent="0.25">
      <c r="L606">
        <v>602</v>
      </c>
      <c r="M606">
        <f t="shared" si="167"/>
        <v>301</v>
      </c>
      <c r="N606">
        <f t="shared" si="163"/>
        <v>233383.99702657294</v>
      </c>
      <c r="O606">
        <f t="shared" si="164"/>
        <v>-445467.54763026937</v>
      </c>
      <c r="P606">
        <f t="shared" si="165"/>
        <v>862.25127827847518</v>
      </c>
      <c r="Q606">
        <f t="shared" si="166"/>
        <v>-3572.4064087602142</v>
      </c>
      <c r="R606">
        <f t="shared" si="152"/>
        <v>-8.5683162801078243</v>
      </c>
      <c r="S606">
        <f t="shared" si="153"/>
        <v>17.667902125768538</v>
      </c>
      <c r="T606">
        <f t="shared" si="154"/>
        <v>498451.34331754537</v>
      </c>
      <c r="U606">
        <f t="shared" si="155"/>
        <v>521204.50582616229</v>
      </c>
      <c r="V606">
        <f t="shared" si="156"/>
        <v>492066.29594108899</v>
      </c>
      <c r="W606">
        <f t="shared" si="157"/>
        <v>-7.2000281222322267</v>
      </c>
      <c r="X606">
        <f t="shared" si="158"/>
        <v>-0.32131422019872985</v>
      </c>
      <c r="Y606">
        <f t="shared" si="159"/>
        <v>-1.0469739376768685</v>
      </c>
      <c r="Z606">
        <f t="shared" si="160"/>
        <v>15.199729390611346</v>
      </c>
      <c r="AA606">
        <f t="shared" si="161"/>
        <v>0.5775747545623412</v>
      </c>
      <c r="AB606">
        <f t="shared" si="162"/>
        <v>1.8905979805948527</v>
      </c>
    </row>
    <row r="607" spans="12:28" x14ac:dyDescent="0.25">
      <c r="L607">
        <v>603</v>
      </c>
      <c r="M607">
        <f t="shared" si="167"/>
        <v>301.5</v>
      </c>
      <c r="N607">
        <f t="shared" si="163"/>
        <v>233814.05162617716</v>
      </c>
      <c r="O607">
        <f t="shared" si="164"/>
        <v>-447251.54234688374</v>
      </c>
      <c r="P607">
        <f t="shared" si="165"/>
        <v>857.96712013842125</v>
      </c>
      <c r="Q607">
        <f t="shared" si="166"/>
        <v>-3563.5724576973298</v>
      </c>
      <c r="R607">
        <f t="shared" si="152"/>
        <v>-8.4934549992202371</v>
      </c>
      <c r="S607">
        <f t="shared" si="153"/>
        <v>17.548456861747823</v>
      </c>
      <c r="T607">
        <f t="shared" si="154"/>
        <v>500247.84480089135</v>
      </c>
      <c r="U607">
        <f t="shared" si="155"/>
        <v>522972.79640675359</v>
      </c>
      <c r="V607">
        <f t="shared" si="156"/>
        <v>493835.54663001955</v>
      </c>
      <c r="W607">
        <f t="shared" si="157"/>
        <v>-7.1372141988942017</v>
      </c>
      <c r="X607">
        <f t="shared" si="158"/>
        <v>-0.31860633524332671</v>
      </c>
      <c r="Y607">
        <f t="shared" si="159"/>
        <v>-1.0376344650827083</v>
      </c>
      <c r="Z607">
        <f t="shared" si="160"/>
        <v>15.096370444134088</v>
      </c>
      <c r="AA607">
        <f t="shared" si="161"/>
        <v>0.57397625252862228</v>
      </c>
      <c r="AB607">
        <f t="shared" si="162"/>
        <v>1.8781101650851133</v>
      </c>
    </row>
    <row r="608" spans="12:28" x14ac:dyDescent="0.25">
      <c r="L608">
        <v>604</v>
      </c>
      <c r="M608">
        <f t="shared" si="167"/>
        <v>302</v>
      </c>
      <c r="N608">
        <f t="shared" si="163"/>
        <v>234241.97350437145</v>
      </c>
      <c r="O608">
        <f t="shared" si="164"/>
        <v>-449031.13501862471</v>
      </c>
      <c r="P608">
        <f t="shared" si="165"/>
        <v>853.72039263881118</v>
      </c>
      <c r="Q608">
        <f t="shared" si="166"/>
        <v>-3554.798229266456</v>
      </c>
      <c r="R608">
        <f t="shared" si="152"/>
        <v>-8.4196856368683264</v>
      </c>
      <c r="S608">
        <f t="shared" si="153"/>
        <v>17.430521208305926</v>
      </c>
      <c r="T608">
        <f t="shared" si="154"/>
        <v>502039.73426149093</v>
      </c>
      <c r="U608">
        <f t="shared" si="155"/>
        <v>524736.66158167797</v>
      </c>
      <c r="V608">
        <f t="shared" si="156"/>
        <v>495600.39149684098</v>
      </c>
      <c r="W608">
        <f t="shared" si="157"/>
        <v>-7.0753163312385743</v>
      </c>
      <c r="X608">
        <f t="shared" si="158"/>
        <v>-0.31593653567723573</v>
      </c>
      <c r="Y608">
        <f t="shared" si="159"/>
        <v>-1.0284327699525164</v>
      </c>
      <c r="Z608">
        <f t="shared" si="160"/>
        <v>14.994325584022473</v>
      </c>
      <c r="AA608">
        <f t="shared" si="161"/>
        <v>0.57042000015501049</v>
      </c>
      <c r="AB608">
        <f t="shared" si="162"/>
        <v>1.865775624128442</v>
      </c>
    </row>
    <row r="609" spans="12:28" x14ac:dyDescent="0.25">
      <c r="L609">
        <v>605</v>
      </c>
      <c r="M609">
        <f t="shared" si="167"/>
        <v>302.5</v>
      </c>
      <c r="N609">
        <f t="shared" si="163"/>
        <v>234667.78123998625</v>
      </c>
      <c r="O609">
        <f t="shared" si="164"/>
        <v>-450806.35531810689</v>
      </c>
      <c r="P609">
        <f t="shared" si="165"/>
        <v>849.51054982037704</v>
      </c>
      <c r="Q609">
        <f t="shared" si="166"/>
        <v>-3546.0829686623028</v>
      </c>
      <c r="R609">
        <f t="shared" si="152"/>
        <v>-8.3469861306034385</v>
      </c>
      <c r="S609">
        <f t="shared" si="153"/>
        <v>17.31406781520916</v>
      </c>
      <c r="T609">
        <f t="shared" si="154"/>
        <v>503827.04358824855</v>
      </c>
      <c r="U609">
        <f t="shared" si="155"/>
        <v>526496.13094803924</v>
      </c>
      <c r="V609">
        <f t="shared" si="156"/>
        <v>497360.85963830119</v>
      </c>
      <c r="W609">
        <f t="shared" si="157"/>
        <v>-7.0143159979565768</v>
      </c>
      <c r="X609">
        <f t="shared" si="158"/>
        <v>-0.31330407991025955</v>
      </c>
      <c r="Y609">
        <f t="shared" si="159"/>
        <v>-1.0193660527366031</v>
      </c>
      <c r="Z609">
        <f t="shared" si="160"/>
        <v>14.893570854509484</v>
      </c>
      <c r="AA609">
        <f t="shared" si="161"/>
        <v>0.5669052852574632</v>
      </c>
      <c r="AB609">
        <f t="shared" si="162"/>
        <v>1.8535916754422137</v>
      </c>
    </row>
    <row r="610" spans="12:28" x14ac:dyDescent="0.25">
      <c r="L610">
        <v>606</v>
      </c>
      <c r="M610">
        <f t="shared" si="167"/>
        <v>303</v>
      </c>
      <c r="N610">
        <f t="shared" si="163"/>
        <v>235091.49314163011</v>
      </c>
      <c r="O610">
        <f t="shared" si="164"/>
        <v>-452577.23254396109</v>
      </c>
      <c r="P610">
        <f t="shared" si="165"/>
        <v>845.33705675507531</v>
      </c>
      <c r="Q610">
        <f t="shared" si="166"/>
        <v>-3537.4259347546981</v>
      </c>
      <c r="R610">
        <f t="shared" si="152"/>
        <v>-8.2753349855189775</v>
      </c>
      <c r="S610">
        <f t="shared" si="153"/>
        <v>17.199069975450048</v>
      </c>
      <c r="T610">
        <f t="shared" si="154"/>
        <v>505609.80426064343</v>
      </c>
      <c r="U610">
        <f t="shared" si="155"/>
        <v>528251.23373377579</v>
      </c>
      <c r="V610">
        <f t="shared" si="156"/>
        <v>499116.979795127</v>
      </c>
      <c r="W610">
        <f t="shared" si="157"/>
        <v>-6.9541951547622425</v>
      </c>
      <c r="X610">
        <f t="shared" si="158"/>
        <v>-0.31070824473464703</v>
      </c>
      <c r="Y610">
        <f t="shared" si="159"/>
        <v>-1.0104315860220883</v>
      </c>
      <c r="Z610">
        <f t="shared" si="160"/>
        <v>14.79408286682655</v>
      </c>
      <c r="AA610">
        <f t="shared" si="161"/>
        <v>0.56343141124720275</v>
      </c>
      <c r="AB610">
        <f t="shared" si="162"/>
        <v>1.8415556973762954</v>
      </c>
    </row>
    <row r="611" spans="12:28" x14ac:dyDescent="0.25">
      <c r="L611">
        <v>607</v>
      </c>
      <c r="M611">
        <f t="shared" si="167"/>
        <v>303.5</v>
      </c>
      <c r="N611">
        <f t="shared" si="163"/>
        <v>235513.12725313447</v>
      </c>
      <c r="O611">
        <f t="shared" si="164"/>
        <v>-454343.79562759149</v>
      </c>
      <c r="P611">
        <f t="shared" si="165"/>
        <v>841.19938926231578</v>
      </c>
      <c r="Q611">
        <f t="shared" si="166"/>
        <v>-3528.8263997669733</v>
      </c>
      <c r="R611">
        <f t="shared" si="152"/>
        <v>-8.2047112565648188</v>
      </c>
      <c r="S611">
        <f t="shared" si="153"/>
        <v>17.085501606696095</v>
      </c>
      <c r="T611">
        <f t="shared" si="154"/>
        <v>507388.04735625011</v>
      </c>
      <c r="U611">
        <f t="shared" si="155"/>
        <v>530001.99880426389</v>
      </c>
      <c r="V611">
        <f t="shared" si="156"/>
        <v>500868.78035823052</v>
      </c>
      <c r="W611">
        <f t="shared" si="157"/>
        <v>-6.8949362195037525</v>
      </c>
      <c r="X611">
        <f t="shared" si="158"/>
        <v>-0.30814832477303639</v>
      </c>
      <c r="Y611">
        <f t="shared" si="159"/>
        <v>-1.0016267122880307</v>
      </c>
      <c r="Z611">
        <f t="shared" si="160"/>
        <v>14.695838782743785</v>
      </c>
      <c r="AA611">
        <f t="shared" si="161"/>
        <v>0.55999769671184363</v>
      </c>
      <c r="AB611">
        <f t="shared" si="162"/>
        <v>1.8296651272404669</v>
      </c>
    </row>
    <row r="612" spans="12:28" x14ac:dyDescent="0.25">
      <c r="L612">
        <v>608</v>
      </c>
      <c r="M612">
        <f t="shared" si="167"/>
        <v>304</v>
      </c>
      <c r="N612">
        <f t="shared" si="163"/>
        <v>235932.70135885855</v>
      </c>
      <c r="O612">
        <f t="shared" si="164"/>
        <v>-456106.07313977415</v>
      </c>
      <c r="P612">
        <f t="shared" si="165"/>
        <v>837.09703363403332</v>
      </c>
      <c r="Q612">
        <f t="shared" si="166"/>
        <v>-3520.2836489636252</v>
      </c>
      <c r="R612">
        <f t="shared" si="152"/>
        <v>-8.135094531507999</v>
      </c>
      <c r="S612">
        <f t="shared" si="153"/>
        <v>16.973337233371691</v>
      </c>
      <c r="T612">
        <f t="shared" si="154"/>
        <v>509161.80355807993</v>
      </c>
      <c r="U612">
        <f t="shared" si="155"/>
        <v>531748.45466876833</v>
      </c>
      <c r="V612">
        <f t="shared" si="156"/>
        <v>502616.28937477613</v>
      </c>
      <c r="W612">
        <f t="shared" si="157"/>
        <v>-6.8365220578199333</v>
      </c>
      <c r="X612">
        <f t="shared" si="158"/>
        <v>-0.30562363194586523</v>
      </c>
      <c r="Y612">
        <f t="shared" si="159"/>
        <v>-0.99294884174220022</v>
      </c>
      <c r="Z612">
        <f t="shared" si="160"/>
        <v>14.598816298675795</v>
      </c>
      <c r="AA612">
        <f t="shared" si="161"/>
        <v>0.55660347500986573</v>
      </c>
      <c r="AB612">
        <f t="shared" si="162"/>
        <v>1.8179174596860299</v>
      </c>
    </row>
    <row r="613" spans="12:28" x14ac:dyDescent="0.25">
      <c r="L613">
        <v>609</v>
      </c>
      <c r="M613">
        <f t="shared" si="167"/>
        <v>304.5</v>
      </c>
      <c r="N613">
        <f t="shared" si="163"/>
        <v>236350.23298885912</v>
      </c>
      <c r="O613">
        <f t="shared" si="164"/>
        <v>-457864.09329710179</v>
      </c>
      <c r="P613">
        <f t="shared" si="165"/>
        <v>833.02948636827932</v>
      </c>
      <c r="Q613">
        <f t="shared" si="166"/>
        <v>-3511.7969803469396</v>
      </c>
      <c r="R613">
        <f t="shared" si="152"/>
        <v>-8.0664649145118208</v>
      </c>
      <c r="S613">
        <f t="shared" si="153"/>
        <v>16.862551969346462</v>
      </c>
      <c r="T613">
        <f t="shared" si="154"/>
        <v>510931.10316174896</v>
      </c>
      <c r="U613">
        <f t="shared" si="155"/>
        <v>533490.62948674324</v>
      </c>
      <c r="V613">
        <f t="shared" si="156"/>
        <v>504359.53455411218</v>
      </c>
      <c r="W613">
        <f t="shared" si="157"/>
        <v>-6.7789359693182067</v>
      </c>
      <c r="X613">
        <f t="shared" si="158"/>
        <v>-0.30313349495742348</v>
      </c>
      <c r="Y613">
        <f t="shared" si="159"/>
        <v>-0.98439545023619124</v>
      </c>
      <c r="Z613">
        <f t="shared" si="160"/>
        <v>14.502993630328827</v>
      </c>
      <c r="AA613">
        <f t="shared" si="161"/>
        <v>0.5532480938778791</v>
      </c>
      <c r="AB613">
        <f t="shared" si="162"/>
        <v>1.806310245139755</v>
      </c>
    </row>
    <row r="614" spans="12:28" x14ac:dyDescent="0.25">
      <c r="L614">
        <v>610</v>
      </c>
      <c r="M614">
        <f t="shared" si="167"/>
        <v>305</v>
      </c>
      <c r="N614">
        <f t="shared" si="163"/>
        <v>236765.73942392896</v>
      </c>
      <c r="O614">
        <f t="shared" si="164"/>
        <v>-459617.88396827906</v>
      </c>
      <c r="P614">
        <f t="shared" si="165"/>
        <v>828.99625391102336</v>
      </c>
      <c r="Q614">
        <f t="shared" si="166"/>
        <v>-3503.3657043622661</v>
      </c>
      <c r="R614">
        <f t="shared" si="152"/>
        <v>-7.9988030103085608</v>
      </c>
      <c r="S614">
        <f t="shared" si="153"/>
        <v>16.753121501208302</v>
      </c>
      <c r="T614">
        <f t="shared" si="154"/>
        <v>512695.97608247708</v>
      </c>
      <c r="U614">
        <f t="shared" si="155"/>
        <v>535228.55107398843</v>
      </c>
      <c r="V614">
        <f t="shared" si="156"/>
        <v>506098.54327356961</v>
      </c>
      <c r="W614">
        <f t="shared" si="157"/>
        <v>-6.7221616742531873</v>
      </c>
      <c r="X614">
        <f t="shared" si="158"/>
        <v>-0.30067725879980223</v>
      </c>
      <c r="Y614">
        <f t="shared" si="159"/>
        <v>-0.97596407725557133</v>
      </c>
      <c r="Z614">
        <f t="shared" si="160"/>
        <v>14.408349497869972</v>
      </c>
      <c r="AA614">
        <f t="shared" si="161"/>
        <v>0.54993091505021274</v>
      </c>
      <c r="AB614">
        <f t="shared" si="162"/>
        <v>1.7948410882881178</v>
      </c>
    </row>
    <row r="615" spans="12:28" x14ac:dyDescent="0.25">
      <c r="L615">
        <v>611</v>
      </c>
      <c r="M615">
        <f t="shared" si="167"/>
        <v>305.5</v>
      </c>
      <c r="N615">
        <f t="shared" si="163"/>
        <v>237179.23770050818</v>
      </c>
      <c r="O615">
        <f t="shared" si="164"/>
        <v>-461367.47268027253</v>
      </c>
      <c r="P615">
        <f t="shared" si="165"/>
        <v>824.99685240586905</v>
      </c>
      <c r="Q615">
        <f t="shared" si="166"/>
        <v>-3494.9891436116618</v>
      </c>
      <c r="R615">
        <f t="shared" si="152"/>
        <v>-7.9320899089407337</v>
      </c>
      <c r="S615">
        <f t="shared" si="153"/>
        <v>16.645022072097412</v>
      </c>
      <c r="T615">
        <f t="shared" si="154"/>
        <v>514456.45186192251</v>
      </c>
      <c r="U615">
        <f t="shared" si="155"/>
        <v>536962.24690866482</v>
      </c>
      <c r="V615">
        <f t="shared" si="156"/>
        <v>507833.34258413268</v>
      </c>
      <c r="W615">
        <f t="shared" si="157"/>
        <v>-6.6661833006847244</v>
      </c>
      <c r="X615">
        <f t="shared" si="158"/>
        <v>-0.29825428427404083</v>
      </c>
      <c r="Y615">
        <f t="shared" si="159"/>
        <v>-0.96765232398196821</v>
      </c>
      <c r="Z615">
        <f t="shared" si="160"/>
        <v>14.314863111597052</v>
      </c>
      <c r="AA615">
        <f t="shared" si="161"/>
        <v>0.5466513138904151</v>
      </c>
      <c r="AB615">
        <f t="shared" si="162"/>
        <v>1.7835076466099433</v>
      </c>
    </row>
    <row r="616" spans="12:28" x14ac:dyDescent="0.25">
      <c r="L616">
        <v>612</v>
      </c>
      <c r="M616">
        <f t="shared" si="167"/>
        <v>306</v>
      </c>
      <c r="N616">
        <f t="shared" si="163"/>
        <v>237590.7446154725</v>
      </c>
      <c r="O616">
        <f t="shared" si="164"/>
        <v>-463112.88662431936</v>
      </c>
      <c r="P616">
        <f t="shared" si="165"/>
        <v>821.03080745139869</v>
      </c>
      <c r="Q616">
        <f t="shared" si="166"/>
        <v>-3486.6666325756132</v>
      </c>
      <c r="R616">
        <f t="shared" si="152"/>
        <v>-7.8663071710476453</v>
      </c>
      <c r="S616">
        <f t="shared" si="153"/>
        <v>16.538230466079757</v>
      </c>
      <c r="T616">
        <f t="shared" si="154"/>
        <v>516212.55967485782</v>
      </c>
      <c r="U616">
        <f t="shared" si="155"/>
        <v>538691.74413717317</v>
      </c>
      <c r="V616">
        <f t="shared" si="156"/>
        <v>509563.95921598451</v>
      </c>
      <c r="W616">
        <f t="shared" si="157"/>
        <v>-6.6109853720956444</v>
      </c>
      <c r="X616">
        <f t="shared" si="158"/>
        <v>-0.29586394752778361</v>
      </c>
      <c r="Y616">
        <f t="shared" si="159"/>
        <v>-0.95945785142421669</v>
      </c>
      <c r="Z616">
        <f t="shared" si="160"/>
        <v>14.222514158089719</v>
      </c>
      <c r="AA616">
        <f t="shared" si="161"/>
        <v>0.54340867903422319</v>
      </c>
      <c r="AB616">
        <f t="shared" si="162"/>
        <v>1.7723076289558122</v>
      </c>
    </row>
    <row r="617" spans="12:28" x14ac:dyDescent="0.25">
      <c r="L617">
        <v>613</v>
      </c>
      <c r="M617">
        <f t="shared" si="167"/>
        <v>306.5</v>
      </c>
      <c r="N617">
        <f t="shared" si="163"/>
        <v>238000.27673080182</v>
      </c>
      <c r="O617">
        <f t="shared" si="164"/>
        <v>-464854.15266179887</v>
      </c>
      <c r="P617">
        <f t="shared" si="165"/>
        <v>817.09765386587492</v>
      </c>
      <c r="Q617">
        <f t="shared" si="166"/>
        <v>-3478.3975173425733</v>
      </c>
      <c r="R617">
        <f t="shared" si="152"/>
        <v>-7.8014368136750729</v>
      </c>
      <c r="S617">
        <f t="shared" si="153"/>
        <v>16.432723993039691</v>
      </c>
      <c r="T617">
        <f t="shared" si="154"/>
        <v>517964.32833569066</v>
      </c>
      <c r="U617">
        <f t="shared" si="155"/>
        <v>540417.06957989896</v>
      </c>
      <c r="V617">
        <f t="shared" si="156"/>
        <v>511290.41958393011</v>
      </c>
      <c r="W617">
        <f t="shared" si="157"/>
        <v>-6.5565527954505516</v>
      </c>
      <c r="X617">
        <f t="shared" si="158"/>
        <v>-0.29350563960878895</v>
      </c>
      <c r="Y617">
        <f t="shared" si="159"/>
        <v>-0.95137837861573249</v>
      </c>
      <c r="Z617">
        <f t="shared" si="160"/>
        <v>14.131282786823629</v>
      </c>
      <c r="AA617">
        <f t="shared" si="161"/>
        <v>0.54020241204358199</v>
      </c>
      <c r="AB617">
        <f t="shared" si="162"/>
        <v>1.7612387941724803</v>
      </c>
    </row>
    <row r="618" spans="12:28" x14ac:dyDescent="0.25">
      <c r="L618">
        <v>614</v>
      </c>
      <c r="M618">
        <f t="shared" si="167"/>
        <v>307</v>
      </c>
      <c r="N618">
        <f t="shared" si="163"/>
        <v>238407.85037813304</v>
      </c>
      <c r="O618">
        <f t="shared" si="164"/>
        <v>-466591.29732997104</v>
      </c>
      <c r="P618">
        <f t="shared" si="165"/>
        <v>813.19693545903738</v>
      </c>
      <c r="Q618">
        <f t="shared" si="166"/>
        <v>-3470.1811553460534</v>
      </c>
      <c r="R618">
        <f t="shared" si="152"/>
        <v>-7.7374612965861918</v>
      </c>
      <c r="S618">
        <f t="shared" si="153"/>
        <v>16.328480474070556</v>
      </c>
      <c r="T618">
        <f t="shared" si="154"/>
        <v>519711.78630483459</v>
      </c>
      <c r="U618">
        <f t="shared" si="155"/>
        <v>542138.24973682908</v>
      </c>
      <c r="V618">
        <f t="shared" si="156"/>
        <v>513012.74979270244</v>
      </c>
      <c r="W618">
        <f t="shared" si="157"/>
        <v>-6.5028708496772021</v>
      </c>
      <c r="X618">
        <f t="shared" si="158"/>
        <v>-0.29117876603366766</v>
      </c>
      <c r="Y618">
        <f t="shared" si="159"/>
        <v>-0.94341168087532201</v>
      </c>
      <c r="Z618">
        <f t="shared" si="160"/>
        <v>14.041149597228763</v>
      </c>
      <c r="AA618">
        <f t="shared" si="161"/>
        <v>0.53703192707131875</v>
      </c>
      <c r="AB618">
        <f t="shared" si="162"/>
        <v>1.7502989497704755</v>
      </c>
    </row>
    <row r="619" spans="12:28" x14ac:dyDescent="0.25">
      <c r="L619">
        <v>615</v>
      </c>
      <c r="M619">
        <f t="shared" si="167"/>
        <v>307.5</v>
      </c>
      <c r="N619">
        <f t="shared" si="163"/>
        <v>238813.48166320048</v>
      </c>
      <c r="O619">
        <f t="shared" si="164"/>
        <v>-468324.34684758482</v>
      </c>
      <c r="P619">
        <f t="shared" si="165"/>
        <v>809.3282048107443</v>
      </c>
      <c r="Q619">
        <f t="shared" si="166"/>
        <v>-3462.0169151090181</v>
      </c>
      <c r="R619">
        <f t="shared" si="152"/>
        <v>-7.6743635090544196</v>
      </c>
      <c r="S619">
        <f t="shared" si="153"/>
        <v>16.225478227346343</v>
      </c>
      <c r="T619">
        <f t="shared" si="154"/>
        <v>521454.96169493347</v>
      </c>
      <c r="U619">
        <f t="shared" si="155"/>
        <v>543855.31079304218</v>
      </c>
      <c r="V619">
        <f t="shared" si="156"/>
        <v>514730.97564215149</v>
      </c>
      <c r="W619">
        <f t="shared" si="157"/>
        <v>-6.4499251745540391</v>
      </c>
      <c r="X619">
        <f t="shared" si="158"/>
        <v>-0.28888274637126909</v>
      </c>
      <c r="Y619">
        <f t="shared" si="159"/>
        <v>-0.93555558812911144</v>
      </c>
      <c r="Z619">
        <f t="shared" si="160"/>
        <v>13.952095626176471</v>
      </c>
      <c r="AA619">
        <f t="shared" si="161"/>
        <v>0.53389665053611834</v>
      </c>
      <c r="AB619">
        <f t="shared" si="162"/>
        <v>1.7394859506337534</v>
      </c>
    </row>
    <row r="620" spans="12:28" x14ac:dyDescent="0.25">
      <c r="L620">
        <v>616</v>
      </c>
      <c r="M620">
        <f t="shared" si="167"/>
        <v>308</v>
      </c>
      <c r="N620">
        <f t="shared" si="163"/>
        <v>239217.18647016722</v>
      </c>
      <c r="O620">
        <f t="shared" si="164"/>
        <v>-470053.32712036092</v>
      </c>
      <c r="P620">
        <f t="shared" si="165"/>
        <v>805.49102305621705</v>
      </c>
      <c r="Q620">
        <f t="shared" si="166"/>
        <v>-3453.9041759953448</v>
      </c>
      <c r="R620">
        <f t="shared" si="152"/>
        <v>-7.612126757117796</v>
      </c>
      <c r="S620">
        <f t="shared" si="153"/>
        <v>16.123696054454197</v>
      </c>
      <c r="T620">
        <f t="shared" si="154"/>
        <v>523193.88227694394</v>
      </c>
      <c r="U620">
        <f t="shared" si="155"/>
        <v>545568.27862407628</v>
      </c>
      <c r="V620">
        <f t="shared" si="156"/>
        <v>516445.12263232248</v>
      </c>
      <c r="W620">
        <f t="shared" si="157"/>
        <v>-6.3977017599867985</v>
      </c>
      <c r="X620">
        <f t="shared" si="158"/>
        <v>-0.28661701384012694</v>
      </c>
      <c r="Y620">
        <f t="shared" si="159"/>
        <v>-0.92780798329087044</v>
      </c>
      <c r="Z620">
        <f t="shared" si="160"/>
        <v>13.864102335877401</v>
      </c>
      <c r="AA620">
        <f t="shared" si="161"/>
        <v>0.53079602080740351</v>
      </c>
      <c r="AB620">
        <f t="shared" si="162"/>
        <v>1.7287976977693897</v>
      </c>
    </row>
    <row r="621" spans="12:28" x14ac:dyDescent="0.25">
      <c r="L621">
        <v>617</v>
      </c>
      <c r="M621">
        <f t="shared" si="167"/>
        <v>308.5</v>
      </c>
      <c r="N621">
        <f t="shared" si="163"/>
        <v>239618.98046585068</v>
      </c>
      <c r="O621">
        <f t="shared" si="164"/>
        <v>-471778.26374635182</v>
      </c>
      <c r="P621">
        <f t="shared" si="165"/>
        <v>801.68495967765818</v>
      </c>
      <c r="Q621">
        <f t="shared" si="166"/>
        <v>-3445.8423279681178</v>
      </c>
      <c r="R621">
        <f t="shared" si="152"/>
        <v>-7.5507347512771599</v>
      </c>
      <c r="S621">
        <f t="shared" si="153"/>
        <v>16.023113227171972</v>
      </c>
      <c r="T621">
        <f t="shared" si="154"/>
        <v>524928.57548608037</v>
      </c>
      <c r="U621">
        <f t="shared" si="155"/>
        <v>547277.17880117847</v>
      </c>
      <c r="V621">
        <f t="shared" si="156"/>
        <v>518155.21596842387</v>
      </c>
      <c r="W621">
        <f t="shared" si="157"/>
        <v>-6.3461869356591407</v>
      </c>
      <c r="X621">
        <f t="shared" si="158"/>
        <v>-0.28438101491942536</v>
      </c>
      <c r="Y621">
        <f t="shared" si="159"/>
        <v>-0.92016680069859413</v>
      </c>
      <c r="Z621">
        <f t="shared" si="160"/>
        <v>13.777151602175962</v>
      </c>
      <c r="AA621">
        <f t="shared" si="161"/>
        <v>0.52772948789977914</v>
      </c>
      <c r="AB621">
        <f t="shared" si="162"/>
        <v>1.7182321370962286</v>
      </c>
    </row>
    <row r="622" spans="12:28" x14ac:dyDescent="0.25">
      <c r="L622">
        <v>618</v>
      </c>
      <c r="M622">
        <f t="shared" si="167"/>
        <v>309</v>
      </c>
      <c r="N622">
        <f t="shared" si="163"/>
        <v>240018.87910384557</v>
      </c>
      <c r="O622">
        <f t="shared" si="164"/>
        <v>-473499.1820211825</v>
      </c>
      <c r="P622">
        <f t="shared" si="165"/>
        <v>797.90959230201963</v>
      </c>
      <c r="Q622">
        <f t="shared" si="166"/>
        <v>-3437.8307713545319</v>
      </c>
      <c r="R622">
        <f t="shared" si="152"/>
        <v>-7.4901715946199303</v>
      </c>
      <c r="S622">
        <f t="shared" si="153"/>
        <v>15.923709474673048</v>
      </c>
      <c r="T622">
        <f t="shared" si="154"/>
        <v>526659.06842762453</v>
      </c>
      <c r="U622">
        <f t="shared" si="155"/>
        <v>548982.03659643803</v>
      </c>
      <c r="V622">
        <f t="shared" si="156"/>
        <v>519861.28056568932</v>
      </c>
      <c r="W622">
        <f t="shared" si="157"/>
        <v>-6.2953673610418592</v>
      </c>
      <c r="X622">
        <f t="shared" si="158"/>
        <v>-0.28217420897298851</v>
      </c>
      <c r="Y622">
        <f t="shared" si="159"/>
        <v>-0.91263002460508247</v>
      </c>
      <c r="Z622">
        <f t="shared" si="160"/>
        <v>13.691225703225252</v>
      </c>
      <c r="AA622">
        <f t="shared" si="161"/>
        <v>0.52469651317674804</v>
      </c>
      <c r="AB622">
        <f t="shared" si="162"/>
        <v>1.7077872582710487</v>
      </c>
    </row>
    <row r="623" spans="12:28" x14ac:dyDescent="0.25">
      <c r="L623">
        <v>619</v>
      </c>
      <c r="M623">
        <f t="shared" si="167"/>
        <v>309.5</v>
      </c>
      <c r="N623">
        <f t="shared" si="163"/>
        <v>240416.89762854725</v>
      </c>
      <c r="O623">
        <f t="shared" si="164"/>
        <v>-475216.10694317543</v>
      </c>
      <c r="P623">
        <f t="shared" si="165"/>
        <v>794.16450650470972</v>
      </c>
      <c r="Q623">
        <f t="shared" si="166"/>
        <v>-3429.8689166171953</v>
      </c>
      <c r="R623">
        <f t="shared" si="152"/>
        <v>-7.4304217713527203</v>
      </c>
      <c r="S623">
        <f t="shared" si="153"/>
        <v>15.825464971142802</v>
      </c>
      <c r="T623">
        <f t="shared" si="154"/>
        <v>528385.38788260671</v>
      </c>
      <c r="U623">
        <f t="shared" si="155"/>
        <v>550682.8769878071</v>
      </c>
      <c r="V623">
        <f t="shared" si="156"/>
        <v>521563.34105413617</v>
      </c>
      <c r="W623">
        <f t="shared" si="157"/>
        <v>-6.2452300157467393</v>
      </c>
      <c r="X623">
        <f t="shared" si="158"/>
        <v>-0.27999606788575904</v>
      </c>
      <c r="Y623">
        <f t="shared" si="159"/>
        <v>-0.90519568772022208</v>
      </c>
      <c r="Z623">
        <f t="shared" si="160"/>
        <v>13.606307308528883</v>
      </c>
      <c r="AA623">
        <f t="shared" si="161"/>
        <v>0.52169656906331274</v>
      </c>
      <c r="AB623">
        <f t="shared" si="162"/>
        <v>1.697461093550606</v>
      </c>
    </row>
    <row r="624" spans="12:28" x14ac:dyDescent="0.25">
      <c r="L624">
        <v>620</v>
      </c>
      <c r="M624">
        <f t="shared" si="167"/>
        <v>310</v>
      </c>
      <c r="N624">
        <f t="shared" si="163"/>
        <v>240813.0510790782</v>
      </c>
      <c r="O624">
        <f t="shared" si="164"/>
        <v>-476929.06321836263</v>
      </c>
      <c r="P624">
        <f t="shared" si="165"/>
        <v>790.44929561903336</v>
      </c>
      <c r="Q624">
        <f t="shared" si="166"/>
        <v>-3421.956184131624</v>
      </c>
      <c r="R624">
        <f t="shared" si="152"/>
        <v>-7.3714701357271188</v>
      </c>
      <c r="S624">
        <f t="shared" si="153"/>
        <v>15.728360323792282</v>
      </c>
      <c r="T624">
        <f t="shared" si="154"/>
        <v>530107.56031335774</v>
      </c>
      <c r="U624">
        <f t="shared" si="155"/>
        <v>552379.72466401232</v>
      </c>
      <c r="V624">
        <f t="shared" si="156"/>
        <v>523261.42178322258</v>
      </c>
      <c r="W624">
        <f t="shared" si="157"/>
        <v>-6.195762190211533</v>
      </c>
      <c r="X624">
        <f t="shared" si="158"/>
        <v>-0.27784607571229514</v>
      </c>
      <c r="Y624">
        <f t="shared" si="159"/>
        <v>-0.89786186980329019</v>
      </c>
      <c r="Z624">
        <f t="shared" si="160"/>
        <v>13.522379468336178</v>
      </c>
      <c r="AA624">
        <f t="shared" si="161"/>
        <v>0.5187291387671622</v>
      </c>
      <c r="AB624">
        <f t="shared" si="162"/>
        <v>1.6872517166889422</v>
      </c>
    </row>
    <row r="625" spans="12:28" x14ac:dyDescent="0.25">
      <c r="L625">
        <v>621</v>
      </c>
      <c r="M625">
        <f t="shared" si="167"/>
        <v>310.5</v>
      </c>
      <c r="N625">
        <f t="shared" si="163"/>
        <v>241207.35429312076</v>
      </c>
      <c r="O625">
        <f t="shared" si="164"/>
        <v>-478638.075265388</v>
      </c>
      <c r="P625">
        <f t="shared" si="165"/>
        <v>786.7635605511698</v>
      </c>
      <c r="Q625">
        <f t="shared" si="166"/>
        <v>-3414.092003969728</v>
      </c>
      <c r="R625">
        <f t="shared" si="152"/>
        <v>-7.3133019013424594</v>
      </c>
      <c r="S625">
        <f t="shared" si="153"/>
        <v>15.632376561253002</v>
      </c>
      <c r="T625">
        <f t="shared" si="154"/>
        <v>531825.61186893901</v>
      </c>
      <c r="U625">
        <f t="shared" si="155"/>
        <v>554072.60402935906</v>
      </c>
      <c r="V625">
        <f t="shared" si="156"/>
        <v>524955.54682640685</v>
      </c>
      <c r="W625">
        <f t="shared" si="157"/>
        <v>-6.1469514767027018</v>
      </c>
      <c r="X625">
        <f t="shared" si="158"/>
        <v>-0.27572372833687603</v>
      </c>
      <c r="Y625">
        <f t="shared" si="159"/>
        <v>-0.89062669630288149</v>
      </c>
      <c r="Z625">
        <f t="shared" si="160"/>
        <v>13.439425603376886</v>
      </c>
      <c r="AA625">
        <f t="shared" si="161"/>
        <v>0.51579371600823298</v>
      </c>
      <c r="AB625">
        <f t="shared" si="162"/>
        <v>1.6771572418678835</v>
      </c>
    </row>
    <row r="626" spans="12:28" x14ac:dyDescent="0.25">
      <c r="L626">
        <v>622</v>
      </c>
      <c r="M626">
        <f t="shared" si="167"/>
        <v>311</v>
      </c>
      <c r="N626">
        <f t="shared" si="163"/>
        <v>241599.82191065868</v>
      </c>
      <c r="O626">
        <f t="shared" si="164"/>
        <v>-480343.16722030268</v>
      </c>
      <c r="P626">
        <f t="shared" si="165"/>
        <v>783.10690960049862</v>
      </c>
      <c r="Q626">
        <f t="shared" si="166"/>
        <v>-3406.2758156891014</v>
      </c>
      <c r="R626">
        <f t="shared" si="152"/>
        <v>-7.2559026308114465</v>
      </c>
      <c r="S626">
        <f t="shared" si="153"/>
        <v>15.537495122339955</v>
      </c>
      <c r="T626">
        <f t="shared" si="154"/>
        <v>533539.56839045254</v>
      </c>
      <c r="U626">
        <f t="shared" si="155"/>
        <v>555761.53920843254</v>
      </c>
      <c r="V626">
        <f t="shared" si="156"/>
        <v>526645.73998561036</v>
      </c>
      <c r="W626">
        <f t="shared" si="157"/>
        <v>-6.0987857606237608</v>
      </c>
      <c r="X626">
        <f t="shared" si="158"/>
        <v>-0.27362853314470403</v>
      </c>
      <c r="Y626">
        <f t="shared" si="159"/>
        <v>-0.8834883370429818</v>
      </c>
      <c r="Z626">
        <f t="shared" si="160"/>
        <v>13.35742949492346</v>
      </c>
      <c r="AA626">
        <f t="shared" si="161"/>
        <v>0.51288980475622037</v>
      </c>
      <c r="AB626">
        <f t="shared" si="162"/>
        <v>1.6671758226602738</v>
      </c>
    </row>
    <row r="627" spans="12:28" x14ac:dyDescent="0.25">
      <c r="L627">
        <v>623</v>
      </c>
      <c r="M627">
        <f t="shared" si="167"/>
        <v>311.5</v>
      </c>
      <c r="N627">
        <f t="shared" si="163"/>
        <v>241990.46837763008</v>
      </c>
      <c r="O627">
        <f t="shared" si="164"/>
        <v>-482044.36294125696</v>
      </c>
      <c r="P627">
        <f t="shared" si="165"/>
        <v>779.47895828509286</v>
      </c>
      <c r="Q627">
        <f t="shared" si="166"/>
        <v>-3398.5070681279312</v>
      </c>
      <c r="R627">
        <f t="shared" si="152"/>
        <v>-7.199258225774205</v>
      </c>
      <c r="S627">
        <f t="shared" si="153"/>
        <v>15.443697845168758</v>
      </c>
      <c r="T627">
        <f t="shared" si="154"/>
        <v>535249.4554162334</v>
      </c>
      <c r="U627">
        <f t="shared" si="155"/>
        <v>557446.5540506976</v>
      </c>
      <c r="V627">
        <f t="shared" si="156"/>
        <v>528332.02479558787</v>
      </c>
      <c r="W627">
        <f t="shared" si="157"/>
        <v>-6.0512532121171256</v>
      </c>
      <c r="X627">
        <f t="shared" si="158"/>
        <v>-0.27156000870386288</v>
      </c>
      <c r="Y627">
        <f t="shared" si="159"/>
        <v>-0.87644500495321664</v>
      </c>
      <c r="Z627">
        <f t="shared" si="160"/>
        <v>13.2763752751684</v>
      </c>
      <c r="AA627">
        <f t="shared" si="161"/>
        <v>0.51001691897590973</v>
      </c>
      <c r="AB627">
        <f t="shared" si="162"/>
        <v>1.6573056510244493</v>
      </c>
    </row>
    <row r="628" spans="12:28" x14ac:dyDescent="0.25">
      <c r="L628">
        <v>624</v>
      </c>
      <c r="M628">
        <f t="shared" si="167"/>
        <v>312</v>
      </c>
      <c r="N628">
        <f t="shared" si="163"/>
        <v>242379.3079494944</v>
      </c>
      <c r="O628">
        <f t="shared" si="164"/>
        <v>-483741.68601309031</v>
      </c>
      <c r="P628">
        <f t="shared" si="165"/>
        <v>775.87932917220576</v>
      </c>
      <c r="Q628">
        <f t="shared" si="166"/>
        <v>-3390.7852192053469</v>
      </c>
      <c r="R628">
        <f t="shared" si="152"/>
        <v>-7.1433549172477129</v>
      </c>
      <c r="S628">
        <f t="shared" si="153"/>
        <v>15.350966956614922</v>
      </c>
      <c r="T628">
        <f t="shared" si="154"/>
        <v>536955.29818692931</v>
      </c>
      <c r="U628">
        <f t="shared" si="155"/>
        <v>559127.67213500058</v>
      </c>
      <c r="V628">
        <f t="shared" si="156"/>
        <v>530014.424528206</v>
      </c>
      <c r="W628">
        <f t="shared" si="157"/>
        <v>-6.0043422779485551</v>
      </c>
      <c r="X628">
        <f t="shared" si="158"/>
        <v>-0.26951768445755053</v>
      </c>
      <c r="Y628">
        <f t="shared" si="159"/>
        <v>-0.86949495484160688</v>
      </c>
      <c r="Z628">
        <f t="shared" si="160"/>
        <v>13.196247417906079</v>
      </c>
      <c r="AA628">
        <f t="shared" si="161"/>
        <v>0.50717458237991164</v>
      </c>
      <c r="AB628">
        <f t="shared" si="162"/>
        <v>1.6475449563289299</v>
      </c>
    </row>
    <row r="629" spans="12:28" x14ac:dyDescent="0.25">
      <c r="L629">
        <v>625</v>
      </c>
      <c r="M629">
        <f t="shared" si="167"/>
        <v>312.5</v>
      </c>
      <c r="N629">
        <f t="shared" si="163"/>
        <v>242766.35469471585</v>
      </c>
      <c r="O629">
        <f t="shared" si="164"/>
        <v>-485435.1597518234</v>
      </c>
      <c r="P629">
        <f t="shared" si="165"/>
        <v>772.30765171358189</v>
      </c>
      <c r="Q629">
        <f t="shared" si="166"/>
        <v>-3383.1097357270396</v>
      </c>
      <c r="R629">
        <f t="shared" si="152"/>
        <v>-7.0881792562969208</v>
      </c>
      <c r="S629">
        <f t="shared" si="153"/>
        <v>15.259285062101137</v>
      </c>
      <c r="T629">
        <f t="shared" si="154"/>
        <v>538657.12165046926</v>
      </c>
      <c r="U629">
        <f t="shared" si="155"/>
        <v>560804.91677397408</v>
      </c>
      <c r="V629">
        <f t="shared" si="156"/>
        <v>531692.96219663403</v>
      </c>
      <c r="W629">
        <f t="shared" si="157"/>
        <v>-5.9580416736624038</v>
      </c>
      <c r="X629">
        <f t="shared" si="158"/>
        <v>-0.26750110042629749</v>
      </c>
      <c r="Y629">
        <f t="shared" si="159"/>
        <v>-0.86263648220821953</v>
      </c>
      <c r="Z629">
        <f t="shared" si="160"/>
        <v>13.117030729506094</v>
      </c>
      <c r="AA629">
        <f t="shared" si="161"/>
        <v>0.50436232818872528</v>
      </c>
      <c r="AB629">
        <f t="shared" si="162"/>
        <v>1.6378920044063174</v>
      </c>
    </row>
    <row r="630" spans="12:28" x14ac:dyDescent="0.25">
      <c r="L630">
        <v>626</v>
      </c>
      <c r="M630">
        <f t="shared" si="167"/>
        <v>313</v>
      </c>
      <c r="N630">
        <f t="shared" si="163"/>
        <v>243151.62249816561</v>
      </c>
      <c r="O630">
        <f t="shared" si="164"/>
        <v>-487124.80720905418</v>
      </c>
      <c r="P630">
        <f t="shared" si="165"/>
        <v>768.76356208543348</v>
      </c>
      <c r="Q630">
        <f t="shared" si="166"/>
        <v>-3375.480093195989</v>
      </c>
      <c r="R630">
        <f t="shared" si="152"/>
        <v>-7.0337181050163942</v>
      </c>
      <c r="S630">
        <f t="shared" si="153"/>
        <v>15.168635135703282</v>
      </c>
      <c r="T630">
        <f t="shared" si="154"/>
        <v>540354.95046692458</v>
      </c>
      <c r="U630">
        <f t="shared" si="155"/>
        <v>562478.31101835053</v>
      </c>
      <c r="V630">
        <f t="shared" si="156"/>
        <v>533367.66055944818</v>
      </c>
      <c r="W630">
        <f t="shared" si="157"/>
        <v>-5.9123403759985438</v>
      </c>
      <c r="X630">
        <f t="shared" si="158"/>
        <v>-0.26550980691970483</v>
      </c>
      <c r="Y630">
        <f t="shared" si="159"/>
        <v>-0.855867922098145</v>
      </c>
      <c r="Z630">
        <f t="shared" si="160"/>
        <v>13.038710340170205</v>
      </c>
      <c r="AA630">
        <f t="shared" si="161"/>
        <v>0.50157969889770138</v>
      </c>
      <c r="AB630">
        <f t="shared" si="162"/>
        <v>1.6283450966353747</v>
      </c>
    </row>
    <row r="631" spans="12:28" x14ac:dyDescent="0.25">
      <c r="L631">
        <v>627</v>
      </c>
      <c r="M631">
        <f t="shared" si="167"/>
        <v>313.5</v>
      </c>
      <c r="N631">
        <f t="shared" si="163"/>
        <v>243535.12506444522</v>
      </c>
      <c r="O631">
        <f t="shared" si="164"/>
        <v>-488810.65117626026</v>
      </c>
      <c r="P631">
        <f t="shared" si="165"/>
        <v>765.24670303292532</v>
      </c>
      <c r="Q631">
        <f t="shared" si="166"/>
        <v>-3367.8957756281375</v>
      </c>
      <c r="R631">
        <f t="shared" si="152"/>
        <v>-6.9799586278096557</v>
      </c>
      <c r="S631">
        <f t="shared" si="153"/>
        <v>15.079000510561473</v>
      </c>
      <c r="T631">
        <f t="shared" si="154"/>
        <v>542048.8090132653</v>
      </c>
      <c r="U631">
        <f t="shared" si="155"/>
        <v>564147.87766118336</v>
      </c>
      <c r="V631">
        <f t="shared" si="156"/>
        <v>535038.54212465032</v>
      </c>
      <c r="W631">
        <f t="shared" si="157"/>
        <v>-5.867227615559913</v>
      </c>
      <c r="X631">
        <f t="shared" si="158"/>
        <v>-0.26354336425742148</v>
      </c>
      <c r="Y631">
        <f t="shared" si="159"/>
        <v>-0.8491876479923206</v>
      </c>
      <c r="Z631">
        <f t="shared" si="160"/>
        <v>12.961271695460326</v>
      </c>
      <c r="AA631">
        <f t="shared" si="161"/>
        <v>0.49882624605080561</v>
      </c>
      <c r="AB631">
        <f t="shared" si="162"/>
        <v>1.6189025690503416</v>
      </c>
    </row>
    <row r="632" spans="12:28" x14ac:dyDescent="0.25">
      <c r="L632">
        <v>628</v>
      </c>
      <c r="M632">
        <f t="shared" si="167"/>
        <v>314</v>
      </c>
      <c r="N632">
        <f t="shared" si="163"/>
        <v>243916.87592113321</v>
      </c>
      <c r="O632">
        <f t="shared" si="164"/>
        <v>-490492.7141890105</v>
      </c>
      <c r="P632">
        <f t="shared" si="165"/>
        <v>761.75672371902044</v>
      </c>
      <c r="Q632">
        <f t="shared" si="166"/>
        <v>-3360.3562753728565</v>
      </c>
      <c r="R632">
        <f t="shared" si="152"/>
        <v>-6.9268882829552885</v>
      </c>
      <c r="S632">
        <f t="shared" si="153"/>
        <v>14.990364869586077</v>
      </c>
      <c r="T632">
        <f t="shared" si="154"/>
        <v>543738.72138801427</v>
      </c>
      <c r="U632">
        <f t="shared" si="155"/>
        <v>565813.63924197992</v>
      </c>
      <c r="V632">
        <f t="shared" si="156"/>
        <v>536705.62915360671</v>
      </c>
      <c r="W632">
        <f t="shared" si="157"/>
        <v>-5.8226928697215206</v>
      </c>
      <c r="X632">
        <f t="shared" si="158"/>
        <v>-0.26160134249900591</v>
      </c>
      <c r="Y632">
        <f t="shared" si="159"/>
        <v>-0.84259407073476233</v>
      </c>
      <c r="Z632">
        <f t="shared" si="160"/>
        <v>12.884700548088611</v>
      </c>
      <c r="AA632">
        <f t="shared" si="161"/>
        <v>0.4961015300209235</v>
      </c>
      <c r="AB632">
        <f t="shared" si="162"/>
        <v>1.609562791476542</v>
      </c>
    </row>
    <row r="633" spans="12:28" x14ac:dyDescent="0.25">
      <c r="L633">
        <v>629</v>
      </c>
      <c r="M633">
        <f t="shared" si="167"/>
        <v>314.5</v>
      </c>
      <c r="N633">
        <f t="shared" si="163"/>
        <v>244296.88842195735</v>
      </c>
      <c r="O633">
        <f t="shared" si="164"/>
        <v>-492171.01853108825</v>
      </c>
      <c r="P633">
        <f t="shared" si="165"/>
        <v>758.29327957754276</v>
      </c>
      <c r="Q633">
        <f t="shared" si="166"/>
        <v>-3352.8610929380634</v>
      </c>
      <c r="R633">
        <f t="shared" si="152"/>
        <v>-6.8744948144492932</v>
      </c>
      <c r="S633">
        <f t="shared" si="153"/>
        <v>14.902712236448872</v>
      </c>
      <c r="T633">
        <f t="shared" si="154"/>
        <v>545424.71141580271</v>
      </c>
      <c r="U633">
        <f t="shared" si="155"/>
        <v>567475.6180507486</v>
      </c>
      <c r="V633">
        <f t="shared" si="156"/>
        <v>538368.94366490538</v>
      </c>
      <c r="W633">
        <f t="shared" si="157"/>
        <v>-5.7787258557721239</v>
      </c>
      <c r="X633">
        <f t="shared" si="158"/>
        <v>-0.25968332118231496</v>
      </c>
      <c r="Y633">
        <f t="shared" si="159"/>
        <v>-0.83608563749485432</v>
      </c>
      <c r="Z633">
        <f t="shared" si="160"/>
        <v>12.80898294996102</v>
      </c>
      <c r="AA633">
        <f t="shared" si="161"/>
        <v>0.49340511979642715</v>
      </c>
      <c r="AB633">
        <f t="shared" si="162"/>
        <v>1.6003241666914241</v>
      </c>
    </row>
    <row r="634" spans="12:28" x14ac:dyDescent="0.25">
      <c r="L634">
        <v>630</v>
      </c>
      <c r="M634">
        <f t="shared" si="167"/>
        <v>315</v>
      </c>
      <c r="N634">
        <f t="shared" si="163"/>
        <v>244675.17574989432</v>
      </c>
      <c r="O634">
        <f t="shared" si="164"/>
        <v>-493845.58623852773</v>
      </c>
      <c r="P634">
        <f t="shared" si="165"/>
        <v>754.85603217031814</v>
      </c>
      <c r="Q634">
        <f t="shared" si="166"/>
        <v>-3345.4097368198391</v>
      </c>
      <c r="R634">
        <f t="shared" si="152"/>
        <v>-6.8227662441129571</v>
      </c>
      <c r="S634">
        <f t="shared" si="153"/>
        <v>14.816026966848421</v>
      </c>
      <c r="T634">
        <f t="shared" si="154"/>
        <v>547106.80265182804</v>
      </c>
      <c r="U634">
        <f t="shared" si="155"/>
        <v>569133.83613196213</v>
      </c>
      <c r="V634">
        <f t="shared" si="156"/>
        <v>540028.5074381351</v>
      </c>
      <c r="W634">
        <f t="shared" si="157"/>
        <v>-5.7353165242794599</v>
      </c>
      <c r="X634">
        <f t="shared" si="158"/>
        <v>-0.25778888907015968</v>
      </c>
      <c r="Y634">
        <f t="shared" si="159"/>
        <v>-0.8296608307633373</v>
      </c>
      <c r="Z634">
        <f t="shared" si="160"/>
        <v>12.734105244464455</v>
      </c>
      <c r="AA634">
        <f t="shared" si="161"/>
        <v>0.49073659277388898</v>
      </c>
      <c r="AB634">
        <f t="shared" si="162"/>
        <v>1.5911851296100763</v>
      </c>
    </row>
    <row r="635" spans="12:28" x14ac:dyDescent="0.25">
      <c r="L635">
        <v>631</v>
      </c>
      <c r="M635">
        <f t="shared" si="167"/>
        <v>315.5</v>
      </c>
      <c r="N635">
        <f t="shared" si="163"/>
        <v>245051.75092019895</v>
      </c>
      <c r="O635">
        <f t="shared" si="164"/>
        <v>-495516.43910356675</v>
      </c>
      <c r="P635">
        <f t="shared" si="165"/>
        <v>751.44464904826168</v>
      </c>
      <c r="Q635">
        <f t="shared" si="166"/>
        <v>-3338.0017233364147</v>
      </c>
      <c r="R635">
        <f t="shared" si="152"/>
        <v>-6.7716908639564357</v>
      </c>
      <c r="S635">
        <f t="shared" si="153"/>
        <v>14.730293740040267</v>
      </c>
      <c r="T635">
        <f t="shared" si="154"/>
        <v>548785.018386218</v>
      </c>
      <c r="U635">
        <f t="shared" si="155"/>
        <v>570788.315288438</v>
      </c>
      <c r="V635">
        <f t="shared" si="156"/>
        <v>541684.3420175896</v>
      </c>
      <c r="W635">
        <f t="shared" si="157"/>
        <v>-5.6924550526707201</v>
      </c>
      <c r="X635">
        <f t="shared" si="158"/>
        <v>-0.25591764390489591</v>
      </c>
      <c r="Y635">
        <f t="shared" si="159"/>
        <v>-0.82331816738081953</v>
      </c>
      <c r="Z635">
        <f t="shared" si="160"/>
        <v>12.660054058989042</v>
      </c>
      <c r="AA635">
        <f t="shared" si="161"/>
        <v>0.48809553455667654</v>
      </c>
      <c r="AB635">
        <f t="shared" si="162"/>
        <v>1.5821441464945494</v>
      </c>
    </row>
    <row r="636" spans="12:28" x14ac:dyDescent="0.25">
      <c r="L636">
        <v>632</v>
      </c>
      <c r="M636">
        <f t="shared" si="167"/>
        <v>316</v>
      </c>
      <c r="N636">
        <f t="shared" si="163"/>
        <v>245426.62678336509</v>
      </c>
      <c r="O636">
        <f t="shared" si="164"/>
        <v>-497183.59867851745</v>
      </c>
      <c r="P636">
        <f t="shared" si="165"/>
        <v>748.05880361628351</v>
      </c>
      <c r="Q636">
        <f t="shared" si="166"/>
        <v>-3330.6365764663947</v>
      </c>
      <c r="R636">
        <f t="shared" si="152"/>
        <v>-6.7212572287886241</v>
      </c>
      <c r="S636">
        <f t="shared" si="153"/>
        <v>14.64549755062288</v>
      </c>
      <c r="T636">
        <f t="shared" si="154"/>
        <v>550459.38164830359</v>
      </c>
      <c r="U636">
        <f t="shared" si="155"/>
        <v>572439.07708514028</v>
      </c>
      <c r="V636">
        <f t="shared" si="156"/>
        <v>543336.46871589648</v>
      </c>
      <c r="W636">
        <f t="shared" si="157"/>
        <v>-5.6501318390204078</v>
      </c>
      <c r="X636">
        <f t="shared" si="158"/>
        <v>-0.25406919217067375</v>
      </c>
      <c r="Y636">
        <f t="shared" si="159"/>
        <v>-0.81705619759754244</v>
      </c>
      <c r="Z636">
        <f t="shared" si="160"/>
        <v>12.586816297677567</v>
      </c>
      <c r="AA636">
        <f t="shared" si="161"/>
        <v>0.48548153875925332</v>
      </c>
      <c r="AB636">
        <f t="shared" si="162"/>
        <v>1.5731997141860592</v>
      </c>
    </row>
    <row r="637" spans="12:28" x14ac:dyDescent="0.25">
      <c r="L637">
        <v>633</v>
      </c>
      <c r="M637">
        <f t="shared" si="167"/>
        <v>316.5</v>
      </c>
      <c r="N637">
        <f t="shared" si="163"/>
        <v>245799.81602801962</v>
      </c>
      <c r="O637">
        <f t="shared" si="164"/>
        <v>-498847.0862795568</v>
      </c>
      <c r="P637">
        <f t="shared" si="165"/>
        <v>744.69817500188924</v>
      </c>
      <c r="Q637">
        <f t="shared" si="166"/>
        <v>-3323.3138276910831</v>
      </c>
      <c r="R637">
        <f t="shared" si="152"/>
        <v>-6.6714541490640205</v>
      </c>
      <c r="S637">
        <f t="shared" si="153"/>
        <v>14.561623700569985</v>
      </c>
      <c r="T637">
        <f t="shared" si="154"/>
        <v>552129.91521080129</v>
      </c>
      <c r="U637">
        <f t="shared" si="155"/>
        <v>574086.14285290311</v>
      </c>
      <c r="V637">
        <f t="shared" si="156"/>
        <v>544984.90861757391</v>
      </c>
      <c r="W637">
        <f t="shared" si="157"/>
        <v>-5.6083374960376737</v>
      </c>
      <c r="X637">
        <f t="shared" si="158"/>
        <v>-0.25224314886307941</v>
      </c>
      <c r="Y637">
        <f t="shared" si="159"/>
        <v>-0.81087350416326731</v>
      </c>
      <c r="Z637">
        <f t="shared" si="160"/>
        <v>12.514379134393623</v>
      </c>
      <c r="AA637">
        <f t="shared" si="161"/>
        <v>0.48289420681701267</v>
      </c>
      <c r="AB637">
        <f t="shared" si="162"/>
        <v>1.5643503593593484</v>
      </c>
    </row>
    <row r="638" spans="12:28" x14ac:dyDescent="0.25">
      <c r="L638">
        <v>634</v>
      </c>
      <c r="M638">
        <f t="shared" si="167"/>
        <v>317</v>
      </c>
      <c r="N638">
        <f t="shared" si="163"/>
        <v>246171.33118375193</v>
      </c>
      <c r="O638">
        <f t="shared" si="164"/>
        <v>-500506.92299043981</v>
      </c>
      <c r="P638">
        <f t="shared" si="165"/>
        <v>741.36244792735727</v>
      </c>
      <c r="Q638">
        <f t="shared" si="166"/>
        <v>-3316.0330158407983</v>
      </c>
      <c r="R638">
        <f t="shared" si="152"/>
        <v>-6.622270683958515</v>
      </c>
      <c r="S638">
        <f t="shared" si="153"/>
        <v>14.478657791502169</v>
      </c>
      <c r="T638">
        <f t="shared" si="154"/>
        <v>553796.64159390936</v>
      </c>
      <c r="U638">
        <f t="shared" si="155"/>
        <v>575729.53369207785</v>
      </c>
      <c r="V638">
        <f t="shared" si="156"/>
        <v>546629.68258251657</v>
      </c>
      <c r="W638">
        <f t="shared" si="157"/>
        <v>-5.5670628452463902</v>
      </c>
      <c r="X638">
        <f t="shared" si="158"/>
        <v>-0.25043913726589218</v>
      </c>
      <c r="Y638">
        <f t="shared" si="159"/>
        <v>-0.8047687014462328</v>
      </c>
      <c r="Z638">
        <f t="shared" si="160"/>
        <v>12.442730005902161</v>
      </c>
      <c r="AA638">
        <f t="shared" si="161"/>
        <v>0.48033314780143943</v>
      </c>
      <c r="AB638">
        <f t="shared" si="162"/>
        <v>1.5555946377985665</v>
      </c>
    </row>
    <row r="639" spans="12:28" x14ac:dyDescent="0.25">
      <c r="L639">
        <v>635</v>
      </c>
      <c r="M639">
        <f t="shared" si="167"/>
        <v>317.5</v>
      </c>
      <c r="N639">
        <f t="shared" si="163"/>
        <v>246541.18462388011</v>
      </c>
      <c r="O639">
        <f t="shared" si="164"/>
        <v>-502163.12966613629</v>
      </c>
      <c r="P639">
        <f t="shared" si="165"/>
        <v>738.05131258537801</v>
      </c>
      <c r="Q639">
        <f t="shared" si="166"/>
        <v>-3308.7936869450473</v>
      </c>
      <c r="R639">
        <f t="shared" si="152"/>
        <v>-6.5736961346644094</v>
      </c>
      <c r="S639">
        <f t="shared" si="153"/>
        <v>14.396585717186653</v>
      </c>
      <c r="T639">
        <f t="shared" si="154"/>
        <v>555459.58306931856</v>
      </c>
      <c r="U639">
        <f t="shared" si="155"/>
        <v>577369.27047610772</v>
      </c>
      <c r="V639">
        <f t="shared" si="156"/>
        <v>548270.81124941318</v>
      </c>
      <c r="W639">
        <f t="shared" si="157"/>
        <v>-5.5262989113496879</v>
      </c>
      <c r="X639">
        <f t="shared" si="158"/>
        <v>-0.24865678873471839</v>
      </c>
      <c r="Y639">
        <f t="shared" si="159"/>
        <v>-0.79874043458000354</v>
      </c>
      <c r="Z639">
        <f t="shared" si="160"/>
        <v>12.371856605252466</v>
      </c>
      <c r="AA639">
        <f t="shared" si="161"/>
        <v>0.47779797824045078</v>
      </c>
      <c r="AB639">
        <f t="shared" si="162"/>
        <v>1.5469311336937364</v>
      </c>
    </row>
    <row r="640" spans="12:28" x14ac:dyDescent="0.25">
      <c r="L640">
        <v>636</v>
      </c>
      <c r="M640">
        <f t="shared" si="167"/>
        <v>318</v>
      </c>
      <c r="N640">
        <f t="shared" si="163"/>
        <v>246909.38856815596</v>
      </c>
      <c r="O640">
        <f t="shared" si="164"/>
        <v>-503815.72693639412</v>
      </c>
      <c r="P640">
        <f t="shared" si="165"/>
        <v>734.76446451804577</v>
      </c>
      <c r="Q640">
        <f t="shared" si="166"/>
        <v>-3301.5953940864538</v>
      </c>
      <c r="R640">
        <f t="shared" si="152"/>
        <v>-6.5257200378983384</v>
      </c>
      <c r="S640">
        <f t="shared" si="153"/>
        <v>14.315393656261001</v>
      </c>
      <c r="T640">
        <f t="shared" si="154"/>
        <v>557118.76166414062</v>
      </c>
      <c r="U640">
        <f t="shared" si="155"/>
        <v>579005.373855029</v>
      </c>
      <c r="V640">
        <f t="shared" si="156"/>
        <v>549908.31503909593</v>
      </c>
      <c r="W640">
        <f t="shared" si="157"/>
        <v>-5.486036916773763</v>
      </c>
      <c r="X640">
        <f t="shared" si="158"/>
        <v>-0.24689574248725066</v>
      </c>
      <c r="Y640">
        <f t="shared" si="159"/>
        <v>-0.79278737863732507</v>
      </c>
      <c r="Z640">
        <f t="shared" si="160"/>
        <v>12.301746875359893</v>
      </c>
      <c r="AA640">
        <f t="shared" si="161"/>
        <v>0.47528832194373616</v>
      </c>
      <c r="AB640">
        <f t="shared" si="162"/>
        <v>1.5383584589573727</v>
      </c>
    </row>
    <row r="641" spans="12:28" x14ac:dyDescent="0.25">
      <c r="L641">
        <v>637</v>
      </c>
      <c r="M641">
        <f t="shared" si="167"/>
        <v>318.5</v>
      </c>
      <c r="N641">
        <f t="shared" si="163"/>
        <v>247275.95508541024</v>
      </c>
      <c r="O641">
        <f t="shared" si="164"/>
        <v>-505464.73520923028</v>
      </c>
      <c r="P641">
        <f t="shared" si="165"/>
        <v>731.50160449909663</v>
      </c>
      <c r="Q641">
        <f t="shared" si="166"/>
        <v>-3294.4376972583232</v>
      </c>
      <c r="R641">
        <f t="shared" si="152"/>
        <v>-6.478332159612834</v>
      </c>
      <c r="S641">
        <f t="shared" si="153"/>
        <v>14.235068065169754</v>
      </c>
      <c r="T641">
        <f t="shared" si="154"/>
        <v>558774.19916475646</v>
      </c>
      <c r="U641">
        <f t="shared" si="155"/>
        <v>580637.86425890285</v>
      </c>
      <c r="V641">
        <f t="shared" si="156"/>
        <v>551542.21415782522</v>
      </c>
      <c r="W641">
        <f t="shared" si="157"/>
        <v>-5.4462682763829919</v>
      </c>
      <c r="X641">
        <f t="shared" si="158"/>
        <v>-0.2451556453999211</v>
      </c>
      <c r="Y641">
        <f t="shared" si="159"/>
        <v>-0.78690823782992037</v>
      </c>
      <c r="Z641">
        <f t="shared" si="160"/>
        <v>12.232389002776397</v>
      </c>
      <c r="AA641">
        <f t="shared" si="161"/>
        <v>0.47280380983293463</v>
      </c>
      <c r="AB641">
        <f t="shared" si="162"/>
        <v>1.5298752525604229</v>
      </c>
    </row>
    <row r="642" spans="12:28" x14ac:dyDescent="0.25">
      <c r="L642">
        <v>638</v>
      </c>
      <c r="M642">
        <f t="shared" si="167"/>
        <v>319</v>
      </c>
      <c r="N642">
        <f t="shared" si="163"/>
        <v>247640.89609613986</v>
      </c>
      <c r="O642">
        <f t="shared" si="164"/>
        <v>-507110.17467435129</v>
      </c>
      <c r="P642">
        <f t="shared" si="165"/>
        <v>728.26243841929022</v>
      </c>
      <c r="Q642">
        <f t="shared" si="166"/>
        <v>-3287.3201632257383</v>
      </c>
      <c r="R642">
        <f t="shared" si="152"/>
        <v>-6.4315224889054159</v>
      </c>
      <c r="S642">
        <f t="shared" si="153"/>
        <v>14.155595671309447</v>
      </c>
      <c r="T642">
        <f t="shared" si="154"/>
        <v>560425.9171205844</v>
      </c>
      <c r="U642">
        <f t="shared" si="155"/>
        <v>582266.7619011777</v>
      </c>
      <c r="V642">
        <f t="shared" si="156"/>
        <v>553172.52860050916</v>
      </c>
      <c r="W642">
        <f t="shared" si="157"/>
        <v>-5.4069845923613187</v>
      </c>
      <c r="X642">
        <f t="shared" si="158"/>
        <v>-0.24343615181072431</v>
      </c>
      <c r="Y642">
        <f t="shared" si="159"/>
        <v>-0.78110174473337324</v>
      </c>
      <c r="Z642">
        <f t="shared" si="160"/>
        <v>12.1637714116459</v>
      </c>
      <c r="AA642">
        <f t="shared" si="161"/>
        <v>0.47034407977649545</v>
      </c>
      <c r="AB642">
        <f t="shared" si="162"/>
        <v>1.5214801798870519</v>
      </c>
    </row>
    <row r="643" spans="12:28" x14ac:dyDescent="0.25">
      <c r="L643">
        <v>639</v>
      </c>
      <c r="M643">
        <f t="shared" si="167"/>
        <v>319.5</v>
      </c>
      <c r="N643">
        <f t="shared" si="163"/>
        <v>248004.22337503839</v>
      </c>
      <c r="O643">
        <f t="shared" si="164"/>
        <v>-508752.06530650525</v>
      </c>
      <c r="P643">
        <f t="shared" si="165"/>
        <v>725.04667717483755</v>
      </c>
      <c r="Q643">
        <f t="shared" si="166"/>
        <v>-3280.2423653900837</v>
      </c>
      <c r="R643">
        <f t="shared" si="152"/>
        <v>-6.3852812321173946</v>
      </c>
      <c r="S643">
        <f t="shared" si="153"/>
        <v>14.076963466373368</v>
      </c>
      <c r="T643">
        <f t="shared" si="154"/>
        <v>562073.9368477728</v>
      </c>
      <c r="U643">
        <f t="shared" si="155"/>
        <v>583892.08678198582</v>
      </c>
      <c r="V643">
        <f t="shared" si="156"/>
        <v>554799.27815386152</v>
      </c>
      <c r="W643">
        <f t="shared" si="157"/>
        <v>-5.3681776492533153</v>
      </c>
      <c r="X643">
        <f t="shared" si="158"/>
        <v>-0.24173692332800764</v>
      </c>
      <c r="Y643">
        <f t="shared" si="159"/>
        <v>-0.77536665953607242</v>
      </c>
      <c r="Z643">
        <f t="shared" si="160"/>
        <v>12.095882757836861</v>
      </c>
      <c r="AA643">
        <f t="shared" si="161"/>
        <v>0.46790877642909584</v>
      </c>
      <c r="AB643">
        <f t="shared" si="162"/>
        <v>1.5131719321074102</v>
      </c>
    </row>
    <row r="644" spans="12:28" x14ac:dyDescent="0.25">
      <c r="L644">
        <v>640</v>
      </c>
      <c r="M644">
        <f t="shared" si="167"/>
        <v>320</v>
      </c>
      <c r="N644">
        <f t="shared" si="163"/>
        <v>248365.9485534718</v>
      </c>
      <c r="O644">
        <f t="shared" si="164"/>
        <v>-510390.42686876695</v>
      </c>
      <c r="P644">
        <f t="shared" si="165"/>
        <v>721.85403655877883</v>
      </c>
      <c r="Q644">
        <f t="shared" si="166"/>
        <v>-3273.2038836568972</v>
      </c>
      <c r="R644">
        <f t="shared" si="152"/>
        <v>-6.3395988071156433</v>
      </c>
      <c r="S644">
        <f t="shared" si="153"/>
        <v>13.999158699889399</v>
      </c>
      <c r="T644">
        <f t="shared" si="154"/>
        <v>563718.27943281806</v>
      </c>
      <c r="U644">
        <f t="shared" si="155"/>
        <v>585513.85869137396</v>
      </c>
      <c r="V644">
        <f t="shared" si="156"/>
        <v>556422.482399498</v>
      </c>
      <c r="W644">
        <f t="shared" si="157"/>
        <v>-5.3298394091591001</v>
      </c>
      <c r="X644">
        <f t="shared" si="158"/>
        <v>-0.24005762864500313</v>
      </c>
      <c r="Y644">
        <f t="shared" si="159"/>
        <v>-0.76970176931154</v>
      </c>
      <c r="Z644">
        <f t="shared" si="160"/>
        <v>12.028711923245808</v>
      </c>
      <c r="AA644">
        <f t="shared" si="161"/>
        <v>0.46549755107543422</v>
      </c>
      <c r="AB644">
        <f t="shared" si="162"/>
        <v>1.5049492255681574</v>
      </c>
    </row>
    <row r="645" spans="12:28" x14ac:dyDescent="0.25">
      <c r="L645">
        <v>641</v>
      </c>
      <c r="M645">
        <f t="shared" si="167"/>
        <v>320.5</v>
      </c>
      <c r="N645">
        <f t="shared" si="163"/>
        <v>248726.0831219003</v>
      </c>
      <c r="O645">
        <f t="shared" si="164"/>
        <v>-512025.2789157579</v>
      </c>
      <c r="P645">
        <f t="shared" si="165"/>
        <v>718.68423715522101</v>
      </c>
      <c r="Q645">
        <f t="shared" si="166"/>
        <v>-3266.2043043069525</v>
      </c>
      <c r="R645">
        <f t="shared" ref="R645:R708" si="168">SUM(W645:Y645)</f>
        <v>-6.2944658377513116</v>
      </c>
      <c r="S645">
        <f t="shared" ref="S645:S708" si="169">SUM(Z645:AB645)</f>
        <v>13.922168872945612</v>
      </c>
      <c r="T645">
        <f t="shared" ref="T645:T708" si="170">SQRT(($D$18-N645)^2 + ($E$18 - O645) ^2)</f>
        <v>565358.96573610976</v>
      </c>
      <c r="U645">
        <f t="shared" ref="U645:U708" si="171">SQRT(($D$26-N645)^2 + ($E$26- O645) ^2)</f>
        <v>587132.09721247002</v>
      </c>
      <c r="V645">
        <f t="shared" ref="V645:V708" si="172">SQRT(($D$34-N645)^2 + ($E$34 - O645) ^2)</f>
        <v>558042.16071697348</v>
      </c>
      <c r="W645">
        <f t="shared" ref="W645:W708" si="173">$D$22*(($D$18-N645)/(T645^2+($D$23^2))^(3/2))</f>
        <v>-5.2919620070782676</v>
      </c>
      <c r="X645">
        <f t="shared" ref="X645:X708" si="174">$D$30*(($D$26-N645)/(U645^2+($D$31^2))^(3/2))</f>
        <v>-0.2383979433599055</v>
      </c>
      <c r="Y645">
        <f t="shared" ref="Y645:Y708" si="175">$D$38*(($D$34-N645)/(V645^2+($D$39^2))^(3/2))</f>
        <v>-0.76410588731313811</v>
      </c>
      <c r="Z645">
        <f t="shared" ref="Z645:Z708" si="176">$D$22*(($E$18-O645)/(T645^2+($D$23^2))^(3/2))</f>
        <v>11.962248010267517</v>
      </c>
      <c r="AA645">
        <f t="shared" ref="AA645:AA708" si="177">$D$30*(($E$26-O645)/(U645^2+($D$31^2))^(3/2))</f>
        <v>0.46311006147826916</v>
      </c>
      <c r="AB645">
        <f t="shared" ref="AB645:AB708" si="178">$D$38*(($E$34-O645)/(V645^2+($D$39^2))^(3/2))</f>
        <v>1.4968108011998256</v>
      </c>
    </row>
    <row r="646" spans="12:28" x14ac:dyDescent="0.25">
      <c r="L646">
        <v>642</v>
      </c>
      <c r="M646">
        <f t="shared" si="167"/>
        <v>321</v>
      </c>
      <c r="N646">
        <f t="shared" ref="N646:N709" si="179">(N645)+(P645)*(M646-M645)+((1/2*(R645))*((M646-M645)^2))</f>
        <v>249084.6384322482</v>
      </c>
      <c r="O646">
        <f t="shared" ref="O646:O709" si="180">(O645)+(Q645)*(M646-M645)+((1/2*(S645))*((M646-M645)^2))</f>
        <v>-513656.6407968023</v>
      </c>
      <c r="P646">
        <f t="shared" ref="P646:P709" si="181">P645+(R645*(M646-M645))</f>
        <v>715.53700423634541</v>
      </c>
      <c r="Q646">
        <f t="shared" ref="Q646:Q709" si="182">Q645+(S645*(M646-M645))</f>
        <v>-3259.2432198704796</v>
      </c>
      <c r="R646">
        <f t="shared" si="168"/>
        <v>-6.2498731484885655</v>
      </c>
      <c r="S646">
        <f t="shared" si="169"/>
        <v>13.845981732095751</v>
      </c>
      <c r="T646">
        <f t="shared" si="170"/>
        <v>566996.01639540389</v>
      </c>
      <c r="U646">
        <f t="shared" si="171"/>
        <v>588746.82172458898</v>
      </c>
      <c r="V646">
        <f t="shared" si="172"/>
        <v>559658.33228675986</v>
      </c>
      <c r="W646">
        <f t="shared" si="173"/>
        <v>-5.2545377463967604</v>
      </c>
      <c r="X646">
        <f t="shared" si="174"/>
        <v>-0.23675754980133515</v>
      </c>
      <c r="Y646">
        <f t="shared" si="175"/>
        <v>-0.75857785229047003</v>
      </c>
      <c r="Z646">
        <f t="shared" si="176"/>
        <v>11.896480336424441</v>
      </c>
      <c r="AA646">
        <f t="shared" si="177"/>
        <v>0.46074597173062021</v>
      </c>
      <c r="AB646">
        <f t="shared" si="178"/>
        <v>1.4887554239406904</v>
      </c>
    </row>
    <row r="647" spans="12:28" x14ac:dyDescent="0.25">
      <c r="L647">
        <v>643</v>
      </c>
      <c r="M647">
        <f t="shared" si="167"/>
        <v>321.5</v>
      </c>
      <c r="N647">
        <f t="shared" si="179"/>
        <v>249441.62570022282</v>
      </c>
      <c r="O647">
        <f t="shared" si="180"/>
        <v>-515284.53165902104</v>
      </c>
      <c r="P647">
        <f t="shared" si="181"/>
        <v>712.41206766210109</v>
      </c>
      <c r="Q647">
        <f t="shared" si="182"/>
        <v>-3252.3202290044319</v>
      </c>
      <c r="R647">
        <f t="shared" si="168"/>
        <v>-6.2058117591979443</v>
      </c>
      <c r="S647">
        <f t="shared" si="169"/>
        <v>13.770585263440049</v>
      </c>
      <c r="T647">
        <f t="shared" si="170"/>
        <v>568629.45182922774</v>
      </c>
      <c r="U647">
        <f t="shared" si="171"/>
        <v>590358.05140627665</v>
      </c>
      <c r="V647">
        <f t="shared" si="172"/>
        <v>561271.01609316899</v>
      </c>
      <c r="W647">
        <f t="shared" si="173"/>
        <v>-5.2175590945122785</v>
      </c>
      <c r="X647">
        <f t="shared" si="174"/>
        <v>-0.23513613685895127</v>
      </c>
      <c r="Y647">
        <f t="shared" si="175"/>
        <v>-0.7531165278267139</v>
      </c>
      <c r="Z647">
        <f t="shared" si="176"/>
        <v>11.831398429151518</v>
      </c>
      <c r="AA647">
        <f t="shared" si="177"/>
        <v>0.45840495211190957</v>
      </c>
      <c r="AB647">
        <f t="shared" si="178"/>
        <v>1.4807818821766223</v>
      </c>
    </row>
    <row r="648" spans="12:28" x14ac:dyDescent="0.25">
      <c r="L648">
        <v>644</v>
      </c>
      <c r="M648">
        <f t="shared" si="167"/>
        <v>322</v>
      </c>
      <c r="N648">
        <f t="shared" si="179"/>
        <v>249797.05600758397</v>
      </c>
      <c r="O648">
        <f t="shared" si="180"/>
        <v>-516908.97045036533</v>
      </c>
      <c r="P648">
        <f t="shared" si="181"/>
        <v>709.30916178250209</v>
      </c>
      <c r="Q648">
        <f t="shared" si="182"/>
        <v>-3245.4349363727119</v>
      </c>
      <c r="R648">
        <f t="shared" si="168"/>
        <v>-6.1622728801082722</v>
      </c>
      <c r="S648">
        <f t="shared" si="169"/>
        <v>13.695967686874951</v>
      </c>
      <c r="T648">
        <f t="shared" si="170"/>
        <v>570259.29224021675</v>
      </c>
      <c r="U648">
        <f t="shared" si="171"/>
        <v>591965.80523829523</v>
      </c>
      <c r="V648">
        <f t="shared" si="172"/>
        <v>562880.2309272174</v>
      </c>
      <c r="W648">
        <f t="shared" si="173"/>
        <v>-5.1810186785931167</v>
      </c>
      <c r="X648">
        <f t="shared" si="174"/>
        <v>-0.23353339981909332</v>
      </c>
      <c r="Y648">
        <f t="shared" si="175"/>
        <v>-0.74772080169606259</v>
      </c>
      <c r="Z648">
        <f t="shared" si="176"/>
        <v>11.766992020730697</v>
      </c>
      <c r="AA648">
        <f t="shared" si="177"/>
        <v>0.45608667894802024</v>
      </c>
      <c r="AB648">
        <f t="shared" si="178"/>
        <v>1.4728889871962343</v>
      </c>
    </row>
    <row r="649" spans="12:28" x14ac:dyDescent="0.25">
      <c r="L649">
        <v>645</v>
      </c>
      <c r="M649">
        <f t="shared" si="167"/>
        <v>322.5</v>
      </c>
      <c r="N649">
        <f t="shared" si="179"/>
        <v>250150.94030436521</v>
      </c>
      <c r="O649">
        <f t="shared" si="180"/>
        <v>-518529.97592259082</v>
      </c>
      <c r="P649">
        <f t="shared" si="181"/>
        <v>706.22802534244795</v>
      </c>
      <c r="Q649">
        <f t="shared" si="182"/>
        <v>-3238.5869525292746</v>
      </c>
      <c r="R649">
        <f t="shared" si="168"/>
        <v>-6.1192479069113617</v>
      </c>
      <c r="S649">
        <f t="shared" si="169"/>
        <v>13.622117450505542</v>
      </c>
      <c r="T649">
        <f t="shared" si="170"/>
        <v>571885.55761838576</v>
      </c>
      <c r="U649">
        <f t="shared" si="171"/>
        <v>593570.10200655076</v>
      </c>
      <c r="V649">
        <f t="shared" si="172"/>
        <v>564485.99538943975</v>
      </c>
      <c r="W649">
        <f t="shared" si="173"/>
        <v>-5.144909281465436</v>
      </c>
      <c r="X649">
        <f t="shared" si="174"/>
        <v>-0.23194904020523185</v>
      </c>
      <c r="Y649">
        <f t="shared" si="175"/>
        <v>-0.74238958524069298</v>
      </c>
      <c r="Z649">
        <f t="shared" si="176"/>
        <v>11.703251043369415</v>
      </c>
      <c r="AA649">
        <f t="shared" si="177"/>
        <v>0.45379083447505714</v>
      </c>
      <c r="AB649">
        <f t="shared" si="178"/>
        <v>1.46507557266107</v>
      </c>
    </row>
    <row r="650" spans="12:28" x14ac:dyDescent="0.25">
      <c r="L650">
        <v>646</v>
      </c>
      <c r="M650">
        <f t="shared" si="167"/>
        <v>323</v>
      </c>
      <c r="N650">
        <f t="shared" si="179"/>
        <v>250503.28941104808</v>
      </c>
      <c r="O650">
        <f t="shared" si="180"/>
        <v>-520147.56663417415</v>
      </c>
      <c r="P650">
        <f t="shared" si="181"/>
        <v>703.16840138899227</v>
      </c>
      <c r="Q650">
        <f t="shared" si="182"/>
        <v>-3231.775893804022</v>
      </c>
      <c r="R650">
        <f t="shared" si="168"/>
        <v>-6.0767284160150146</v>
      </c>
      <c r="S650">
        <f t="shared" si="169"/>
        <v>13.549023225217333</v>
      </c>
      <c r="T650">
        <f t="shared" si="170"/>
        <v>573508.267744335</v>
      </c>
      <c r="U650">
        <f t="shared" si="171"/>
        <v>595170.96030496433</v>
      </c>
      <c r="V650">
        <f t="shared" si="172"/>
        <v>566088.32789264712</v>
      </c>
      <c r="W650">
        <f t="shared" si="173"/>
        <v>-5.1092238376253913</v>
      </c>
      <c r="X650">
        <f t="shared" si="174"/>
        <v>-0.23038276562310958</v>
      </c>
      <c r="Y650">
        <f t="shared" si="175"/>
        <v>-0.73712181276651367</v>
      </c>
      <c r="Z650">
        <f t="shared" si="176"/>
        <v>11.640165624420325</v>
      </c>
      <c r="AA650">
        <f t="shared" si="177"/>
        <v>0.45151710670677869</v>
      </c>
      <c r="AB650">
        <f t="shared" si="178"/>
        <v>1.4573404940902293</v>
      </c>
    </row>
    <row r="651" spans="12:28" x14ac:dyDescent="0.25">
      <c r="L651">
        <v>647</v>
      </c>
      <c r="M651">
        <f t="shared" si="167"/>
        <v>323.5</v>
      </c>
      <c r="N651">
        <f t="shared" si="179"/>
        <v>250854.11402069058</v>
      </c>
      <c r="O651">
        <f t="shared" si="180"/>
        <v>-521761.76095317298</v>
      </c>
      <c r="P651">
        <f t="shared" si="181"/>
        <v>700.1300371809848</v>
      </c>
      <c r="Q651">
        <f t="shared" si="182"/>
        <v>-3225.0013821914131</v>
      </c>
      <c r="R651">
        <f t="shared" si="168"/>
        <v>-6.034706159937981</v>
      </c>
      <c r="S651">
        <f t="shared" si="169"/>
        <v>13.476673899399376</v>
      </c>
      <c r="T651">
        <f t="shared" si="170"/>
        <v>575127.44219239429</v>
      </c>
      <c r="U651">
        <f t="shared" si="171"/>
        <v>596768.39853828785</v>
      </c>
      <c r="V651">
        <f t="shared" si="172"/>
        <v>567687.24666463432</v>
      </c>
      <c r="W651">
        <f t="shared" si="173"/>
        <v>-5.0739554293705726</v>
      </c>
      <c r="X651">
        <f t="shared" si="174"/>
        <v>-0.22883428961039132</v>
      </c>
      <c r="Y651">
        <f t="shared" si="175"/>
        <v>-0.7319164409570168</v>
      </c>
      <c r="Z651">
        <f t="shared" si="176"/>
        <v>11.577726081734918</v>
      </c>
      <c r="AA651">
        <f t="shared" si="177"/>
        <v>0.44926518930554082</v>
      </c>
      <c r="AB651">
        <f t="shared" si="178"/>
        <v>1.4496826283589175</v>
      </c>
    </row>
    <row r="652" spans="12:28" x14ac:dyDescent="0.25">
      <c r="L652">
        <v>648</v>
      </c>
      <c r="M652">
        <f t="shared" si="167"/>
        <v>324</v>
      </c>
      <c r="N652">
        <f t="shared" si="179"/>
        <v>251203.42470101107</v>
      </c>
      <c r="O652">
        <f t="shared" si="180"/>
        <v>-523372.5770600313</v>
      </c>
      <c r="P652">
        <f t="shared" si="181"/>
        <v>697.11268410101582</v>
      </c>
      <c r="Q652">
        <f t="shared" si="182"/>
        <v>-3218.2630452417134</v>
      </c>
      <c r="R652">
        <f t="shared" si="168"/>
        <v>-5.9931730628429634</v>
      </c>
      <c r="S652">
        <f t="shared" si="169"/>
        <v>13.405058573816062</v>
      </c>
      <c r="T652">
        <f t="shared" si="170"/>
        <v>576743.10033370554</v>
      </c>
      <c r="U652">
        <f t="shared" si="171"/>
        <v>598362.43492486712</v>
      </c>
      <c r="V652">
        <f t="shared" si="172"/>
        <v>569282.76975083665</v>
      </c>
      <c r="W652">
        <f t="shared" si="173"/>
        <v>-5.0390972830475844</v>
      </c>
      <c r="X652">
        <f t="shared" si="174"/>
        <v>-0.22730333149065918</v>
      </c>
      <c r="Y652">
        <f t="shared" si="175"/>
        <v>-0.72677244830472032</v>
      </c>
      <c r="Z652">
        <f t="shared" si="176"/>
        <v>11.515922919148744</v>
      </c>
      <c r="AA652">
        <f t="shared" si="177"/>
        <v>0.44703478145662023</v>
      </c>
      <c r="AB652">
        <f t="shared" si="178"/>
        <v>1.4421008732106966</v>
      </c>
    </row>
    <row r="653" spans="12:28" x14ac:dyDescent="0.25">
      <c r="L653">
        <v>649</v>
      </c>
      <c r="M653">
        <f t="shared" si="167"/>
        <v>324.5</v>
      </c>
      <c r="N653">
        <f t="shared" si="179"/>
        <v>251551.23189642874</v>
      </c>
      <c r="O653">
        <f t="shared" si="180"/>
        <v>-524980.03295033041</v>
      </c>
      <c r="P653">
        <f t="shared" si="181"/>
        <v>694.11609756959433</v>
      </c>
      <c r="Q653">
        <f t="shared" si="182"/>
        <v>-3211.5605159548054</v>
      </c>
      <c r="R653">
        <f t="shared" si="168"/>
        <v>-5.9521212162028601</v>
      </c>
      <c r="S653">
        <f t="shared" si="169"/>
        <v>13.334166556622563</v>
      </c>
      <c r="T653">
        <f t="shared" si="170"/>
        <v>578355.2613392456</v>
      </c>
      <c r="U653">
        <f t="shared" si="171"/>
        <v>599953.08749935159</v>
      </c>
      <c r="V653">
        <f t="shared" si="172"/>
        <v>570874.91501693719</v>
      </c>
      <c r="W653">
        <f t="shared" si="173"/>
        <v>-5.0046427654117274</v>
      </c>
      <c r="X653">
        <f t="shared" si="174"/>
        <v>-0.22578961623164887</v>
      </c>
      <c r="Y653">
        <f t="shared" si="175"/>
        <v>-0.72168883455948407</v>
      </c>
      <c r="Z653">
        <f t="shared" si="176"/>
        <v>11.454746822093879</v>
      </c>
      <c r="AA653">
        <f t="shared" si="177"/>
        <v>0.44482558774589209</v>
      </c>
      <c r="AB653">
        <f t="shared" si="178"/>
        <v>1.4345941467827912</v>
      </c>
    </row>
    <row r="654" spans="12:28" x14ac:dyDescent="0.25">
      <c r="L654">
        <v>650</v>
      </c>
      <c r="M654">
        <f t="shared" si="167"/>
        <v>325</v>
      </c>
      <c r="N654">
        <f t="shared" si="179"/>
        <v>251897.54593006152</v>
      </c>
      <c r="O654">
        <f t="shared" si="180"/>
        <v>-526584.14643748826</v>
      </c>
      <c r="P654">
        <f t="shared" si="181"/>
        <v>691.14003696149291</v>
      </c>
      <c r="Q654">
        <f t="shared" si="182"/>
        <v>-3204.8934326764943</v>
      </c>
      <c r="R654">
        <f t="shared" si="168"/>
        <v>-5.9115428745949297</v>
      </c>
      <c r="S654">
        <f t="shared" si="169"/>
        <v>13.263987358517657</v>
      </c>
      <c r="T654">
        <f t="shared" si="170"/>
        <v>579963.94418278965</v>
      </c>
      <c r="U654">
        <f t="shared" si="171"/>
        <v>601540.37411535205</v>
      </c>
      <c r="V654">
        <f t="shared" si="172"/>
        <v>572463.70015142579</v>
      </c>
      <c r="W654">
        <f t="shared" si="173"/>
        <v>-4.9705853800941915</v>
      </c>
      <c r="X654">
        <f t="shared" si="174"/>
        <v>-0.22429287430755829</v>
      </c>
      <c r="Y654">
        <f t="shared" si="175"/>
        <v>-0.71666462019317989</v>
      </c>
      <c r="Z654">
        <f t="shared" si="176"/>
        <v>11.394188653332801</v>
      </c>
      <c r="AA654">
        <f t="shared" si="177"/>
        <v>0.44263731804070561</v>
      </c>
      <c r="AB654">
        <f t="shared" si="178"/>
        <v>1.4271613871441502</v>
      </c>
    </row>
    <row r="655" spans="12:28" x14ac:dyDescent="0.25">
      <c r="L655">
        <v>651</v>
      </c>
      <c r="M655">
        <f t="shared" si="167"/>
        <v>325.5</v>
      </c>
      <c r="N655">
        <f t="shared" si="179"/>
        <v>252242.37700568294</v>
      </c>
      <c r="O655">
        <f t="shared" si="180"/>
        <v>-528184.93515540671</v>
      </c>
      <c r="P655">
        <f t="shared" si="181"/>
        <v>688.18426552419544</v>
      </c>
      <c r="Q655">
        <f t="shared" si="182"/>
        <v>-3198.2614389972355</v>
      </c>
      <c r="R655">
        <f t="shared" si="168"/>
        <v>-5.8714304516195357</v>
      </c>
      <c r="S655">
        <f t="shared" si="169"/>
        <v>13.194510688031668</v>
      </c>
      <c r="T655">
        <f t="shared" si="170"/>
        <v>581569.16764381947</v>
      </c>
      <c r="U655">
        <f t="shared" si="171"/>
        <v>603124.31244805059</v>
      </c>
      <c r="V655">
        <f t="shared" si="172"/>
        <v>574049.14266811067</v>
      </c>
      <c r="W655">
        <f t="shared" si="173"/>
        <v>-4.9369187641740702</v>
      </c>
      <c r="X655">
        <f t="shared" si="174"/>
        <v>-0.22281284156528364</v>
      </c>
      <c r="Y655">
        <f t="shared" si="175"/>
        <v>-0.71169884588018195</v>
      </c>
      <c r="Z655">
        <f t="shared" si="176"/>
        <v>11.334239448811919</v>
      </c>
      <c r="AA655">
        <f t="shared" si="177"/>
        <v>0.4404696873738394</v>
      </c>
      <c r="AB655">
        <f t="shared" si="178"/>
        <v>1.4198015518459088</v>
      </c>
    </row>
    <row r="656" spans="12:28" x14ac:dyDescent="0.25">
      <c r="L656">
        <v>652</v>
      </c>
      <c r="M656">
        <f t="shared" si="167"/>
        <v>326</v>
      </c>
      <c r="N656">
        <f t="shared" si="179"/>
        <v>252585.7352096386</v>
      </c>
      <c r="O656">
        <f t="shared" si="180"/>
        <v>-529782.41656106932</v>
      </c>
      <c r="P656">
        <f t="shared" si="181"/>
        <v>685.24855029838568</v>
      </c>
      <c r="Q656">
        <f t="shared" si="182"/>
        <v>-3191.6641836532194</v>
      </c>
      <c r="R656">
        <f t="shared" si="168"/>
        <v>-5.8317765159382944</v>
      </c>
      <c r="S656">
        <f t="shared" si="169"/>
        <v>13.125726446943156</v>
      </c>
      <c r="T656">
        <f t="shared" si="170"/>
        <v>583170.95031037449</v>
      </c>
      <c r="U656">
        <f t="shared" si="171"/>
        <v>604704.91999675927</v>
      </c>
      <c r="V656">
        <f t="shared" si="172"/>
        <v>575631.25990858453</v>
      </c>
      <c r="W656">
        <f t="shared" si="173"/>
        <v>-4.9036366848507349</v>
      </c>
      <c r="X656">
        <f t="shared" si="174"/>
        <v>-0.2213492590944888</v>
      </c>
      <c r="Y656">
        <f t="shared" si="175"/>
        <v>-0.70679057199307083</v>
      </c>
      <c r="Z656">
        <f t="shared" si="176"/>
        <v>11.274890413628912</v>
      </c>
      <c r="AA656">
        <f t="shared" si="177"/>
        <v>0.43832241583051335</v>
      </c>
      <c r="AB656">
        <f t="shared" si="178"/>
        <v>1.4125136174837323</v>
      </c>
    </row>
    <row r="657" spans="12:28" x14ac:dyDescent="0.25">
      <c r="L657">
        <v>653</v>
      </c>
      <c r="M657">
        <f t="shared" ref="M657:M720" si="183">L657*$D$5</f>
        <v>326.5</v>
      </c>
      <c r="N657">
        <f t="shared" si="179"/>
        <v>252927.63051272329</v>
      </c>
      <c r="O657">
        <f t="shared" si="180"/>
        <v>-531376.6079370901</v>
      </c>
      <c r="P657">
        <f t="shared" si="181"/>
        <v>682.33266204041649</v>
      </c>
      <c r="Q657">
        <f t="shared" si="182"/>
        <v>-3185.1013204297478</v>
      </c>
      <c r="R657">
        <f t="shared" si="168"/>
        <v>-5.7925737874286014</v>
      </c>
      <c r="S657">
        <f t="shared" si="169"/>
        <v>13.057624725822457</v>
      </c>
      <c r="T657">
        <f t="shared" si="170"/>
        <v>584769.31058184872</v>
      </c>
      <c r="U657">
        <f t="shared" si="171"/>
        <v>606282.2140874326</v>
      </c>
      <c r="V657">
        <f t="shared" si="172"/>
        <v>577210.06904464448</v>
      </c>
      <c r="W657">
        <f t="shared" si="173"/>
        <v>-4.8707330362141423</v>
      </c>
      <c r="X657">
        <f t="shared" si="174"/>
        <v>-0.21990187310135464</v>
      </c>
      <c r="Y657">
        <f t="shared" si="175"/>
        <v>-0.70193887811310396</v>
      </c>
      <c r="Z657">
        <f t="shared" si="176"/>
        <v>11.216132918112345</v>
      </c>
      <c r="AA657">
        <f t="shared" si="177"/>
        <v>0.43619522843830921</v>
      </c>
      <c r="AB657">
        <f t="shared" si="178"/>
        <v>1.4052965792718015</v>
      </c>
    </row>
    <row r="658" spans="12:28" x14ac:dyDescent="0.25">
      <c r="L658">
        <v>654</v>
      </c>
      <c r="M658">
        <f t="shared" si="183"/>
        <v>327</v>
      </c>
      <c r="N658">
        <f t="shared" si="179"/>
        <v>253268.07277202007</v>
      </c>
      <c r="O658">
        <f t="shared" si="180"/>
        <v>-532967.52639421425</v>
      </c>
      <c r="P658">
        <f t="shared" si="181"/>
        <v>679.43637514670218</v>
      </c>
      <c r="Q658">
        <f t="shared" si="182"/>
        <v>-3178.5725080668367</v>
      </c>
      <c r="R658">
        <f t="shared" si="168"/>
        <v>-5.7538151334496686</v>
      </c>
      <c r="S658">
        <f t="shared" si="169"/>
        <v>12.990195799695872</v>
      </c>
      <c r="T658">
        <f t="shared" si="170"/>
        <v>586364.26667173544</v>
      </c>
      <c r="U658">
        <f t="shared" si="171"/>
        <v>607856.2118751324</v>
      </c>
      <c r="V658">
        <f t="shared" si="172"/>
        <v>578785.58708066889</v>
      </c>
      <c r="W658">
        <f t="shared" si="173"/>
        <v>-4.8382018361088228</v>
      </c>
      <c r="X658">
        <f t="shared" si="174"/>
        <v>-0.21847043478589709</v>
      </c>
      <c r="Y658">
        <f t="shared" si="175"/>
        <v>-0.69714286255494873</v>
      </c>
      <c r="Z658">
        <f t="shared" si="176"/>
        <v>11.157958494007879</v>
      </c>
      <c r="AA658">
        <f t="shared" si="177"/>
        <v>0.43408785505992992</v>
      </c>
      <c r="AB658">
        <f t="shared" si="178"/>
        <v>1.3981494506280632</v>
      </c>
    </row>
    <row r="659" spans="12:28" x14ac:dyDescent="0.25">
      <c r="L659">
        <v>655</v>
      </c>
      <c r="M659">
        <f t="shared" si="183"/>
        <v>327.5</v>
      </c>
      <c r="N659">
        <f t="shared" si="179"/>
        <v>253607.07173270173</v>
      </c>
      <c r="O659">
        <f t="shared" si="180"/>
        <v>-534555.18887377274</v>
      </c>
      <c r="P659">
        <f t="shared" si="181"/>
        <v>676.55946757997731</v>
      </c>
      <c r="Q659">
        <f t="shared" si="182"/>
        <v>-3172.0774101669886</v>
      </c>
      <c r="R659">
        <f t="shared" si="168"/>
        <v>-5.7154935652171526</v>
      </c>
      <c r="S659">
        <f t="shared" si="169"/>
        <v>12.923430123828551</v>
      </c>
      <c r="T659">
        <f t="shared" si="170"/>
        <v>587955.83661031909</v>
      </c>
      <c r="U659">
        <f t="shared" si="171"/>
        <v>609426.93034644774</v>
      </c>
      <c r="V659">
        <f t="shared" si="172"/>
        <v>580357.83085595083</v>
      </c>
      <c r="W659">
        <f t="shared" si="173"/>
        <v>-4.8060372230892145</v>
      </c>
      <c r="X659">
        <f t="shared" si="174"/>
        <v>-0.21705470022274062</v>
      </c>
      <c r="Y659">
        <f t="shared" si="175"/>
        <v>-0.69240164190519782</v>
      </c>
      <c r="Z659">
        <f t="shared" si="176"/>
        <v>11.10035883076943</v>
      </c>
      <c r="AA659">
        <f t="shared" si="177"/>
        <v>0.4320000302887182</v>
      </c>
      <c r="AB659">
        <f t="shared" si="178"/>
        <v>1.3910712627704023</v>
      </c>
    </row>
    <row r="660" spans="12:28" x14ac:dyDescent="0.25">
      <c r="L660">
        <v>656</v>
      </c>
      <c r="M660">
        <f t="shared" si="183"/>
        <v>328</v>
      </c>
      <c r="N660">
        <f t="shared" si="179"/>
        <v>253944.63702979608</v>
      </c>
      <c r="O660">
        <f t="shared" si="180"/>
        <v>-536139.61215009086</v>
      </c>
      <c r="P660">
        <f t="shared" si="181"/>
        <v>673.70172079736869</v>
      </c>
      <c r="Q660">
        <f t="shared" si="182"/>
        <v>-3165.6156951050743</v>
      </c>
      <c r="R660">
        <f t="shared" si="168"/>
        <v>-5.6776022342820474</v>
      </c>
      <c r="S660">
        <f t="shared" si="169"/>
        <v>12.857318329620718</v>
      </c>
      <c r="T660">
        <f t="shared" si="170"/>
        <v>589544.03824731684</v>
      </c>
      <c r="U660">
        <f t="shared" si="171"/>
        <v>610994.38632186991</v>
      </c>
      <c r="V660">
        <f t="shared" si="172"/>
        <v>581926.81704698922</v>
      </c>
      <c r="W660">
        <f t="shared" si="173"/>
        <v>-4.7742334534626503</v>
      </c>
      <c r="X660">
        <f t="shared" si="174"/>
        <v>-0.21565443024523534</v>
      </c>
      <c r="Y660">
        <f t="shared" si="175"/>
        <v>-0.6877143505741613</v>
      </c>
      <c r="Z660">
        <f t="shared" si="176"/>
        <v>11.043325771950565</v>
      </c>
      <c r="AA660">
        <f t="shared" si="177"/>
        <v>0.42993149334685238</v>
      </c>
      <c r="AB660">
        <f t="shared" si="178"/>
        <v>1.3840610643232996</v>
      </c>
    </row>
    <row r="661" spans="12:28" x14ac:dyDescent="0.25">
      <c r="L661">
        <v>657</v>
      </c>
      <c r="M661">
        <f t="shared" si="183"/>
        <v>328.5</v>
      </c>
      <c r="N661">
        <f t="shared" si="179"/>
        <v>254280.77818991547</v>
      </c>
      <c r="O661">
        <f t="shared" si="180"/>
        <v>-537720.81283285224</v>
      </c>
      <c r="P661">
        <f t="shared" si="181"/>
        <v>670.86291968022772</v>
      </c>
      <c r="Q661">
        <f t="shared" si="182"/>
        <v>-3159.1870359402642</v>
      </c>
      <c r="R661">
        <f t="shared" si="168"/>
        <v>-5.6401344291111677</v>
      </c>
      <c r="S661">
        <f t="shared" si="169"/>
        <v>12.791851220615436</v>
      </c>
      <c r="T661">
        <f t="shared" si="170"/>
        <v>591128.88925447071</v>
      </c>
      <c r="U661">
        <f t="shared" si="171"/>
        <v>612558.5964581233</v>
      </c>
      <c r="V661">
        <f t="shared" si="172"/>
        <v>583492.56216973823</v>
      </c>
      <c r="W661">
        <f t="shared" si="173"/>
        <v>-4.7427848984177796</v>
      </c>
      <c r="X661">
        <f t="shared" si="174"/>
        <v>-0.21426939033280032</v>
      </c>
      <c r="Y661">
        <f t="shared" si="175"/>
        <v>-0.68308014036058773</v>
      </c>
      <c r="Z661">
        <f t="shared" si="176"/>
        <v>10.986851311694471</v>
      </c>
      <c r="AA661">
        <f t="shared" si="177"/>
        <v>0.42788198798612009</v>
      </c>
      <c r="AB661">
        <f t="shared" si="178"/>
        <v>1.3771179209348454</v>
      </c>
    </row>
    <row r="662" spans="12:28" x14ac:dyDescent="0.25">
      <c r="L662">
        <v>658</v>
      </c>
      <c r="M662">
        <f t="shared" si="183"/>
        <v>329</v>
      </c>
      <c r="N662">
        <f t="shared" si="179"/>
        <v>254615.50463295195</v>
      </c>
      <c r="O662">
        <f t="shared" si="180"/>
        <v>-539298.80736941984</v>
      </c>
      <c r="P662">
        <f t="shared" si="181"/>
        <v>668.04285246567213</v>
      </c>
      <c r="Q662">
        <f t="shared" si="182"/>
        <v>-3152.7911103299566</v>
      </c>
      <c r="R662">
        <f t="shared" si="168"/>
        <v>-5.6030835717650431</v>
      </c>
      <c r="S662">
        <f t="shared" si="169"/>
        <v>12.727019768612566</v>
      </c>
      <c r="T662">
        <f t="shared" si="170"/>
        <v>592710.40712809109</v>
      </c>
      <c r="U662">
        <f t="shared" si="171"/>
        <v>614119.57725045527</v>
      </c>
      <c r="V662">
        <f t="shared" si="172"/>
        <v>585055.08258181845</v>
      </c>
      <c r="W662">
        <f t="shared" si="173"/>
        <v>-4.7116860412348291</v>
      </c>
      <c r="X662">
        <f t="shared" si="174"/>
        <v>-0.2128993505014132</v>
      </c>
      <c r="Y662">
        <f t="shared" si="175"/>
        <v>-0.67849818002880069</v>
      </c>
      <c r="Z662">
        <f t="shared" si="176"/>
        <v>10.930927591317701</v>
      </c>
      <c r="AA662">
        <f t="shared" si="177"/>
        <v>0.42585126239124138</v>
      </c>
      <c r="AB662">
        <f t="shared" si="178"/>
        <v>1.3702409149036241</v>
      </c>
    </row>
    <row r="663" spans="12:28" x14ac:dyDescent="0.25">
      <c r="L663">
        <v>659</v>
      </c>
      <c r="M663">
        <f t="shared" si="183"/>
        <v>329.5</v>
      </c>
      <c r="N663">
        <f t="shared" si="179"/>
        <v>254948.82567373832</v>
      </c>
      <c r="O663">
        <f t="shared" si="180"/>
        <v>-540873.61204711383</v>
      </c>
      <c r="P663">
        <f t="shared" si="181"/>
        <v>665.24131067978965</v>
      </c>
      <c r="Q663">
        <f t="shared" si="182"/>
        <v>-3146.4276004456501</v>
      </c>
      <c r="R663">
        <f t="shared" si="168"/>
        <v>-5.5664432146708087</v>
      </c>
      <c r="S663">
        <f t="shared" si="169"/>
        <v>12.662815109887431</v>
      </c>
      <c r="T663">
        <f t="shared" si="170"/>
        <v>594288.60919155402</v>
      </c>
      <c r="U663">
        <f t="shared" si="171"/>
        <v>615677.34503488254</v>
      </c>
      <c r="V663">
        <f t="shared" si="172"/>
        <v>586614.39448468527</v>
      </c>
      <c r="W663">
        <f t="shared" si="173"/>
        <v>-4.6809314745757646</v>
      </c>
      <c r="X663">
        <f t="shared" si="174"/>
        <v>-0.21154408519711015</v>
      </c>
      <c r="Y663">
        <f t="shared" si="175"/>
        <v>-0.67396765489793387</v>
      </c>
      <c r="Z663">
        <f t="shared" si="176"/>
        <v>10.875546895986488</v>
      </c>
      <c r="AA663">
        <f t="shared" si="177"/>
        <v>0.42383906908559382</v>
      </c>
      <c r="AB663">
        <f t="shared" si="178"/>
        <v>1.3634291448153486</v>
      </c>
    </row>
    <row r="664" spans="12:28" x14ac:dyDescent="0.25">
      <c r="L664">
        <v>660</v>
      </c>
      <c r="M664">
        <f t="shared" si="183"/>
        <v>330</v>
      </c>
      <c r="N664">
        <f t="shared" si="179"/>
        <v>255280.75052367637</v>
      </c>
      <c r="O664">
        <f t="shared" si="180"/>
        <v>-542445.24299544794</v>
      </c>
      <c r="P664">
        <f t="shared" si="181"/>
        <v>662.4580890724543</v>
      </c>
      <c r="Q664">
        <f t="shared" si="182"/>
        <v>-3140.0961928907063</v>
      </c>
      <c r="R664">
        <f t="shared" si="168"/>
        <v>-5.5302070374864147</v>
      </c>
      <c r="S664">
        <f t="shared" si="169"/>
        <v>12.599228541509589</v>
      </c>
      <c r="T664">
        <f t="shared" si="170"/>
        <v>595863.51259775041</v>
      </c>
      <c r="U664">
        <f t="shared" si="171"/>
        <v>617231.91599039827</v>
      </c>
      <c r="V664">
        <f t="shared" si="172"/>
        <v>588170.51392576238</v>
      </c>
      <c r="W664">
        <f t="shared" si="173"/>
        <v>-4.6505158978512018</v>
      </c>
      <c r="X664">
        <f t="shared" si="174"/>
        <v>-0.21020337319244514</v>
      </c>
      <c r="Y664">
        <f t="shared" si="175"/>
        <v>-0.66948776644276831</v>
      </c>
      <c r="Z664">
        <f t="shared" si="176"/>
        <v>10.820701651481471</v>
      </c>
      <c r="AA664">
        <f t="shared" si="177"/>
        <v>0.42184516483936074</v>
      </c>
      <c r="AB664">
        <f t="shared" si="178"/>
        <v>1.3566817251887564</v>
      </c>
    </row>
    <row r="665" spans="12:28" x14ac:dyDescent="0.25">
      <c r="L665">
        <v>661</v>
      </c>
      <c r="M665">
        <f t="shared" si="183"/>
        <v>330.5</v>
      </c>
      <c r="N665">
        <f t="shared" si="179"/>
        <v>255611.2882923329</v>
      </c>
      <c r="O665">
        <f t="shared" si="180"/>
        <v>-544013.71618832566</v>
      </c>
      <c r="P665">
        <f t="shared" si="181"/>
        <v>659.69298555371108</v>
      </c>
      <c r="Q665">
        <f t="shared" si="182"/>
        <v>-3133.7965786199516</v>
      </c>
      <c r="R665">
        <f t="shared" si="168"/>
        <v>-5.4943688440533549</v>
      </c>
      <c r="S665">
        <f t="shared" si="169"/>
        <v>12.536251517759103</v>
      </c>
      <c r="T665">
        <f t="shared" si="170"/>
        <v>597435.13433149224</v>
      </c>
      <c r="U665">
        <f t="shared" si="171"/>
        <v>618783.30614113866</v>
      </c>
      <c r="V665">
        <f t="shared" si="172"/>
        <v>589723.45680053451</v>
      </c>
      <c r="W665">
        <f t="shared" si="173"/>
        <v>-4.6204341146617285</v>
      </c>
      <c r="X665">
        <f t="shared" si="174"/>
        <v>-0.20887699748576211</v>
      </c>
      <c r="Y665">
        <f t="shared" si="175"/>
        <v>-0.6650577319058637</v>
      </c>
      <c r="Z665">
        <f t="shared" si="176"/>
        <v>10.766384421048551</v>
      </c>
      <c r="AA665">
        <f t="shared" si="177"/>
        <v>0.41986931057992449</v>
      </c>
      <c r="AB665">
        <f t="shared" si="178"/>
        <v>1.3499977861306276</v>
      </c>
    </row>
    <row r="666" spans="12:28" x14ac:dyDescent="0.25">
      <c r="L666">
        <v>662</v>
      </c>
      <c r="M666">
        <f t="shared" si="183"/>
        <v>331</v>
      </c>
      <c r="N666">
        <f t="shared" si="179"/>
        <v>255940.44798900426</v>
      </c>
      <c r="O666">
        <f t="shared" si="180"/>
        <v>-545579.04744619585</v>
      </c>
      <c r="P666">
        <f t="shared" si="181"/>
        <v>656.94580113168445</v>
      </c>
      <c r="Q666">
        <f t="shared" si="182"/>
        <v>-3127.5284528610719</v>
      </c>
      <c r="R666">
        <f t="shared" si="168"/>
        <v>-5.4589225594353419</v>
      </c>
      <c r="S666">
        <f t="shared" si="169"/>
        <v>12.473875646637957</v>
      </c>
      <c r="T666">
        <f t="shared" si="170"/>
        <v>599003.49121187301</v>
      </c>
      <c r="U666">
        <f t="shared" si="171"/>
        <v>620331.53135851049</v>
      </c>
      <c r="V666">
        <f t="shared" si="172"/>
        <v>591273.23885460501</v>
      </c>
      <c r="W666">
        <f t="shared" si="173"/>
        <v>-4.5906810303114662</v>
      </c>
      <c r="X666">
        <f t="shared" si="174"/>
        <v>-0.20756474520325535</v>
      </c>
      <c r="Y666">
        <f t="shared" si="175"/>
        <v>-0.66067678392062013</v>
      </c>
      <c r="Z666">
        <f t="shared" si="176"/>
        <v>10.712587902333732</v>
      </c>
      <c r="AA666">
        <f t="shared" si="177"/>
        <v>0.41791127130456857</v>
      </c>
      <c r="AB666">
        <f t="shared" si="178"/>
        <v>1.3433764729996562</v>
      </c>
    </row>
    <row r="667" spans="12:28" x14ac:dyDescent="0.25">
      <c r="L667">
        <v>663</v>
      </c>
      <c r="M667">
        <f t="shared" si="183"/>
        <v>331.5</v>
      </c>
      <c r="N667">
        <f t="shared" si="179"/>
        <v>256268.23852425016</v>
      </c>
      <c r="O667">
        <f t="shared" si="180"/>
        <v>-547141.2524381706</v>
      </c>
      <c r="P667">
        <f t="shared" si="181"/>
        <v>654.21633985196672</v>
      </c>
      <c r="Q667">
        <f t="shared" si="182"/>
        <v>-3121.291515037753</v>
      </c>
      <c r="R667">
        <f t="shared" si="168"/>
        <v>-5.4238622270395824</v>
      </c>
      <c r="S667">
        <f t="shared" si="169"/>
        <v>12.412092686472381</v>
      </c>
      <c r="T667">
        <f t="shared" si="170"/>
        <v>600568.59989458625</v>
      </c>
      <c r="U667">
        <f t="shared" si="171"/>
        <v>621876.60736328177</v>
      </c>
      <c r="V667">
        <f t="shared" si="172"/>
        <v>592819.87568571721</v>
      </c>
      <c r="W667">
        <f t="shared" si="173"/>
        <v>-4.5612516493910391</v>
      </c>
      <c r="X667">
        <f t="shared" si="174"/>
        <v>-0.20626640750365563</v>
      </c>
      <c r="Y667">
        <f t="shared" si="175"/>
        <v>-0.656344170144887</v>
      </c>
      <c r="Z667">
        <f t="shared" si="176"/>
        <v>10.659304924398247</v>
      </c>
      <c r="AA667">
        <f t="shared" si="177"/>
        <v>0.41597081599527191</v>
      </c>
      <c r="AB667">
        <f t="shared" si="178"/>
        <v>1.3368169460788626</v>
      </c>
    </row>
    <row r="668" spans="12:28" x14ac:dyDescent="0.25">
      <c r="L668">
        <v>664</v>
      </c>
      <c r="M668">
        <f t="shared" si="183"/>
        <v>332</v>
      </c>
      <c r="N668">
        <f t="shared" si="179"/>
        <v>256594.66871139777</v>
      </c>
      <c r="O668">
        <f t="shared" si="180"/>
        <v>-548700.3466841036</v>
      </c>
      <c r="P668">
        <f t="shared" si="181"/>
        <v>651.50440873844695</v>
      </c>
      <c r="Q668">
        <f t="shared" si="182"/>
        <v>-3115.0854686945167</v>
      </c>
      <c r="R668">
        <f t="shared" si="168"/>
        <v>-5.3891820058185589</v>
      </c>
      <c r="S668">
        <f t="shared" si="169"/>
        <v>12.350894542604685</v>
      </c>
      <c r="T668">
        <f t="shared" si="170"/>
        <v>602130.47687420086</v>
      </c>
      <c r="U668">
        <f t="shared" si="171"/>
        <v>623418.54972763325</v>
      </c>
      <c r="V668">
        <f t="shared" si="172"/>
        <v>594363.38274573942</v>
      </c>
      <c r="W668">
        <f t="shared" si="173"/>
        <v>-4.5321410734282344</v>
      </c>
      <c r="X668">
        <f t="shared" si="174"/>
        <v>-0.20498177948553709</v>
      </c>
      <c r="Y668">
        <f t="shared" si="175"/>
        <v>-0.65205915290478789</v>
      </c>
      <c r="Z668">
        <f t="shared" si="176"/>
        <v>10.606528444812705</v>
      </c>
      <c r="AA668">
        <f t="shared" si="177"/>
        <v>0.41404771753568809</v>
      </c>
      <c r="AB668">
        <f t="shared" si="178"/>
        <v>1.330318380256293</v>
      </c>
    </row>
    <row r="669" spans="12:28" x14ac:dyDescent="0.25">
      <c r="L669">
        <v>665</v>
      </c>
      <c r="M669">
        <f t="shared" si="183"/>
        <v>332.5</v>
      </c>
      <c r="N669">
        <f t="shared" si="179"/>
        <v>256919.74726801628</v>
      </c>
      <c r="O669">
        <f t="shared" si="180"/>
        <v>-550256.34555663308</v>
      </c>
      <c r="P669">
        <f t="shared" si="181"/>
        <v>648.80981773553765</v>
      </c>
      <c r="Q669">
        <f t="shared" si="182"/>
        <v>-3108.9100214232144</v>
      </c>
      <c r="R669">
        <f t="shared" si="168"/>
        <v>-5.3548761675495182</v>
      </c>
      <c r="S669">
        <f t="shared" si="169"/>
        <v>12.290273264171299</v>
      </c>
      <c r="T669">
        <f t="shared" si="170"/>
        <v>603689.13848639664</v>
      </c>
      <c r="U669">
        <f t="shared" si="171"/>
        <v>624957.37387717527</v>
      </c>
      <c r="V669">
        <f t="shared" si="172"/>
        <v>595903.77534261625</v>
      </c>
      <c r="W669">
        <f t="shared" si="173"/>
        <v>-4.5033444986039761</v>
      </c>
      <c r="X669">
        <f t="shared" si="174"/>
        <v>-0.20371066009710362</v>
      </c>
      <c r="Y669">
        <f t="shared" si="175"/>
        <v>-0.64782100884843918</v>
      </c>
      <c r="Z669">
        <f t="shared" si="176"/>
        <v>10.554251546827377</v>
      </c>
      <c r="AA669">
        <f t="shared" si="177"/>
        <v>0.41214175263012942</v>
      </c>
      <c r="AB669">
        <f t="shared" si="178"/>
        <v>1.3238799647137924</v>
      </c>
    </row>
    <row r="670" spans="12:28" x14ac:dyDescent="0.25">
      <c r="L670">
        <v>666</v>
      </c>
      <c r="M670">
        <f t="shared" si="183"/>
        <v>333</v>
      </c>
      <c r="N670">
        <f t="shared" si="179"/>
        <v>257243.48281736308</v>
      </c>
      <c r="O670">
        <f t="shared" si="180"/>
        <v>-551809.26428318664</v>
      </c>
      <c r="P670">
        <f t="shared" si="181"/>
        <v>646.1323796517629</v>
      </c>
      <c r="Q670">
        <f t="shared" si="182"/>
        <v>-3102.7648847911287</v>
      </c>
      <c r="R670">
        <f t="shared" si="168"/>
        <v>-5.3209390941888781</v>
      </c>
      <c r="S670">
        <f t="shared" si="169"/>
        <v>12.230221040963764</v>
      </c>
      <c r="T670">
        <f t="shared" si="170"/>
        <v>605244.60091015766</v>
      </c>
      <c r="U670">
        <f t="shared" si="171"/>
        <v>626493.09509292839</v>
      </c>
      <c r="V670">
        <f t="shared" si="172"/>
        <v>597441.068642286</v>
      </c>
      <c r="W670">
        <f t="shared" si="173"/>
        <v>-4.474857213531215</v>
      </c>
      <c r="X670">
        <f t="shared" si="174"/>
        <v>-0.20245285204841082</v>
      </c>
      <c r="Y670">
        <f t="shared" si="175"/>
        <v>-0.64362902860925209</v>
      </c>
      <c r="Z670">
        <f t="shared" si="176"/>
        <v>10.502467436615593</v>
      </c>
      <c r="AA670">
        <f t="shared" si="177"/>
        <v>0.41025270172456241</v>
      </c>
      <c r="AB670">
        <f t="shared" si="178"/>
        <v>1.3175009026236086</v>
      </c>
    </row>
    <row r="671" spans="12:28" x14ac:dyDescent="0.25">
      <c r="L671">
        <v>667</v>
      </c>
      <c r="M671">
        <f t="shared" si="183"/>
        <v>333.5</v>
      </c>
      <c r="N671">
        <f t="shared" si="179"/>
        <v>257565.88388980218</v>
      </c>
      <c r="O671">
        <f t="shared" si="180"/>
        <v>-553359.11794795212</v>
      </c>
      <c r="P671">
        <f t="shared" si="181"/>
        <v>643.4719101046685</v>
      </c>
      <c r="Q671">
        <f t="shared" si="182"/>
        <v>-3096.649774270647</v>
      </c>
      <c r="R671">
        <f t="shared" si="168"/>
        <v>-5.2873652752999112</v>
      </c>
      <c r="S671">
        <f t="shared" si="169"/>
        <v>12.17073020037186</v>
      </c>
      <c r="T671">
        <f t="shared" si="170"/>
        <v>606796.88016992807</v>
      </c>
      <c r="U671">
        <f t="shared" si="171"/>
        <v>628025.72851326852</v>
      </c>
      <c r="V671">
        <f t="shared" si="172"/>
        <v>598975.27767056471</v>
      </c>
      <c r="W671">
        <f t="shared" si="173"/>
        <v>-4.4466745970954298</v>
      </c>
      <c r="X671">
        <f t="shared" si="174"/>
        <v>-0.20120816172592923</v>
      </c>
      <c r="Y671">
        <f t="shared" si="175"/>
        <v>-0.63948251647855225</v>
      </c>
      <c r="Z671">
        <f t="shared" si="176"/>
        <v>10.45116944058965</v>
      </c>
      <c r="AA671">
        <f t="shared" si="177"/>
        <v>0.40838034892952124</v>
      </c>
      <c r="AB671">
        <f t="shared" si="178"/>
        <v>1.3111804108526888</v>
      </c>
    </row>
    <row r="672" spans="12:28" x14ac:dyDescent="0.25">
      <c r="L672">
        <v>668</v>
      </c>
      <c r="M672">
        <f t="shared" si="183"/>
        <v>334</v>
      </c>
      <c r="N672">
        <f t="shared" si="179"/>
        <v>257886.95892419512</v>
      </c>
      <c r="O672">
        <f t="shared" si="180"/>
        <v>-554905.92149381235</v>
      </c>
      <c r="P672">
        <f t="shared" si="181"/>
        <v>640.82822746701856</v>
      </c>
      <c r="Q672">
        <f t="shared" si="182"/>
        <v>-3090.5644091704612</v>
      </c>
      <c r="R672">
        <f t="shared" si="168"/>
        <v>-5.2541493055504898</v>
      </c>
      <c r="S672">
        <f t="shared" si="169"/>
        <v>12.111793204404318</v>
      </c>
      <c r="T672">
        <f t="shared" si="170"/>
        <v>608345.99213772826</v>
      </c>
      <c r="U672">
        <f t="shared" si="171"/>
        <v>629555.28913583956</v>
      </c>
      <c r="V672">
        <f t="shared" si="172"/>
        <v>600506.41731499764</v>
      </c>
      <c r="W672">
        <f t="shared" si="173"/>
        <v>-4.4187921163540125</v>
      </c>
      <c r="X672">
        <f t="shared" si="174"/>
        <v>-0.19997639910939552</v>
      </c>
      <c r="Y672">
        <f t="shared" si="175"/>
        <v>-0.63538079008708193</v>
      </c>
      <c r="Z672">
        <f t="shared" si="176"/>
        <v>10.40035100278525</v>
      </c>
      <c r="AA672">
        <f t="shared" si="177"/>
        <v>0.40652448194491919</v>
      </c>
      <c r="AB672">
        <f t="shared" si="178"/>
        <v>1.3049177196741495</v>
      </c>
    </row>
    <row r="673" spans="12:28" x14ac:dyDescent="0.25">
      <c r="L673">
        <v>669</v>
      </c>
      <c r="M673">
        <f t="shared" si="183"/>
        <v>334.5</v>
      </c>
      <c r="N673">
        <f t="shared" si="179"/>
        <v>258206.71626926542</v>
      </c>
      <c r="O673">
        <f t="shared" si="180"/>
        <v>-556449.68972424709</v>
      </c>
      <c r="P673">
        <f t="shared" si="181"/>
        <v>638.2011528142433</v>
      </c>
      <c r="Q673">
        <f t="shared" si="182"/>
        <v>-3084.508512568259</v>
      </c>
      <c r="R673">
        <f t="shared" si="168"/>
        <v>-5.2212858822796786</v>
      </c>
      <c r="S673">
        <f t="shared" si="169"/>
        <v>12.053402646787168</v>
      </c>
      <c r="T673">
        <f t="shared" si="170"/>
        <v>609891.95253523358</v>
      </c>
      <c r="U673">
        <f t="shared" si="171"/>
        <v>631081.79181943077</v>
      </c>
      <c r="V673">
        <f t="shared" si="172"/>
        <v>602034.50232667977</v>
      </c>
      <c r="W673">
        <f t="shared" si="173"/>
        <v>-4.3912053244934857</v>
      </c>
      <c r="X673">
        <f t="shared" si="174"/>
        <v>-0.19875737769087007</v>
      </c>
      <c r="Y673">
        <f t="shared" si="175"/>
        <v>-0.6313231800953224</v>
      </c>
      <c r="Z673">
        <f t="shared" si="176"/>
        <v>10.350005682314309</v>
      </c>
      <c r="AA673">
        <f t="shared" si="177"/>
        <v>0.40468489198668622</v>
      </c>
      <c r="AB673">
        <f t="shared" si="178"/>
        <v>1.2987120724861714</v>
      </c>
    </row>
    <row r="674" spans="12:28" x14ac:dyDescent="0.25">
      <c r="L674">
        <v>670</v>
      </c>
      <c r="M674">
        <f t="shared" si="183"/>
        <v>335</v>
      </c>
      <c r="N674">
        <f t="shared" si="179"/>
        <v>258525.16418493728</v>
      </c>
      <c r="O674">
        <f t="shared" si="180"/>
        <v>-557990.43730520038</v>
      </c>
      <c r="P674">
        <f t="shared" si="181"/>
        <v>635.59050987310343</v>
      </c>
      <c r="Q674">
        <f t="shared" si="182"/>
        <v>-3078.4818112448652</v>
      </c>
      <c r="R674">
        <f t="shared" si="168"/>
        <v>-5.1887698031300102</v>
      </c>
      <c r="S674">
        <f t="shared" si="169"/>
        <v>11.995551250134961</v>
      </c>
      <c r="T674">
        <f t="shared" si="170"/>
        <v>611434.77693581686</v>
      </c>
      <c r="U674">
        <f t="shared" si="171"/>
        <v>632605.25128582283</v>
      </c>
      <c r="V674">
        <f t="shared" si="172"/>
        <v>603559.54732204415</v>
      </c>
      <c r="W674">
        <f t="shared" si="173"/>
        <v>-4.3639098588419163</v>
      </c>
      <c r="X674">
        <f t="shared" si="174"/>
        <v>-0.19755091439593178</v>
      </c>
      <c r="Y674">
        <f t="shared" si="175"/>
        <v>-0.62730902989216231</v>
      </c>
      <c r="Z674">
        <f t="shared" si="176"/>
        <v>10.300127150882112</v>
      </c>
      <c r="AA674">
        <f t="shared" si="177"/>
        <v>0.40286137371517144</v>
      </c>
      <c r="AB674">
        <f t="shared" si="178"/>
        <v>1.2925627255376766</v>
      </c>
    </row>
    <row r="675" spans="12:28" x14ac:dyDescent="0.25">
      <c r="L675">
        <v>671</v>
      </c>
      <c r="M675">
        <f t="shared" si="183"/>
        <v>335.5</v>
      </c>
      <c r="N675">
        <f t="shared" si="179"/>
        <v>258842.31084364845</v>
      </c>
      <c r="O675">
        <f t="shared" si="180"/>
        <v>-559528.17876691662</v>
      </c>
      <c r="P675">
        <f t="shared" si="181"/>
        <v>632.99612497153839</v>
      </c>
      <c r="Q675">
        <f t="shared" si="182"/>
        <v>-3072.4840356197979</v>
      </c>
      <c r="R675">
        <f t="shared" si="168"/>
        <v>-5.15659596374421</v>
      </c>
      <c r="S675">
        <f t="shared" si="169"/>
        <v>11.93823186319479</v>
      </c>
      <c r="T675">
        <f t="shared" si="170"/>
        <v>612974.48076655343</v>
      </c>
      <c r="U675">
        <f t="shared" si="171"/>
        <v>634125.68212160177</v>
      </c>
      <c r="V675">
        <f t="shared" si="172"/>
        <v>605081.56678462075</v>
      </c>
      <c r="W675">
        <f t="shared" si="173"/>
        <v>-4.3369014389354854</v>
      </c>
      <c r="X675">
        <f t="shared" si="174"/>
        <v>-0.19635682950695491</v>
      </c>
      <c r="Y675">
        <f t="shared" si="175"/>
        <v>-0.62333769530176908</v>
      </c>
      <c r="Z675">
        <f t="shared" si="176"/>
        <v>10.250709190368637</v>
      </c>
      <c r="AA675">
        <f t="shared" si="177"/>
        <v>0.40105372516528653</v>
      </c>
      <c r="AB675">
        <f t="shared" si="178"/>
        <v>1.2864689476608659</v>
      </c>
    </row>
    <row r="676" spans="12:28" x14ac:dyDescent="0.25">
      <c r="L676">
        <v>672</v>
      </c>
      <c r="M676">
        <f t="shared" si="183"/>
        <v>336</v>
      </c>
      <c r="N676">
        <f t="shared" si="179"/>
        <v>259158.16433163875</v>
      </c>
      <c r="O676">
        <f t="shared" si="180"/>
        <v>-561062.92850574362</v>
      </c>
      <c r="P676">
        <f t="shared" si="181"/>
        <v>630.41782698966631</v>
      </c>
      <c r="Q676">
        <f t="shared" si="182"/>
        <v>-3066.5149196882003</v>
      </c>
      <c r="R676">
        <f t="shared" si="168"/>
        <v>-5.1247593555238131</v>
      </c>
      <c r="S676">
        <f t="shared" si="169"/>
        <v>11.881437458159517</v>
      </c>
      <c r="T676">
        <f t="shared" si="170"/>
        <v>614511.07931019249</v>
      </c>
      <c r="U676">
        <f t="shared" si="171"/>
        <v>635643.09877994133</v>
      </c>
      <c r="V676">
        <f t="shared" si="172"/>
        <v>606600.57506676496</v>
      </c>
      <c r="W676">
        <f t="shared" si="173"/>
        <v>-4.3101758646370563</v>
      </c>
      <c r="X676">
        <f t="shared" si="174"/>
        <v>-0.19517494658838894</v>
      </c>
      <c r="Y676">
        <f t="shared" si="175"/>
        <v>-0.61940854429836811</v>
      </c>
      <c r="Z676">
        <f t="shared" si="176"/>
        <v>10.201745690470904</v>
      </c>
      <c r="AA676">
        <f t="shared" si="177"/>
        <v>0.39926174767830475</v>
      </c>
      <c r="AB676">
        <f t="shared" si="178"/>
        <v>1.2804300200103085</v>
      </c>
    </row>
    <row r="677" spans="12:28" x14ac:dyDescent="0.25">
      <c r="L677">
        <v>673</v>
      </c>
      <c r="M677">
        <f t="shared" si="183"/>
        <v>336.5</v>
      </c>
      <c r="N677">
        <f t="shared" si="179"/>
        <v>259472.73265021414</v>
      </c>
      <c r="O677">
        <f t="shared" si="180"/>
        <v>-562594.70078590547</v>
      </c>
      <c r="P677">
        <f t="shared" si="181"/>
        <v>627.85544731190441</v>
      </c>
      <c r="Q677">
        <f t="shared" si="182"/>
        <v>-3060.5742009591204</v>
      </c>
      <c r="R677">
        <f t="shared" si="168"/>
        <v>-5.0932550634483214</v>
      </c>
      <c r="S677">
        <f t="shared" si="169"/>
        <v>11.825161128049578</v>
      </c>
      <c r="T677">
        <f t="shared" si="170"/>
        <v>616044.58770709322</v>
      </c>
      <c r="U677">
        <f t="shared" si="171"/>
        <v>637157.51558235486</v>
      </c>
      <c r="V677">
        <f t="shared" si="172"/>
        <v>608116.58639135712</v>
      </c>
      <c r="W677">
        <f t="shared" si="173"/>
        <v>-4.2837290143056279</v>
      </c>
      <c r="X677">
        <f t="shared" si="174"/>
        <v>-0.1940050924140099</v>
      </c>
      <c r="Y677">
        <f t="shared" si="175"/>
        <v>-0.61552095672868368</v>
      </c>
      <c r="Z677">
        <f t="shared" si="176"/>
        <v>10.153230646405833</v>
      </c>
      <c r="AA677">
        <f t="shared" si="177"/>
        <v>0.39748524583533046</v>
      </c>
      <c r="AB677">
        <f t="shared" si="178"/>
        <v>1.2744452358084142</v>
      </c>
    </row>
    <row r="678" spans="12:28" x14ac:dyDescent="0.25">
      <c r="L678">
        <v>674</v>
      </c>
      <c r="M678">
        <f t="shared" si="183"/>
        <v>337</v>
      </c>
      <c r="N678">
        <f t="shared" si="179"/>
        <v>259786.02371698714</v>
      </c>
      <c r="O678">
        <f t="shared" si="180"/>
        <v>-564123.50974124402</v>
      </c>
      <c r="P678">
        <f t="shared" si="181"/>
        <v>625.30881978018022</v>
      </c>
      <c r="Q678">
        <f t="shared" si="182"/>
        <v>-3054.6616203950957</v>
      </c>
      <c r="R678">
        <f t="shared" si="168"/>
        <v>-5.062078263952114</v>
      </c>
      <c r="S678">
        <f t="shared" si="169"/>
        <v>11.769396084159204</v>
      </c>
      <c r="T678">
        <f t="shared" si="170"/>
        <v>617575.02095712663</v>
      </c>
      <c r="U678">
        <f t="shared" si="171"/>
        <v>638668.94672041701</v>
      </c>
      <c r="V678">
        <f t="shared" si="172"/>
        <v>609629.61485347396</v>
      </c>
      <c r="W678">
        <f t="shared" si="173"/>
        <v>-4.2575568430142576</v>
      </c>
      <c r="X678">
        <f t="shared" si="174"/>
        <v>-0.19284709689604596</v>
      </c>
      <c r="Y678">
        <f t="shared" si="175"/>
        <v>-0.61167432404181044</v>
      </c>
      <c r="Z678">
        <f t="shared" si="176"/>
        <v>10.105158156669777</v>
      </c>
      <c r="AA678">
        <f t="shared" si="177"/>
        <v>0.39572402739231416</v>
      </c>
      <c r="AB678">
        <f t="shared" si="178"/>
        <v>1.2685139000971131</v>
      </c>
    </row>
    <row r="679" spans="12:28" x14ac:dyDescent="0.25">
      <c r="L679">
        <v>675</v>
      </c>
      <c r="M679">
        <f t="shared" si="183"/>
        <v>337.5</v>
      </c>
      <c r="N679">
        <f t="shared" si="179"/>
        <v>260098.04536709425</v>
      </c>
      <c r="O679">
        <f t="shared" si="180"/>
        <v>-565649.36937693099</v>
      </c>
      <c r="P679">
        <f t="shared" si="181"/>
        <v>622.77778064820416</v>
      </c>
      <c r="Q679">
        <f t="shared" si="182"/>
        <v>-3048.7769223530163</v>
      </c>
      <c r="R679">
        <f t="shared" si="168"/>
        <v>-5.0312242228587216</v>
      </c>
      <c r="S679">
        <f t="shared" si="169"/>
        <v>11.714135653568423</v>
      </c>
      <c r="T679">
        <f t="shared" si="170"/>
        <v>619102.39392154524</v>
      </c>
      <c r="U679">
        <f t="shared" si="171"/>
        <v>640177.40625745698</v>
      </c>
      <c r="V679">
        <f t="shared" si="172"/>
        <v>611139.6744220308</v>
      </c>
      <c r="W679">
        <f t="shared" si="173"/>
        <v>-4.2316553808162443</v>
      </c>
      <c r="X679">
        <f t="shared" si="174"/>
        <v>-0.19170079301615736</v>
      </c>
      <c r="Y679">
        <f t="shared" si="175"/>
        <v>-0.60786804902631975</v>
      </c>
      <c r="Z679">
        <f t="shared" si="176"/>
        <v>10.057522420856147</v>
      </c>
      <c r="AA679">
        <f t="shared" si="177"/>
        <v>0.39397790321664528</v>
      </c>
      <c r="AB679">
        <f t="shared" si="178"/>
        <v>1.2626353294956294</v>
      </c>
    </row>
    <row r="680" spans="12:28" x14ac:dyDescent="0.25">
      <c r="L680">
        <v>676</v>
      </c>
      <c r="M680">
        <f t="shared" si="183"/>
        <v>338</v>
      </c>
      <c r="N680">
        <f t="shared" si="179"/>
        <v>260408.8053543905</v>
      </c>
      <c r="O680">
        <f t="shared" si="180"/>
        <v>-567172.29357115086</v>
      </c>
      <c r="P680">
        <f t="shared" si="181"/>
        <v>620.26216853677477</v>
      </c>
      <c r="Q680">
        <f t="shared" si="182"/>
        <v>-3042.919854526232</v>
      </c>
      <c r="R680">
        <f t="shared" si="168"/>
        <v>-5.0006882933690271</v>
      </c>
      <c r="S680">
        <f t="shared" si="169"/>
        <v>11.659373276714993</v>
      </c>
      <c r="T680">
        <f t="shared" si="170"/>
        <v>620626.72132482054</v>
      </c>
      <c r="U680">
        <f t="shared" si="171"/>
        <v>641682.90813022223</v>
      </c>
      <c r="V680">
        <f t="shared" si="172"/>
        <v>612646.77894139779</v>
      </c>
      <c r="W680">
        <f t="shared" si="173"/>
        <v>-4.2060207310565465</v>
      </c>
      <c r="X680">
        <f t="shared" si="174"/>
        <v>-0.19056601675817955</v>
      </c>
      <c r="Y680">
        <f t="shared" si="175"/>
        <v>-0.60410154555430173</v>
      </c>
      <c r="Z680">
        <f t="shared" si="176"/>
        <v>10.01031773752576</v>
      </c>
      <c r="AA680">
        <f t="shared" si="177"/>
        <v>0.39224668722520445</v>
      </c>
      <c r="AB680">
        <f t="shared" si="178"/>
        <v>1.2568088519640284</v>
      </c>
    </row>
    <row r="681" spans="12:28" x14ac:dyDescent="0.25">
      <c r="L681">
        <v>677</v>
      </c>
      <c r="M681">
        <f t="shared" si="183"/>
        <v>338.5</v>
      </c>
      <c r="N681">
        <f t="shared" si="179"/>
        <v>260718.3113526222</v>
      </c>
      <c r="O681">
        <f t="shared" si="180"/>
        <v>-568692.29607675434</v>
      </c>
      <c r="P681">
        <f t="shared" si="181"/>
        <v>617.76182439009028</v>
      </c>
      <c r="Q681">
        <f t="shared" si="182"/>
        <v>-3037.0901678878745</v>
      </c>
      <c r="R681">
        <f t="shared" si="168"/>
        <v>-4.9704659141035155</v>
      </c>
      <c r="S681">
        <f t="shared" si="169"/>
        <v>11.60510250502867</v>
      </c>
      <c r="T681">
        <f t="shared" si="170"/>
        <v>622148.01775644696</v>
      </c>
      <c r="U681">
        <f t="shared" si="171"/>
        <v>643185.46615051373</v>
      </c>
      <c r="V681">
        <f t="shared" si="172"/>
        <v>614150.94213298836</v>
      </c>
      <c r="W681">
        <f t="shared" si="173"/>
        <v>-4.1806490687286759</v>
      </c>
      <c r="X681">
        <f t="shared" si="174"/>
        <v>-0.18944260704262908</v>
      </c>
      <c r="Y681">
        <f t="shared" si="175"/>
        <v>-0.60037423833221049</v>
      </c>
      <c r="Z681">
        <f t="shared" si="176"/>
        <v>9.9635385021322023</v>
      </c>
      <c r="AA681">
        <f t="shared" si="177"/>
        <v>0.39053019632394304</v>
      </c>
      <c r="AB681">
        <f t="shared" si="178"/>
        <v>1.2510338065725242</v>
      </c>
    </row>
    <row r="682" spans="12:28" x14ac:dyDescent="0.25">
      <c r="L682">
        <v>678</v>
      </c>
      <c r="M682">
        <f t="shared" si="183"/>
        <v>339</v>
      </c>
      <c r="N682">
        <f t="shared" si="179"/>
        <v>261026.57095657798</v>
      </c>
      <c r="O682">
        <f t="shared" si="180"/>
        <v>-570209.39052288525</v>
      </c>
      <c r="P682">
        <f t="shared" si="181"/>
        <v>615.27659143303856</v>
      </c>
      <c r="Q682">
        <f t="shared" si="182"/>
        <v>-3031.2876166353603</v>
      </c>
      <c r="R682">
        <f t="shared" si="168"/>
        <v>-4.9405526071953521</v>
      </c>
      <c r="S682">
        <f t="shared" si="169"/>
        <v>11.55131699862236</v>
      </c>
      <c r="T682">
        <f t="shared" si="170"/>
        <v>623666.29767271806</v>
      </c>
      <c r="U682">
        <f t="shared" si="171"/>
        <v>644685.09400679532</v>
      </c>
      <c r="V682">
        <f t="shared" si="172"/>
        <v>615652.17759682203</v>
      </c>
      <c r="W682">
        <f t="shared" si="173"/>
        <v>-4.1555366388742261</v>
      </c>
      <c r="X682">
        <f t="shared" si="174"/>
        <v>-0.18833040566285025</v>
      </c>
      <c r="Y682">
        <f t="shared" si="175"/>
        <v>-0.59668556265827544</v>
      </c>
      <c r="Z682">
        <f t="shared" si="176"/>
        <v>9.9171792049972201</v>
      </c>
      <c r="AA682">
        <f t="shared" si="177"/>
        <v>0.38882825034880342</v>
      </c>
      <c r="AB682">
        <f t="shared" si="178"/>
        <v>1.2453095432763361</v>
      </c>
    </row>
    <row r="683" spans="12:28" x14ac:dyDescent="0.25">
      <c r="L683">
        <v>679</v>
      </c>
      <c r="M683">
        <f t="shared" si="183"/>
        <v>339.5</v>
      </c>
      <c r="N683">
        <f t="shared" si="179"/>
        <v>261333.5916832186</v>
      </c>
      <c r="O683">
        <f t="shared" si="180"/>
        <v>-571723.59041657811</v>
      </c>
      <c r="P683">
        <f t="shared" si="181"/>
        <v>612.80631512944092</v>
      </c>
      <c r="Q683">
        <f t="shared" si="182"/>
        <v>-3025.5119581360491</v>
      </c>
      <c r="R683">
        <f t="shared" si="168"/>
        <v>-4.9109439764337752</v>
      </c>
      <c r="S683">
        <f t="shared" si="169"/>
        <v>11.498010524040838</v>
      </c>
      <c r="T683">
        <f t="shared" si="170"/>
        <v>625181.57539846888</v>
      </c>
      <c r="U683">
        <f t="shared" si="171"/>
        <v>646181.80526577402</v>
      </c>
      <c r="V683">
        <f t="shared" si="172"/>
        <v>617150.49881306035</v>
      </c>
      <c r="W683">
        <f t="shared" si="173"/>
        <v>-4.1306797550246834</v>
      </c>
      <c r="X683">
        <f t="shared" si="174"/>
        <v>-0.18722925722281999</v>
      </c>
      <c r="Y683">
        <f t="shared" si="175"/>
        <v>-0.59303496418627166</v>
      </c>
      <c r="Z683">
        <f t="shared" si="176"/>
        <v>9.8712344293368428</v>
      </c>
      <c r="AA683">
        <f t="shared" si="177"/>
        <v>0.38714067200807945</v>
      </c>
      <c r="AB683">
        <f t="shared" si="178"/>
        <v>1.2396354226959152</v>
      </c>
    </row>
    <row r="684" spans="12:28" x14ac:dyDescent="0.25">
      <c r="L684">
        <v>680</v>
      </c>
      <c r="M684">
        <f t="shared" si="183"/>
        <v>340</v>
      </c>
      <c r="N684">
        <f t="shared" si="179"/>
        <v>261639.38097278628</v>
      </c>
      <c r="O684">
        <f t="shared" si="180"/>
        <v>-573234.90914433065</v>
      </c>
      <c r="P684">
        <f t="shared" si="181"/>
        <v>610.350843141224</v>
      </c>
      <c r="Q684">
        <f t="shared" si="182"/>
        <v>-3019.7629528740285</v>
      </c>
      <c r="R684">
        <f t="shared" si="168"/>
        <v>-4.8816357054561266</v>
      </c>
      <c r="S684">
        <f t="shared" si="169"/>
        <v>11.445176952065104</v>
      </c>
      <c r="T684">
        <f t="shared" si="170"/>
        <v>626693.86512879131</v>
      </c>
      <c r="U684">
        <f t="shared" si="171"/>
        <v>647675.61337395583</v>
      </c>
      <c r="V684">
        <f t="shared" si="172"/>
        <v>618645.91914351925</v>
      </c>
      <c r="W684">
        <f t="shared" si="173"/>
        <v>-4.1060747976841334</v>
      </c>
      <c r="X684">
        <f t="shared" si="174"/>
        <v>-0.18613900907652028</v>
      </c>
      <c r="Y684">
        <f t="shared" si="175"/>
        <v>-0.58942189869547279</v>
      </c>
      <c r="Z684">
        <f t="shared" si="176"/>
        <v>9.8256988493365842</v>
      </c>
      <c r="AA684">
        <f t="shared" si="177"/>
        <v>0.3854672868260921</v>
      </c>
      <c r="AB684">
        <f t="shared" si="178"/>
        <v>1.2340108159024272</v>
      </c>
    </row>
    <row r="685" spans="12:28" x14ac:dyDescent="0.25">
      <c r="L685">
        <v>681</v>
      </c>
      <c r="M685">
        <f t="shared" si="183"/>
        <v>340.5</v>
      </c>
      <c r="N685">
        <f t="shared" si="179"/>
        <v>261943.9461898937</v>
      </c>
      <c r="O685">
        <f t="shared" si="180"/>
        <v>-574743.35997364856</v>
      </c>
      <c r="P685">
        <f t="shared" si="181"/>
        <v>607.91002528849594</v>
      </c>
      <c r="Q685">
        <f t="shared" si="182"/>
        <v>-3014.0403643979962</v>
      </c>
      <c r="R685">
        <f t="shared" si="168"/>
        <v>-4.8526235559864137</v>
      </c>
      <c r="S685">
        <f t="shared" si="169"/>
        <v>11.392810255569247</v>
      </c>
      <c r="T685">
        <f t="shared" si="170"/>
        <v>628203.18093071901</v>
      </c>
      <c r="U685">
        <f t="shared" si="171"/>
        <v>649166.53165917424</v>
      </c>
      <c r="V685">
        <f t="shared" si="172"/>
        <v>620138.45183315512</v>
      </c>
      <c r="W685">
        <f t="shared" si="173"/>
        <v>-4.0817182128509693</v>
      </c>
      <c r="X685">
        <f t="shared" si="174"/>
        <v>-0.18505951126885803</v>
      </c>
      <c r="Y685">
        <f t="shared" si="175"/>
        <v>-0.58584583186658601</v>
      </c>
      <c r="Z685">
        <f t="shared" si="176"/>
        <v>9.7805672282727372</v>
      </c>
      <c r="AA685">
        <f t="shared" si="177"/>
        <v>0.3838079230881965</v>
      </c>
      <c r="AB685">
        <f t="shared" si="178"/>
        <v>1.2284351042083119</v>
      </c>
    </row>
    <row r="686" spans="12:28" x14ac:dyDescent="0.25">
      <c r="L686">
        <v>682</v>
      </c>
      <c r="M686">
        <f t="shared" si="183"/>
        <v>341</v>
      </c>
      <c r="N686">
        <f t="shared" si="179"/>
        <v>262247.29462459346</v>
      </c>
      <c r="O686">
        <f t="shared" si="180"/>
        <v>-576248.95605456561</v>
      </c>
      <c r="P686">
        <f t="shared" si="181"/>
        <v>605.48371351050275</v>
      </c>
      <c r="Q686">
        <f t="shared" si="182"/>
        <v>-3008.3439592702116</v>
      </c>
      <c r="R686">
        <f t="shared" si="168"/>
        <v>-4.8239033661201569</v>
      </c>
      <c r="S686">
        <f t="shared" si="169"/>
        <v>11.340904507430984</v>
      </c>
      <c r="T686">
        <f t="shared" si="170"/>
        <v>629709.53674488445</v>
      </c>
      <c r="U686">
        <f t="shared" si="171"/>
        <v>650654.57333209459</v>
      </c>
      <c r="V686">
        <f t="shared" si="172"/>
        <v>621628.11001152766</v>
      </c>
      <c r="W686">
        <f t="shared" si="173"/>
        <v>-4.0576065105785739</v>
      </c>
      <c r="X686">
        <f t="shared" si="174"/>
        <v>-0.18399061647806153</v>
      </c>
      <c r="Y686">
        <f t="shared" si="175"/>
        <v>-0.58230623906352186</v>
      </c>
      <c r="Z686">
        <f t="shared" si="176"/>
        <v>9.7358344166811044</v>
      </c>
      <c r="AA686">
        <f t="shared" si="177"/>
        <v>0.3821624117870317</v>
      </c>
      <c r="AB686">
        <f t="shared" si="178"/>
        <v>1.2229076789628479</v>
      </c>
    </row>
    <row r="687" spans="12:28" x14ac:dyDescent="0.25">
      <c r="L687">
        <v>683</v>
      </c>
      <c r="M687">
        <f t="shared" si="183"/>
        <v>341.5</v>
      </c>
      <c r="N687">
        <f t="shared" si="179"/>
        <v>262549.43349342793</v>
      </c>
      <c r="O687">
        <f t="shared" si="180"/>
        <v>-577751.71042113728</v>
      </c>
      <c r="P687">
        <f t="shared" si="181"/>
        <v>603.07176182744263</v>
      </c>
      <c r="Q687">
        <f t="shared" si="182"/>
        <v>-3002.6735070164959</v>
      </c>
      <c r="R687">
        <f t="shared" si="168"/>
        <v>-4.7954710486528489</v>
      </c>
      <c r="S687">
        <f t="shared" si="169"/>
        <v>11.289453878491356</v>
      </c>
      <c r="T687">
        <f t="shared" si="170"/>
        <v>631212.94638714741</v>
      </c>
      <c r="U687">
        <f t="shared" si="171"/>
        <v>652139.75148769259</v>
      </c>
      <c r="V687">
        <f t="shared" si="172"/>
        <v>623114.90669423866</v>
      </c>
      <c r="W687">
        <f t="shared" si="173"/>
        <v>-4.0337362635725356</v>
      </c>
      <c r="X687">
        <f t="shared" si="174"/>
        <v>-0.182932179959538</v>
      </c>
      <c r="Y687">
        <f t="shared" si="175"/>
        <v>-0.57880260512077553</v>
      </c>
      <c r="Z687">
        <f t="shared" si="176"/>
        <v>9.6914953505688377</v>
      </c>
      <c r="AA687">
        <f t="shared" si="177"/>
        <v>0.38053058657003686</v>
      </c>
      <c r="AB687">
        <f t="shared" si="178"/>
        <v>1.2174279413524811</v>
      </c>
    </row>
    <row r="688" spans="12:28" x14ac:dyDescent="0.25">
      <c r="L688">
        <v>684</v>
      </c>
      <c r="M688">
        <f t="shared" si="183"/>
        <v>342</v>
      </c>
      <c r="N688">
        <f t="shared" si="179"/>
        <v>262850.3699404606</v>
      </c>
      <c r="O688">
        <f t="shared" si="180"/>
        <v>-579251.63599291071</v>
      </c>
      <c r="P688">
        <f t="shared" si="181"/>
        <v>600.67402630311619</v>
      </c>
      <c r="Q688">
        <f t="shared" si="182"/>
        <v>-2997.0287800772503</v>
      </c>
      <c r="R688">
        <f t="shared" si="168"/>
        <v>-4.7673225894519398</v>
      </c>
      <c r="S688">
        <f t="shared" si="169"/>
        <v>11.238452635565027</v>
      </c>
      <c r="T688">
        <f t="shared" si="170"/>
        <v>632713.42355019716</v>
      </c>
      <c r="U688">
        <f t="shared" si="171"/>
        <v>653622.07910670922</v>
      </c>
      <c r="V688">
        <f t="shared" si="172"/>
        <v>624598.854784347</v>
      </c>
      <c r="W688">
        <f t="shared" si="173"/>
        <v>-4.0101041058245048</v>
      </c>
      <c r="X688">
        <f t="shared" si="174"/>
        <v>-0.18188405949113082</v>
      </c>
      <c r="Y688">
        <f t="shared" si="175"/>
        <v>-0.57533442413630442</v>
      </c>
      <c r="Z688">
        <f t="shared" si="176"/>
        <v>9.647545049670974</v>
      </c>
      <c r="AA688">
        <f t="shared" si="177"/>
        <v>0.37891228368815977</v>
      </c>
      <c r="AB688">
        <f t="shared" si="178"/>
        <v>1.2119953022058938</v>
      </c>
    </row>
    <row r="689" spans="12:28" x14ac:dyDescent="0.25">
      <c r="L689">
        <v>685</v>
      </c>
      <c r="M689">
        <f t="shared" si="183"/>
        <v>342.5</v>
      </c>
      <c r="N689">
        <f t="shared" si="179"/>
        <v>263150.11103828845</v>
      </c>
      <c r="O689">
        <f t="shared" si="180"/>
        <v>-580748.74557636993</v>
      </c>
      <c r="P689">
        <f t="shared" si="181"/>
        <v>598.29036500839027</v>
      </c>
      <c r="Q689">
        <f t="shared" si="182"/>
        <v>-2991.4095537594676</v>
      </c>
      <c r="R689">
        <f t="shared" si="168"/>
        <v>-4.7394540458701311</v>
      </c>
      <c r="S689">
        <f t="shared" si="169"/>
        <v>11.187895139497583</v>
      </c>
      <c r="T689">
        <f t="shared" si="170"/>
        <v>634210.98180512688</v>
      </c>
      <c r="U689">
        <f t="shared" si="171"/>
        <v>655101.56905708113</v>
      </c>
      <c r="V689">
        <f t="shared" si="172"/>
        <v>626079.96707376174</v>
      </c>
      <c r="W689">
        <f t="shared" si="173"/>
        <v>-3.9867067312806714</v>
      </c>
      <c r="X689">
        <f t="shared" si="174"/>
        <v>-0.18084611531974412</v>
      </c>
      <c r="Y689">
        <f t="shared" si="175"/>
        <v>-0.57190119926971572</v>
      </c>
      <c r="Z689">
        <f t="shared" si="176"/>
        <v>9.6039786157482041</v>
      </c>
      <c r="AA689">
        <f t="shared" si="177"/>
        <v>0.37730734194574223</v>
      </c>
      <c r="AB689">
        <f t="shared" si="178"/>
        <v>1.2066091818036353</v>
      </c>
    </row>
    <row r="690" spans="12:28" x14ac:dyDescent="0.25">
      <c r="L690">
        <v>686</v>
      </c>
      <c r="M690">
        <f t="shared" si="183"/>
        <v>343</v>
      </c>
      <c r="N690">
        <f t="shared" si="179"/>
        <v>263448.66378903692</v>
      </c>
      <c r="O690">
        <f t="shared" si="180"/>
        <v>-582243.05186635721</v>
      </c>
      <c r="P690">
        <f t="shared" si="181"/>
        <v>595.92063798545519</v>
      </c>
      <c r="Q690">
        <f t="shared" si="182"/>
        <v>-2985.8156061897189</v>
      </c>
      <c r="R690">
        <f t="shared" si="168"/>
        <v>-4.7118615451993184</v>
      </c>
      <c r="S690">
        <f t="shared" si="169"/>
        <v>11.1377758432698</v>
      </c>
      <c r="T690">
        <f t="shared" si="170"/>
        <v>635705.63460298243</v>
      </c>
      <c r="U690">
        <f t="shared" si="171"/>
        <v>656578.23409534921</v>
      </c>
      <c r="V690">
        <f t="shared" si="172"/>
        <v>627558.25624461204</v>
      </c>
      <c r="W690">
        <f t="shared" si="173"/>
        <v>-3.963540892544438</v>
      </c>
      <c r="X690">
        <f t="shared" si="174"/>
        <v>-0.17981821010929405</v>
      </c>
      <c r="Y690">
        <f t="shared" si="175"/>
        <v>-0.56850244254558668</v>
      </c>
      <c r="Z690">
        <f t="shared" si="176"/>
        <v>9.5607912309261032</v>
      </c>
      <c r="AA690">
        <f t="shared" si="177"/>
        <v>0.37571560265154852</v>
      </c>
      <c r="AB690">
        <f t="shared" si="178"/>
        <v>1.2012690096921488</v>
      </c>
    </row>
    <row r="691" spans="12:28" x14ac:dyDescent="0.25">
      <c r="L691">
        <v>687</v>
      </c>
      <c r="M691">
        <f t="shared" si="183"/>
        <v>343.5</v>
      </c>
      <c r="N691">
        <f t="shared" si="179"/>
        <v>263746.03512533649</v>
      </c>
      <c r="O691">
        <f t="shared" si="180"/>
        <v>-583734.56744747167</v>
      </c>
      <c r="P691">
        <f t="shared" si="181"/>
        <v>593.56470721285552</v>
      </c>
      <c r="Q691">
        <f t="shared" si="182"/>
        <v>-2980.2467182680839</v>
      </c>
      <c r="R691">
        <f t="shared" si="168"/>
        <v>-4.6845412831637869</v>
      </c>
      <c r="S691">
        <f t="shared" si="169"/>
        <v>11.088089290147163</v>
      </c>
      <c r="T691">
        <f t="shared" si="170"/>
        <v>637197.39527628594</v>
      </c>
      <c r="U691">
        <f t="shared" si="171"/>
        <v>658052.08686804189</v>
      </c>
      <c r="V691">
        <f t="shared" si="172"/>
        <v>629033.73487059609</v>
      </c>
      <c r="W691">
        <f t="shared" si="173"/>
        <v>-3.9406033996120118</v>
      </c>
      <c r="X691">
        <f t="shared" si="174"/>
        <v>-0.17880020888994996</v>
      </c>
      <c r="Y691">
        <f t="shared" si="175"/>
        <v>-0.56513767466182474</v>
      </c>
      <c r="Z691">
        <f t="shared" si="176"/>
        <v>9.5179781560740633</v>
      </c>
      <c r="AA691">
        <f t="shared" si="177"/>
        <v>0.37413690957090912</v>
      </c>
      <c r="AB691">
        <f t="shared" si="178"/>
        <v>1.1959742245021909</v>
      </c>
    </row>
    <row r="692" spans="12:28" x14ac:dyDescent="0.25">
      <c r="L692">
        <v>688</v>
      </c>
      <c r="M692">
        <f t="shared" si="183"/>
        <v>344</v>
      </c>
      <c r="N692">
        <f t="shared" si="179"/>
        <v>264042.23191128252</v>
      </c>
      <c r="O692">
        <f t="shared" si="180"/>
        <v>-585223.30479544448</v>
      </c>
      <c r="P692">
        <f t="shared" si="181"/>
        <v>591.22243657127365</v>
      </c>
      <c r="Q692">
        <f t="shared" si="182"/>
        <v>-2974.7026736230105</v>
      </c>
      <c r="R692">
        <f t="shared" si="168"/>
        <v>-4.6574895224516215</v>
      </c>
      <c r="S692">
        <f t="shared" si="169"/>
        <v>11.038830111873553</v>
      </c>
      <c r="T692">
        <f t="shared" si="170"/>
        <v>638686.27704053291</v>
      </c>
      <c r="U692">
        <f t="shared" si="171"/>
        <v>659523.13991303858</v>
      </c>
      <c r="V692">
        <f t="shared" si="172"/>
        <v>630506.41541830695</v>
      </c>
      <c r="W692">
        <f t="shared" si="173"/>
        <v>-3.9178911186401297</v>
      </c>
      <c r="X692">
        <f t="shared" si="174"/>
        <v>-0.17779197900862859</v>
      </c>
      <c r="Y692">
        <f t="shared" si="175"/>
        <v>-0.56180642480286258</v>
      </c>
      <c r="Z692">
        <f t="shared" si="176"/>
        <v>9.4755347292231917</v>
      </c>
      <c r="AA692">
        <f t="shared" si="177"/>
        <v>0.37257110887894929</v>
      </c>
      <c r="AB692">
        <f t="shared" si="178"/>
        <v>1.1907242737714121</v>
      </c>
    </row>
    <row r="693" spans="12:28" x14ac:dyDescent="0.25">
      <c r="L693">
        <v>689</v>
      </c>
      <c r="M693">
        <f t="shared" si="183"/>
        <v>344.5</v>
      </c>
      <c r="N693">
        <f t="shared" si="179"/>
        <v>264337.26094337786</v>
      </c>
      <c r="O693">
        <f t="shared" si="180"/>
        <v>-586709.27627849206</v>
      </c>
      <c r="P693">
        <f t="shared" si="181"/>
        <v>588.89369181004781</v>
      </c>
      <c r="Q693">
        <f t="shared" si="182"/>
        <v>-2969.1832585670736</v>
      </c>
      <c r="R693">
        <f t="shared" si="168"/>
        <v>-4.6307025912828585</v>
      </c>
      <c r="S693">
        <f t="shared" si="169"/>
        <v>10.989993026907088</v>
      </c>
      <c r="T693">
        <f t="shared" si="170"/>
        <v>640172.29299566627</v>
      </c>
      <c r="U693">
        <f t="shared" si="171"/>
        <v>660991.4056609089</v>
      </c>
      <c r="V693">
        <f t="shared" si="172"/>
        <v>631976.31024853967</v>
      </c>
      <c r="W693">
        <f t="shared" si="173"/>
        <v>-3.8954009707445842</v>
      </c>
      <c r="X693">
        <f t="shared" si="174"/>
        <v>-0.17679339008070191</v>
      </c>
      <c r="Y693">
        <f t="shared" si="175"/>
        <v>-0.55850823045757303</v>
      </c>
      <c r="Z693">
        <f t="shared" si="176"/>
        <v>9.4334563640211879</v>
      </c>
      <c r="AA693">
        <f t="shared" si="177"/>
        <v>0.37101804911486647</v>
      </c>
      <c r="AB693">
        <f t="shared" si="178"/>
        <v>1.1855186137710334</v>
      </c>
    </row>
    <row r="694" spans="12:28" x14ac:dyDescent="0.25">
      <c r="L694">
        <v>690</v>
      </c>
      <c r="M694">
        <f t="shared" si="183"/>
        <v>345</v>
      </c>
      <c r="N694">
        <f t="shared" si="179"/>
        <v>264631.12895145896</v>
      </c>
      <c r="O694">
        <f t="shared" si="180"/>
        <v>-588192.49415864726</v>
      </c>
      <c r="P694">
        <f t="shared" si="181"/>
        <v>586.57834051440636</v>
      </c>
      <c r="Q694">
        <f t="shared" si="182"/>
        <v>-2963.6882620536198</v>
      </c>
      <c r="R694">
        <f t="shared" si="168"/>
        <v>-4.6041768820140598</v>
      </c>
      <c r="S694">
        <f t="shared" si="169"/>
        <v>10.941572838698692</v>
      </c>
      <c r="T694">
        <f t="shared" si="170"/>
        <v>641655.45612752496</v>
      </c>
      <c r="U694">
        <f t="shared" si="171"/>
        <v>662456.89643623249</v>
      </c>
      <c r="V694">
        <f t="shared" si="172"/>
        <v>633443.43161757477</v>
      </c>
      <c r="W694">
        <f t="shared" si="173"/>
        <v>-3.8731299308293998</v>
      </c>
      <c r="X694">
        <f t="shared" si="174"/>
        <v>-0.1758043139428872</v>
      </c>
      <c r="Y694">
        <f t="shared" si="175"/>
        <v>-0.55524263724177281</v>
      </c>
      <c r="Z694">
        <f t="shared" si="176"/>
        <v>9.3917385482249287</v>
      </c>
      <c r="AA694">
        <f t="shared" si="177"/>
        <v>0.36947758113723522</v>
      </c>
      <c r="AB694">
        <f t="shared" si="178"/>
        <v>1.1803567093365264</v>
      </c>
    </row>
    <row r="695" spans="12:28" x14ac:dyDescent="0.25">
      <c r="L695">
        <v>691</v>
      </c>
      <c r="M695">
        <f t="shared" si="183"/>
        <v>345.5</v>
      </c>
      <c r="N695">
        <f t="shared" si="179"/>
        <v>264923.84259960591</v>
      </c>
      <c r="O695">
        <f t="shared" si="180"/>
        <v>-589672.97059306921</v>
      </c>
      <c r="P695">
        <f t="shared" si="181"/>
        <v>584.27625207339929</v>
      </c>
      <c r="Q695">
        <f t="shared" si="182"/>
        <v>-2958.2174756342706</v>
      </c>
      <c r="R695">
        <f t="shared" si="168"/>
        <v>-4.5779088497773559</v>
      </c>
      <c r="S695">
        <f t="shared" si="169"/>
        <v>10.893564434010143</v>
      </c>
      <c r="T695">
        <f t="shared" si="170"/>
        <v>643135.77930926986</v>
      </c>
      <c r="U695">
        <f t="shared" si="171"/>
        <v>663919.62445889576</v>
      </c>
      <c r="V695">
        <f t="shared" si="172"/>
        <v>634907.79167844472</v>
      </c>
      <c r="W695">
        <f t="shared" si="173"/>
        <v>-3.8510750264448785</v>
      </c>
      <c r="X695">
        <f t="shared" si="174"/>
        <v>-0.17482462460729178</v>
      </c>
      <c r="Y695">
        <f t="shared" si="175"/>
        <v>-0.55200919872518528</v>
      </c>
      <c r="Z695">
        <f t="shared" si="176"/>
        <v>9.3503768422276217</v>
      </c>
      <c r="AA695">
        <f t="shared" si="177"/>
        <v>0.36794955808032415</v>
      </c>
      <c r="AB695">
        <f t="shared" si="178"/>
        <v>1.1752380337021968</v>
      </c>
    </row>
    <row r="696" spans="12:28" x14ac:dyDescent="0.25">
      <c r="L696">
        <v>692</v>
      </c>
      <c r="M696">
        <f t="shared" si="183"/>
        <v>346</v>
      </c>
      <c r="N696">
        <f t="shared" si="179"/>
        <v>265215.40848703636</v>
      </c>
      <c r="O696">
        <f t="shared" si="180"/>
        <v>-591150.71763533214</v>
      </c>
      <c r="P696">
        <f t="shared" si="181"/>
        <v>581.98729764851066</v>
      </c>
      <c r="Q696">
        <f t="shared" si="182"/>
        <v>-2952.7706934172656</v>
      </c>
      <c r="R696">
        <f t="shared" si="168"/>
        <v>-4.551895011153789</v>
      </c>
      <c r="S696">
        <f t="shared" si="169"/>
        <v>10.845962781272409</v>
      </c>
      <c r="T696">
        <f t="shared" si="170"/>
        <v>644613.27530278615</v>
      </c>
      <c r="U696">
        <f t="shared" si="171"/>
        <v>665379.60184536909</v>
      </c>
      <c r="V696">
        <f t="shared" si="172"/>
        <v>636369.40248217795</v>
      </c>
      <c r="W696">
        <f t="shared" si="173"/>
        <v>-3.8292333366745295</v>
      </c>
      <c r="X696">
        <f t="shared" si="174"/>
        <v>-0.17385419821657391</v>
      </c>
      <c r="Y696">
        <f t="shared" si="175"/>
        <v>-0.54880747626268567</v>
      </c>
      <c r="Z696">
        <f t="shared" si="176"/>
        <v>9.3093668776215637</v>
      </c>
      <c r="AA696">
        <f t="shared" si="177"/>
        <v>0.36643383531138712</v>
      </c>
      <c r="AB696">
        <f t="shared" si="178"/>
        <v>1.1701620683394576</v>
      </c>
    </row>
    <row r="697" spans="12:28" x14ac:dyDescent="0.25">
      <c r="L697">
        <v>693</v>
      </c>
      <c r="M697">
        <f t="shared" si="183"/>
        <v>346.5</v>
      </c>
      <c r="N697">
        <f t="shared" si="179"/>
        <v>265505.83314898424</v>
      </c>
      <c r="O697">
        <f t="shared" si="180"/>
        <v>-592625.74723669305</v>
      </c>
      <c r="P697">
        <f t="shared" si="181"/>
        <v>579.71135014293372</v>
      </c>
      <c r="Q697">
        <f t="shared" si="182"/>
        <v>-2947.3477120266293</v>
      </c>
      <c r="R697">
        <f t="shared" si="168"/>
        <v>-4.5261319428792834</v>
      </c>
      <c r="S697">
        <f t="shared" si="169"/>
        <v>10.798762928981523</v>
      </c>
      <c r="T697">
        <f t="shared" si="170"/>
        <v>646087.9567600626</v>
      </c>
      <c r="U697">
        <f t="shared" si="171"/>
        <v>666836.84060996387</v>
      </c>
      <c r="V697">
        <f t="shared" si="172"/>
        <v>637828.27597902401</v>
      </c>
      <c r="W697">
        <f t="shared" si="173"/>
        <v>-3.8076019910493026</v>
      </c>
      <c r="X697">
        <f t="shared" si="174"/>
        <v>-0.172892913000182</v>
      </c>
      <c r="Y697">
        <f t="shared" si="175"/>
        <v>-0.54563703882979853</v>
      </c>
      <c r="Z697">
        <f t="shared" si="176"/>
        <v>9.2687043557937336</v>
      </c>
      <c r="AA697">
        <f t="shared" si="177"/>
        <v>0.36493027038888692</v>
      </c>
      <c r="AB697">
        <f t="shared" si="178"/>
        <v>1.1651283027989017</v>
      </c>
    </row>
    <row r="698" spans="12:28" x14ac:dyDescent="0.25">
      <c r="L698">
        <v>694</v>
      </c>
      <c r="M698">
        <f t="shared" si="183"/>
        <v>347</v>
      </c>
      <c r="N698">
        <f t="shared" si="179"/>
        <v>265795.12305756286</v>
      </c>
      <c r="O698">
        <f t="shared" si="180"/>
        <v>-594098.0712473403</v>
      </c>
      <c r="P698">
        <f t="shared" si="181"/>
        <v>577.44828417149404</v>
      </c>
      <c r="Q698">
        <f t="shared" si="182"/>
        <v>-2941.9483305621384</v>
      </c>
      <c r="R698">
        <f t="shared" si="168"/>
        <v>-4.5006162805828769</v>
      </c>
      <c r="S698">
        <f t="shared" si="169"/>
        <v>10.751960004132453</v>
      </c>
      <c r="T698">
        <f t="shared" si="170"/>
        <v>647559.83622454968</v>
      </c>
      <c r="U698">
        <f t="shared" si="171"/>
        <v>668291.35266606894</v>
      </c>
      <c r="V698">
        <f t="shared" si="172"/>
        <v>639284.42401966138</v>
      </c>
      <c r="W698">
        <f t="shared" si="173"/>
        <v>-3.7861781684889846</v>
      </c>
      <c r="X698">
        <f t="shared" si="174"/>
        <v>-0.17194064923165855</v>
      </c>
      <c r="Y698">
        <f t="shared" si="175"/>
        <v>-0.54249746286223344</v>
      </c>
      <c r="Z698">
        <f t="shared" si="176"/>
        <v>9.2283850465549158</v>
      </c>
      <c r="AA698">
        <f t="shared" si="177"/>
        <v>0.36343872302166552</v>
      </c>
      <c r="AB698">
        <f t="shared" si="178"/>
        <v>1.1601362345558721</v>
      </c>
    </row>
    <row r="699" spans="12:28" x14ac:dyDescent="0.25">
      <c r="L699">
        <v>695</v>
      </c>
      <c r="M699">
        <f t="shared" si="183"/>
        <v>347.5</v>
      </c>
      <c r="N699">
        <f t="shared" si="179"/>
        <v>266083.28462261357</v>
      </c>
      <c r="O699">
        <f t="shared" si="180"/>
        <v>-595567.70141762088</v>
      </c>
      <c r="P699">
        <f t="shared" si="181"/>
        <v>575.19797603120264</v>
      </c>
      <c r="Q699">
        <f t="shared" si="182"/>
        <v>-2936.5723505600722</v>
      </c>
      <c r="R699">
        <f t="shared" si="168"/>
        <v>-4.4753447175559566</v>
      </c>
      <c r="S699">
        <f t="shared" si="169"/>
        <v>10.705549210688977</v>
      </c>
      <c r="T699">
        <f t="shared" si="170"/>
        <v>649028.92613249435</v>
      </c>
      <c r="U699">
        <f t="shared" si="171"/>
        <v>669743.14982736786</v>
      </c>
      <c r="V699">
        <f t="shared" si="172"/>
        <v>640737.85835638328</v>
      </c>
      <c r="W699">
        <f t="shared" si="173"/>
        <v>-3.7649590962696107</v>
      </c>
      <c r="X699">
        <f t="shared" si="174"/>
        <v>-0.17099728918696477</v>
      </c>
      <c r="Y699">
        <f t="shared" si="175"/>
        <v>-0.5393883320993812</v>
      </c>
      <c r="Z699">
        <f t="shared" si="176"/>
        <v>9.1884047868004615</v>
      </c>
      <c r="AA699">
        <f t="shared" si="177"/>
        <v>0.36195905502900283</v>
      </c>
      <c r="AB699">
        <f t="shared" si="178"/>
        <v>1.1551853688595124</v>
      </c>
    </row>
    <row r="700" spans="12:28" x14ac:dyDescent="0.25">
      <c r="L700">
        <v>696</v>
      </c>
      <c r="M700">
        <f t="shared" si="183"/>
        <v>348</v>
      </c>
      <c r="N700">
        <f t="shared" si="179"/>
        <v>266370.3241925395</v>
      </c>
      <c r="O700">
        <f t="shared" si="180"/>
        <v>-597034.64939924958</v>
      </c>
      <c r="P700">
        <f t="shared" si="181"/>
        <v>572.96030367242463</v>
      </c>
      <c r="Q700">
        <f t="shared" si="182"/>
        <v>-2931.2195759547276</v>
      </c>
      <c r="R700">
        <f t="shared" si="168"/>
        <v>-4.4503140035516662</v>
      </c>
      <c r="S700">
        <f t="shared" si="169"/>
        <v>10.65952582808881</v>
      </c>
      <c r="T700">
        <f t="shared" si="170"/>
        <v>650495.23881425476</v>
      </c>
      <c r="U700">
        <f t="shared" si="171"/>
        <v>671192.24380903714</v>
      </c>
      <c r="V700">
        <f t="shared" si="172"/>
        <v>642188.59064426809</v>
      </c>
      <c r="W700">
        <f t="shared" si="173"/>
        <v>-3.7439420490161521</v>
      </c>
      <c r="X700">
        <f t="shared" si="174"/>
        <v>-0.17006271710381055</v>
      </c>
      <c r="Y700">
        <f t="shared" si="175"/>
        <v>-0.53630923743170311</v>
      </c>
      <c r="Z700">
        <f t="shared" si="176"/>
        <v>9.148759479201928</v>
      </c>
      <c r="AA700">
        <f t="shared" si="177"/>
        <v>0.36049113030156926</v>
      </c>
      <c r="AB700">
        <f t="shared" si="178"/>
        <v>1.1502752185853116</v>
      </c>
    </row>
    <row r="701" spans="12:28" x14ac:dyDescent="0.25">
      <c r="L701">
        <v>697</v>
      </c>
      <c r="M701">
        <f t="shared" si="183"/>
        <v>348.5</v>
      </c>
      <c r="N701">
        <f t="shared" si="179"/>
        <v>266656.2480551253</v>
      </c>
      <c r="O701">
        <f t="shared" si="180"/>
        <v>-598498.92674649844</v>
      </c>
      <c r="P701">
        <f t="shared" si="181"/>
        <v>570.73514667064876</v>
      </c>
      <c r="Q701">
        <f t="shared" si="182"/>
        <v>-2925.8898130406833</v>
      </c>
      <c r="R701">
        <f t="shared" si="168"/>
        <v>-4.4255209436137122</v>
      </c>
      <c r="S701">
        <f t="shared" si="169"/>
        <v>10.613885209783156</v>
      </c>
      <c r="T701">
        <f t="shared" si="170"/>
        <v>651958.78649559361</v>
      </c>
      <c r="U701">
        <f t="shared" si="171"/>
        <v>672638.64622892579</v>
      </c>
      <c r="V701">
        <f t="shared" si="172"/>
        <v>643636.63244233024</v>
      </c>
      <c r="W701">
        <f t="shared" si="173"/>
        <v>-3.7231243477199487</v>
      </c>
      <c r="X701">
        <f t="shared" si="174"/>
        <v>-0.16913681914194437</v>
      </c>
      <c r="Y701">
        <f t="shared" si="175"/>
        <v>-0.53325977675181879</v>
      </c>
      <c r="Z701">
        <f t="shared" si="176"/>
        <v>9.1094450909290785</v>
      </c>
      <c r="AA701">
        <f t="shared" si="177"/>
        <v>0.35903481476321375</v>
      </c>
      <c r="AB701">
        <f t="shared" si="178"/>
        <v>1.1454053040908627</v>
      </c>
    </row>
    <row r="702" spans="12:28" x14ac:dyDescent="0.25">
      <c r="L702">
        <v>698</v>
      </c>
      <c r="M702">
        <f t="shared" si="183"/>
        <v>349</v>
      </c>
      <c r="N702">
        <f t="shared" si="179"/>
        <v>266941.06243834266</v>
      </c>
      <c r="O702">
        <f t="shared" si="180"/>
        <v>-599960.54491736752</v>
      </c>
      <c r="P702">
        <f t="shared" si="181"/>
        <v>568.5223861988419</v>
      </c>
      <c r="Q702">
        <f t="shared" si="182"/>
        <v>-2920.5828704357918</v>
      </c>
      <c r="R702">
        <f t="shared" si="168"/>
        <v>-4.4009623969338749</v>
      </c>
      <c r="S702">
        <f t="shared" si="169"/>
        <v>10.568622781810198</v>
      </c>
      <c r="T702">
        <f t="shared" si="170"/>
        <v>653419.58129895048</v>
      </c>
      <c r="U702">
        <f t="shared" si="171"/>
        <v>674082.36860871594</v>
      </c>
      <c r="V702">
        <f t="shared" si="172"/>
        <v>645081.99521465343</v>
      </c>
      <c r="W702">
        <f t="shared" si="173"/>
        <v>-3.7025033587802452</v>
      </c>
      <c r="X702">
        <f t="shared" si="174"/>
        <v>-0.16821948334439826</v>
      </c>
      <c r="Y702">
        <f t="shared" si="175"/>
        <v>-0.53023955480923168</v>
      </c>
      <c r="Z702">
        <f t="shared" si="176"/>
        <v>9.0704576524017391</v>
      </c>
      <c r="AA702">
        <f t="shared" si="177"/>
        <v>0.35758997633360767</v>
      </c>
      <c r="AB702">
        <f t="shared" si="178"/>
        <v>1.1405751530748518</v>
      </c>
    </row>
    <row r="703" spans="12:28" x14ac:dyDescent="0.25">
      <c r="L703">
        <v>699</v>
      </c>
      <c r="M703">
        <f t="shared" si="183"/>
        <v>349.5</v>
      </c>
      <c r="N703">
        <f t="shared" si="179"/>
        <v>267224.77351114247</v>
      </c>
      <c r="O703">
        <f t="shared" si="180"/>
        <v>-601419.51527473773</v>
      </c>
      <c r="P703">
        <f t="shared" si="181"/>
        <v>566.32190500037495</v>
      </c>
      <c r="Q703">
        <f t="shared" si="182"/>
        <v>-2915.2985590448866</v>
      </c>
      <c r="R703">
        <f t="shared" si="168"/>
        <v>-4.376635275737053</v>
      </c>
      <c r="S703">
        <f t="shared" si="169"/>
        <v>10.523734041400578</v>
      </c>
      <c r="T703">
        <f t="shared" si="170"/>
        <v>654877.63524469477</v>
      </c>
      <c r="U703">
        <f t="shared" si="171"/>
        <v>675523.42237506632</v>
      </c>
      <c r="V703">
        <f t="shared" si="172"/>
        <v>646524.69033150712</v>
      </c>
      <c r="W703">
        <f t="shared" si="173"/>
        <v>-3.6820764930687795</v>
      </c>
      <c r="X703">
        <f t="shared" si="174"/>
        <v>-0.16731059959964323</v>
      </c>
      <c r="Y703">
        <f t="shared" si="175"/>
        <v>-0.52724818306863031</v>
      </c>
      <c r="Z703">
        <f t="shared" si="176"/>
        <v>9.0317932560696175</v>
      </c>
      <c r="AA703">
        <f t="shared" si="177"/>
        <v>0.35615648489168755</v>
      </c>
      <c r="AB703">
        <f t="shared" si="178"/>
        <v>1.1357843004392725</v>
      </c>
    </row>
    <row r="704" spans="12:28" x14ac:dyDescent="0.25">
      <c r="L704">
        <v>700</v>
      </c>
      <c r="M704">
        <f t="shared" si="183"/>
        <v>350</v>
      </c>
      <c r="N704">
        <f t="shared" si="179"/>
        <v>267507.38738423318</v>
      </c>
      <c r="O704">
        <f t="shared" si="180"/>
        <v>-602875.84908750502</v>
      </c>
      <c r="P704">
        <f t="shared" si="181"/>
        <v>564.13358736250643</v>
      </c>
      <c r="Q704">
        <f t="shared" si="182"/>
        <v>-2910.0366920241863</v>
      </c>
      <c r="R704">
        <f t="shared" si="168"/>
        <v>-4.3525365441932813</v>
      </c>
      <c r="S704">
        <f t="shared" si="169"/>
        <v>10.479214555614673</v>
      </c>
      <c r="T704">
        <f t="shared" si="170"/>
        <v>656332.96025235846</v>
      </c>
      <c r="U704">
        <f t="shared" si="171"/>
        <v>676961.81886073737</v>
      </c>
      <c r="V704">
        <f t="shared" si="172"/>
        <v>647964.72907044529</v>
      </c>
      <c r="W704">
        <f t="shared" si="173"/>
        <v>-3.6618412050170575</v>
      </c>
      <c r="X704">
        <f t="shared" si="174"/>
        <v>-0.16641005960464553</v>
      </c>
      <c r="Y704">
        <f t="shared" si="175"/>
        <v>-0.52428527957157789</v>
      </c>
      <c r="Z704">
        <f t="shared" si="176"/>
        <v>8.993448055220167</v>
      </c>
      <c r="AA704">
        <f t="shared" si="177"/>
        <v>0.35473421223990609</v>
      </c>
      <c r="AB704">
        <f t="shared" si="178"/>
        <v>1.1310322881546004</v>
      </c>
    </row>
    <row r="705" spans="12:28" x14ac:dyDescent="0.25">
      <c r="L705">
        <v>701</v>
      </c>
      <c r="M705">
        <f t="shared" si="183"/>
        <v>350.5</v>
      </c>
      <c r="N705">
        <f t="shared" si="179"/>
        <v>267788.91011084639</v>
      </c>
      <c r="O705">
        <f t="shared" si="180"/>
        <v>-604329.55753169768</v>
      </c>
      <c r="P705">
        <f t="shared" si="181"/>
        <v>561.95731909040978</v>
      </c>
      <c r="Q705">
        <f t="shared" si="182"/>
        <v>-2904.7970847463789</v>
      </c>
      <c r="R705">
        <f t="shared" si="168"/>
        <v>-4.3286632173562696</v>
      </c>
      <c r="S705">
        <f t="shared" si="169"/>
        <v>10.435059960011468</v>
      </c>
      <c r="T705">
        <f t="shared" si="170"/>
        <v>657785.56814184936</v>
      </c>
      <c r="U705">
        <f t="shared" si="171"/>
        <v>678397.56930569874</v>
      </c>
      <c r="V705">
        <f t="shared" si="172"/>
        <v>649402.12261738873</v>
      </c>
      <c r="W705">
        <f t="shared" si="173"/>
        <v>-3.6417949917259218</v>
      </c>
      <c r="X705">
        <f t="shared" si="174"/>
        <v>-0.1655177568287842</v>
      </c>
      <c r="Y705">
        <f t="shared" si="175"/>
        <v>-0.52135046880156366</v>
      </c>
      <c r="Z705">
        <f t="shared" si="176"/>
        <v>8.955418262814236</v>
      </c>
      <c r="AA705">
        <f t="shared" si="177"/>
        <v>0.35332303206923971</v>
      </c>
      <c r="AB705">
        <f t="shared" si="178"/>
        <v>1.1263186651279931</v>
      </c>
    </row>
    <row r="706" spans="12:28" x14ac:dyDescent="0.25">
      <c r="L706">
        <v>702</v>
      </c>
      <c r="M706">
        <f t="shared" si="183"/>
        <v>351</v>
      </c>
      <c r="N706">
        <f t="shared" si="179"/>
        <v>268069.34768748941</v>
      </c>
      <c r="O706">
        <f t="shared" si="180"/>
        <v>-605780.65169157588</v>
      </c>
      <c r="P706">
        <f t="shared" si="181"/>
        <v>559.79298748173164</v>
      </c>
      <c r="Q706">
        <f t="shared" si="182"/>
        <v>-2899.5795547663733</v>
      </c>
      <c r="R706">
        <f t="shared" si="168"/>
        <v>-4.3050123601270442</v>
      </c>
      <c r="S706">
        <f t="shared" si="169"/>
        <v>10.391265957346544</v>
      </c>
      <c r="T706">
        <f t="shared" si="170"/>
        <v>659235.47063464555</v>
      </c>
      <c r="U706">
        <f t="shared" si="171"/>
        <v>679830.68485822086</v>
      </c>
      <c r="V706">
        <f t="shared" si="172"/>
        <v>650836.88206769142</v>
      </c>
      <c r="W706">
        <f t="shared" si="173"/>
        <v>-3.6219353920961077</v>
      </c>
      <c r="X706">
        <f t="shared" si="174"/>
        <v>-0.16463358647861867</v>
      </c>
      <c r="Y706">
        <f t="shared" si="175"/>
        <v>-0.51844338155231773</v>
      </c>
      <c r="Z706">
        <f t="shared" si="176"/>
        <v>8.9177001503471516</v>
      </c>
      <c r="AA706">
        <f t="shared" si="177"/>
        <v>0.35192281992496061</v>
      </c>
      <c r="AB706">
        <f t="shared" si="178"/>
        <v>1.1216429870744331</v>
      </c>
    </row>
    <row r="707" spans="12:28" x14ac:dyDescent="0.25">
      <c r="L707">
        <v>703</v>
      </c>
      <c r="M707">
        <f t="shared" si="183"/>
        <v>351.5</v>
      </c>
      <c r="N707">
        <f t="shared" si="179"/>
        <v>268348.70605468523</v>
      </c>
      <c r="O707">
        <f t="shared" si="180"/>
        <v>-607229.14256071439</v>
      </c>
      <c r="P707">
        <f t="shared" si="181"/>
        <v>557.64048130166816</v>
      </c>
      <c r="Q707">
        <f t="shared" si="182"/>
        <v>-2894.3839217877003</v>
      </c>
      <c r="R707">
        <f t="shared" si="168"/>
        <v>-4.2815810862425812</v>
      </c>
      <c r="S707">
        <f t="shared" si="169"/>
        <v>10.347828316299886</v>
      </c>
      <c r="T707">
        <f t="shared" si="170"/>
        <v>660682.67935497139</v>
      </c>
      <c r="U707">
        <f t="shared" si="171"/>
        <v>681261.17657594872</v>
      </c>
      <c r="V707">
        <f t="shared" si="172"/>
        <v>652269.01842718979</v>
      </c>
      <c r="W707">
        <f t="shared" si="173"/>
        <v>-3.6022599859798499</v>
      </c>
      <c r="X707">
        <f t="shared" si="174"/>
        <v>-0.16375744546348289</v>
      </c>
      <c r="Y707">
        <f t="shared" si="175"/>
        <v>-0.51556365479924859</v>
      </c>
      <c r="Z707">
        <f t="shared" si="176"/>
        <v>8.8802900467361159</v>
      </c>
      <c r="AA707">
        <f t="shared" si="177"/>
        <v>0.35053345317315038</v>
      </c>
      <c r="AB707">
        <f t="shared" si="178"/>
        <v>1.1170048163906197</v>
      </c>
    </row>
    <row r="708" spans="12:28" x14ac:dyDescent="0.25">
      <c r="L708">
        <v>704</v>
      </c>
      <c r="M708">
        <f t="shared" si="183"/>
        <v>352</v>
      </c>
      <c r="N708">
        <f t="shared" si="179"/>
        <v>268626.99109770032</v>
      </c>
      <c r="O708">
        <f t="shared" si="180"/>
        <v>-608675.04104306863</v>
      </c>
      <c r="P708">
        <f t="shared" si="181"/>
        <v>555.49969075854688</v>
      </c>
      <c r="Q708">
        <f t="shared" si="182"/>
        <v>-2889.2100076295505</v>
      </c>
      <c r="R708">
        <f t="shared" si="168"/>
        <v>-4.2583665572887233</v>
      </c>
      <c r="S708">
        <f t="shared" si="169"/>
        <v>10.304742870232589</v>
      </c>
      <c r="T708">
        <f t="shared" si="170"/>
        <v>662127.20583095506</v>
      </c>
      <c r="U708">
        <f t="shared" si="171"/>
        <v>682689.05542695988</v>
      </c>
      <c r="V708">
        <f t="shared" si="172"/>
        <v>653698.54261323705</v>
      </c>
      <c r="W708">
        <f t="shared" si="173"/>
        <v>-3.5827663933528662</v>
      </c>
      <c r="X708">
        <f t="shared" si="174"/>
        <v>-0.16288923236186864</v>
      </c>
      <c r="Y708">
        <f t="shared" si="175"/>
        <v>-0.51271093157398806</v>
      </c>
      <c r="Z708">
        <f t="shared" si="176"/>
        <v>8.8431843372329801</v>
      </c>
      <c r="AA708">
        <f t="shared" si="177"/>
        <v>0.3491548109679059</v>
      </c>
      <c r="AB708">
        <f t="shared" si="178"/>
        <v>1.1124037220317025</v>
      </c>
    </row>
    <row r="709" spans="12:28" x14ac:dyDescent="0.25">
      <c r="L709">
        <v>705</v>
      </c>
      <c r="M709">
        <f t="shared" si="183"/>
        <v>352.5</v>
      </c>
      <c r="N709">
        <f t="shared" si="179"/>
        <v>268904.20864725992</v>
      </c>
      <c r="O709">
        <f t="shared" si="180"/>
        <v>-610118.35795402469</v>
      </c>
      <c r="P709">
        <f t="shared" si="181"/>
        <v>553.37050747990247</v>
      </c>
      <c r="Q709">
        <f t="shared" si="182"/>
        <v>-2884.0576361944341</v>
      </c>
      <c r="R709">
        <f t="shared" ref="R709:R772" si="184">SUM(W709:Y709)</f>
        <v>-4.2353659817361846</v>
      </c>
      <c r="S709">
        <f t="shared" ref="S709:S772" si="185">SUM(Z709:AB709)</f>
        <v>10.262005515970545</v>
      </c>
      <c r="T709">
        <f t="shared" ref="T709:T772" si="186">SQRT(($D$18-N709)^2 + ($E$18 - O709) ^2)</f>
        <v>663569.06149576802</v>
      </c>
      <c r="U709">
        <f t="shared" ref="U709:U772" si="187">SQRT(($D$26-N709)^2 + ($E$26- O709) ^2)</f>
        <v>684114.33229080599</v>
      </c>
      <c r="V709">
        <f t="shared" ref="V709:V772" si="188">SQRT(($D$34-N709)^2 + ($E$34 - O709) ^2)</f>
        <v>655125.46545572195</v>
      </c>
      <c r="W709">
        <f t="shared" ref="W709:W772" si="189">$D$22*(($D$18-N709)/(T709^2+($D$23^2))^(3/2))</f>
        <v>-3.5634522735056802</v>
      </c>
      <c r="X709">
        <f t="shared" ref="X709:X772" si="190">$D$30*(($D$26-N709)/(U709^2+($D$31^2))^(3/2))</f>
        <v>-0.16202884738860707</v>
      </c>
      <c r="Y709">
        <f t="shared" ref="Y709:Y772" si="191">$D$38*(($D$34-N709)/(V709^2+($D$39^2))^(3/2))</f>
        <v>-0.5098848608418971</v>
      </c>
      <c r="Z709">
        <f t="shared" ref="Z709:Z772" si="192">$D$22*(($E$18-O709)/(T709^2+($D$23^2))^(3/2))</f>
        <v>8.80637946236061</v>
      </c>
      <c r="AA709">
        <f t="shared" ref="AA709:AA772" si="193">$D$30*(($E$26-O709)/(U709^2+($D$31^2))^(3/2))</f>
        <v>0.34778677421928672</v>
      </c>
      <c r="AB709">
        <f t="shared" ref="AB709:AB772" si="194">$D$38*(($E$34-O709)/(V709^2+($D$39^2))^(3/2))</f>
        <v>1.1078392793906482</v>
      </c>
    </row>
    <row r="710" spans="12:28" x14ac:dyDescent="0.25">
      <c r="L710">
        <v>706</v>
      </c>
      <c r="M710">
        <f t="shared" si="183"/>
        <v>353</v>
      </c>
      <c r="N710">
        <f t="shared" ref="N710:N773" si="195">(N709)+(P709)*(M710-M709)+((1/2*(R709))*((M710-M709)^2))</f>
        <v>269180.36448025214</v>
      </c>
      <c r="O710">
        <f t="shared" ref="O710:O773" si="196">(O709)+(Q709)*(M710-M709)+((1/2*(S709))*((M710-M709)^2))</f>
        <v>-611559.10402143234</v>
      </c>
      <c r="P710">
        <f t="shared" ref="P710:P773" si="197">P709+(R709*(M710-M709))</f>
        <v>551.25282448903442</v>
      </c>
      <c r="Q710">
        <f t="shared" ref="Q710:Q773" si="198">Q709+(S709*(M710-M709))</f>
        <v>-2878.9266334364488</v>
      </c>
      <c r="R710">
        <f t="shared" si="184"/>
        <v>-4.2125766139996417</v>
      </c>
      <c r="S710">
        <f t="shared" si="185"/>
        <v>10.219612212615795</v>
      </c>
      <c r="T710">
        <f t="shared" si="186"/>
        <v>665008.25768874679</v>
      </c>
      <c r="U710">
        <f t="shared" si="187"/>
        <v>685537.01795953896</v>
      </c>
      <c r="V710">
        <f t="shared" si="188"/>
        <v>656549.79769807111</v>
      </c>
      <c r="W710">
        <f t="shared" si="189"/>
        <v>-3.5443153242543559</v>
      </c>
      <c r="X710">
        <f t="shared" si="190"/>
        <v>-0.16117619236278913</v>
      </c>
      <c r="Y710">
        <f t="shared" si="191"/>
        <v>-0.50708509738249652</v>
      </c>
      <c r="Z710">
        <f t="shared" si="192"/>
        <v>8.7698719168736279</v>
      </c>
      <c r="AA710">
        <f t="shared" si="193"/>
        <v>0.34642922556189831</v>
      </c>
      <c r="AB710">
        <f t="shared" si="194"/>
        <v>1.1033110701802678</v>
      </c>
    </row>
    <row r="711" spans="12:28" x14ac:dyDescent="0.25">
      <c r="L711">
        <v>707</v>
      </c>
      <c r="M711">
        <f t="shared" si="183"/>
        <v>353.5</v>
      </c>
      <c r="N711">
        <f t="shared" si="195"/>
        <v>269455.46432041988</v>
      </c>
      <c r="O711">
        <f t="shared" si="196"/>
        <v>-612997.28988662397</v>
      </c>
      <c r="P711">
        <f t="shared" si="197"/>
        <v>549.14653618203465</v>
      </c>
      <c r="Q711">
        <f t="shared" si="198"/>
        <v>-2873.8168273301408</v>
      </c>
      <c r="R711">
        <f t="shared" si="184"/>
        <v>-4.1899957535189527</v>
      </c>
      <c r="S711">
        <f t="shared" si="185"/>
        <v>10.17755898038417</v>
      </c>
      <c r="T711">
        <f t="shared" si="186"/>
        <v>666444.80565649865</v>
      </c>
      <c r="U711">
        <f t="shared" si="187"/>
        <v>686957.1231387211</v>
      </c>
      <c r="V711">
        <f t="shared" si="188"/>
        <v>657971.54999823833</v>
      </c>
      <c r="W711">
        <f t="shared" si="189"/>
        <v>-3.5253532811698025</v>
      </c>
      <c r="X711">
        <f t="shared" si="190"/>
        <v>-0.16033117067643568</v>
      </c>
      <c r="Y711">
        <f t="shared" si="191"/>
        <v>-0.50431130167271421</v>
      </c>
      <c r="Z711">
        <f t="shared" si="192"/>
        <v>8.7336582487422199</v>
      </c>
      <c r="AA711">
        <f t="shared" si="193"/>
        <v>0.34508204932416836</v>
      </c>
      <c r="AB711">
        <f t="shared" si="194"/>
        <v>1.0988186823177817</v>
      </c>
    </row>
    <row r="712" spans="12:28" x14ac:dyDescent="0.25">
      <c r="L712">
        <v>708</v>
      </c>
      <c r="M712">
        <f t="shared" si="183"/>
        <v>354</v>
      </c>
      <c r="N712">
        <f t="shared" si="195"/>
        <v>269729.5138390417</v>
      </c>
      <c r="O712">
        <f t="shared" si="196"/>
        <v>-614432.9261054165</v>
      </c>
      <c r="P712">
        <f t="shared" si="197"/>
        <v>547.05153830527513</v>
      </c>
      <c r="Q712">
        <f t="shared" si="198"/>
        <v>-2868.7280478399489</v>
      </c>
      <c r="R712">
        <f t="shared" si="184"/>
        <v>-4.167620743862023</v>
      </c>
      <c r="S712">
        <f t="shared" si="185"/>
        <v>10.135841899468748</v>
      </c>
      <c r="T712">
        <f t="shared" si="186"/>
        <v>667878.71655398817</v>
      </c>
      <c r="U712">
        <f t="shared" si="187"/>
        <v>688374.65844842081</v>
      </c>
      <c r="V712">
        <f t="shared" si="188"/>
        <v>659390.73292967794</v>
      </c>
      <c r="W712">
        <f t="shared" si="189"/>
        <v>-3.506563916825244</v>
      </c>
      <c r="X712">
        <f t="shared" si="190"/>
        <v>-0.15949368726388855</v>
      </c>
      <c r="Y712">
        <f t="shared" si="191"/>
        <v>-0.50156313977289069</v>
      </c>
      <c r="Z712">
        <f t="shared" si="192"/>
        <v>8.6977350581585799</v>
      </c>
      <c r="AA712">
        <f t="shared" si="193"/>
        <v>0.34374513149827307</v>
      </c>
      <c r="AB712">
        <f t="shared" si="194"/>
        <v>1.0943617098118934</v>
      </c>
    </row>
    <row r="713" spans="12:28" x14ac:dyDescent="0.25">
      <c r="L713">
        <v>709</v>
      </c>
      <c r="M713">
        <f t="shared" si="183"/>
        <v>354.5</v>
      </c>
      <c r="N713">
        <f t="shared" si="195"/>
        <v>270002.51865560131</v>
      </c>
      <c r="O713">
        <f t="shared" si="196"/>
        <v>-615866.02314909908</v>
      </c>
      <c r="P713">
        <f t="shared" si="197"/>
        <v>544.96772793334412</v>
      </c>
      <c r="Q713">
        <f t="shared" si="198"/>
        <v>-2863.6601268902145</v>
      </c>
      <c r="R713">
        <f t="shared" si="184"/>
        <v>-4.1454489718484204</v>
      </c>
      <c r="S713">
        <f t="shared" si="185"/>
        <v>10.094457108927712</v>
      </c>
      <c r="T713">
        <f t="shared" si="186"/>
        <v>669310.00144560961</v>
      </c>
      <c r="U713">
        <f t="shared" si="187"/>
        <v>689789.63442419248</v>
      </c>
      <c r="V713">
        <f t="shared" si="188"/>
        <v>660807.3569823039</v>
      </c>
      <c r="W713">
        <f t="shared" si="189"/>
        <v>-3.4879450400610819</v>
      </c>
      <c r="X713">
        <f t="shared" si="190"/>
        <v>-0.15866364857189419</v>
      </c>
      <c r="Y713">
        <f t="shared" si="191"/>
        <v>-0.49884028321544455</v>
      </c>
      <c r="Z713">
        <f t="shared" si="192"/>
        <v>8.6620989965647688</v>
      </c>
      <c r="AA713">
        <f t="shared" si="193"/>
        <v>0.34241835971068268</v>
      </c>
      <c r="AB713">
        <f t="shared" si="194"/>
        <v>1.0899397526522592</v>
      </c>
    </row>
    <row r="714" spans="12:28" x14ac:dyDescent="0.25">
      <c r="L714">
        <v>710</v>
      </c>
      <c r="M714">
        <f t="shared" si="183"/>
        <v>355</v>
      </c>
      <c r="N714">
        <f t="shared" si="195"/>
        <v>270274.48433844646</v>
      </c>
      <c r="O714">
        <f t="shared" si="196"/>
        <v>-617296.59140540566</v>
      </c>
      <c r="P714">
        <f t="shared" si="197"/>
        <v>542.89500344741987</v>
      </c>
      <c r="Q714">
        <f t="shared" si="198"/>
        <v>-2858.6128983357507</v>
      </c>
      <c r="R714">
        <f t="shared" si="184"/>
        <v>-4.1234778666939276</v>
      </c>
      <c r="S714">
        <f t="shared" si="185"/>
        <v>10.053400805597853</v>
      </c>
      <c r="T714">
        <f t="shared" si="186"/>
        <v>670738.67130624107</v>
      </c>
      <c r="U714">
        <f t="shared" si="187"/>
        <v>691202.06151804223</v>
      </c>
      <c r="V714">
        <f t="shared" si="188"/>
        <v>662221.43256343482</v>
      </c>
      <c r="W714">
        <f t="shared" si="189"/>
        <v>-3.469494495267381</v>
      </c>
      <c r="X714">
        <f t="shared" si="190"/>
        <v>-0.15784096253037577</v>
      </c>
      <c r="Y714">
        <f t="shared" si="191"/>
        <v>-0.49614240889617067</v>
      </c>
      <c r="Z714">
        <f t="shared" si="192"/>
        <v>8.6267467657031229</v>
      </c>
      <c r="AA714">
        <f t="shared" si="193"/>
        <v>0.34110162319333737</v>
      </c>
      <c r="AB714">
        <f t="shared" si="194"/>
        <v>1.0855524167013941</v>
      </c>
    </row>
    <row r="715" spans="12:28" x14ac:dyDescent="0.25">
      <c r="L715">
        <v>711</v>
      </c>
      <c r="M715">
        <f t="shared" si="183"/>
        <v>355.5</v>
      </c>
      <c r="N715">
        <f t="shared" si="195"/>
        <v>270545.41640543682</v>
      </c>
      <c r="O715">
        <f t="shared" si="196"/>
        <v>-618724.64117947291</v>
      </c>
      <c r="P715">
        <f t="shared" si="197"/>
        <v>540.83326451407288</v>
      </c>
      <c r="Q715">
        <f t="shared" si="198"/>
        <v>-2853.586197932952</v>
      </c>
      <c r="R715">
        <f t="shared" si="184"/>
        <v>-4.1017048991744138</v>
      </c>
      <c r="S715">
        <f t="shared" si="185"/>
        <v>10.012669243030428</v>
      </c>
      <c r="T715">
        <f t="shared" si="186"/>
        <v>672164.73702228384</v>
      </c>
      <c r="U715">
        <f t="shared" si="187"/>
        <v>692611.95009937976</v>
      </c>
      <c r="V715">
        <f t="shared" si="188"/>
        <v>663632.96999872522</v>
      </c>
      <c r="W715">
        <f t="shared" si="189"/>
        <v>-3.4512101616825075</v>
      </c>
      <c r="X715">
        <f t="shared" si="190"/>
        <v>-0.15702553852386336</v>
      </c>
      <c r="Y715">
        <f t="shared" si="191"/>
        <v>-0.49346919896804337</v>
      </c>
      <c r="Z715">
        <f t="shared" si="192"/>
        <v>8.5916751166861935</v>
      </c>
      <c r="AA715">
        <f t="shared" si="193"/>
        <v>0.33979481275541501</v>
      </c>
      <c r="AB715">
        <f t="shared" si="194"/>
        <v>1.08119931358882</v>
      </c>
    </row>
    <row r="716" spans="12:28" x14ac:dyDescent="0.25">
      <c r="L716">
        <v>712</v>
      </c>
      <c r="M716">
        <f t="shared" si="183"/>
        <v>356</v>
      </c>
      <c r="N716">
        <f t="shared" si="195"/>
        <v>270815.32032458147</v>
      </c>
      <c r="O716">
        <f t="shared" si="196"/>
        <v>-620150.18269478402</v>
      </c>
      <c r="P716">
        <f t="shared" si="197"/>
        <v>538.7824120644857</v>
      </c>
      <c r="Q716">
        <f t="shared" si="198"/>
        <v>-2848.5798633114368</v>
      </c>
      <c r="R716">
        <f t="shared" si="184"/>
        <v>-4.0801275808096156</v>
      </c>
      <c r="S716">
        <f t="shared" si="185"/>
        <v>9.9722587304515535</v>
      </c>
      <c r="T716">
        <f t="shared" si="186"/>
        <v>673588.20939268544</v>
      </c>
      <c r="U716">
        <f t="shared" si="187"/>
        <v>694019.31045595452</v>
      </c>
      <c r="V716">
        <f t="shared" si="188"/>
        <v>665041.97953308327</v>
      </c>
      <c r="W716">
        <f t="shared" si="189"/>
        <v>-3.4330899527085399</v>
      </c>
      <c r="X716">
        <f t="shared" si="190"/>
        <v>-0.15621728736357587</v>
      </c>
      <c r="Y716">
        <f t="shared" si="191"/>
        <v>-0.49082034073749969</v>
      </c>
      <c r="Z716">
        <f t="shared" si="192"/>
        <v>8.5568808490883512</v>
      </c>
      <c r="AA716">
        <f t="shared" si="193"/>
        <v>0.3384978207556974</v>
      </c>
      <c r="AB716">
        <f t="shared" si="194"/>
        <v>1.0768800606075064</v>
      </c>
    </row>
    <row r="717" spans="12:28" x14ac:dyDescent="0.25">
      <c r="L717">
        <v>713</v>
      </c>
      <c r="M717">
        <f t="shared" si="183"/>
        <v>356.5</v>
      </c>
      <c r="N717">
        <f t="shared" si="195"/>
        <v>271084.20151466609</v>
      </c>
      <c r="O717">
        <f t="shared" si="196"/>
        <v>-621573.22609409841</v>
      </c>
      <c r="P717">
        <f t="shared" si="197"/>
        <v>536.74234827408088</v>
      </c>
      <c r="Q717">
        <f t="shared" si="198"/>
        <v>-2843.5937339462112</v>
      </c>
      <c r="R717">
        <f t="shared" si="184"/>
        <v>-4.0587434630654036</v>
      </c>
      <c r="S717">
        <f t="shared" si="185"/>
        <v>9.9321656317443079</v>
      </c>
      <c r="T717">
        <f t="shared" si="186"/>
        <v>675009.09912994772</v>
      </c>
      <c r="U717">
        <f t="shared" si="187"/>
        <v>695424.15279478021</v>
      </c>
      <c r="V717">
        <f t="shared" si="188"/>
        <v>666448.47133157484</v>
      </c>
      <c r="W717">
        <f t="shared" si="189"/>
        <v>-3.4151318152421486</v>
      </c>
      <c r="X717">
        <f t="shared" si="190"/>
        <v>-0.15541612126013021</v>
      </c>
      <c r="Y717">
        <f t="shared" si="191"/>
        <v>-0.48819552656312487</v>
      </c>
      <c r="Z717">
        <f t="shared" si="192"/>
        <v>8.5223608100562949</v>
      </c>
      <c r="AA717">
        <f t="shared" si="193"/>
        <v>0.33721054107550552</v>
      </c>
      <c r="AB717">
        <f t="shared" si="194"/>
        <v>1.0725942806125073</v>
      </c>
    </row>
    <row r="718" spans="12:28" x14ac:dyDescent="0.25">
      <c r="L718">
        <v>714</v>
      </c>
      <c r="M718">
        <f t="shared" si="183"/>
        <v>357</v>
      </c>
      <c r="N718">
        <f t="shared" si="195"/>
        <v>271352.06534587027</v>
      </c>
      <c r="O718">
        <f t="shared" si="196"/>
        <v>-622993.78144036757</v>
      </c>
      <c r="P718">
        <f t="shared" si="197"/>
        <v>534.71297654254818</v>
      </c>
      <c r="Q718">
        <f t="shared" si="198"/>
        <v>-2838.627651130339</v>
      </c>
      <c r="R718">
        <f t="shared" si="184"/>
        <v>-4.0375501365745645</v>
      </c>
      <c r="S718">
        <f t="shared" si="185"/>
        <v>9.892386364453257</v>
      </c>
      <c r="T718">
        <f t="shared" si="186"/>
        <v>676427.41686111956</v>
      </c>
      <c r="U718">
        <f t="shared" si="187"/>
        <v>696826.48724304396</v>
      </c>
      <c r="V718">
        <f t="shared" si="188"/>
        <v>667852.45548031467</v>
      </c>
      <c r="W718">
        <f t="shared" si="189"/>
        <v>-3.3973337290210153</v>
      </c>
      <c r="X718">
        <f t="shared" si="190"/>
        <v>-0.1546219537968663</v>
      </c>
      <c r="Y718">
        <f t="shared" si="191"/>
        <v>-0.48559445375668275</v>
      </c>
      <c r="Z718">
        <f t="shared" si="192"/>
        <v>8.4881118934392941</v>
      </c>
      <c r="AA718">
        <f t="shared" si="193"/>
        <v>0.33593286909219944</v>
      </c>
      <c r="AB718">
        <f t="shared" si="194"/>
        <v>1.0683416019217646</v>
      </c>
    </row>
    <row r="719" spans="12:28" x14ac:dyDescent="0.25">
      <c r="L719">
        <v>715</v>
      </c>
      <c r="M719">
        <f t="shared" si="183"/>
        <v>357.5</v>
      </c>
      <c r="N719">
        <f t="shared" si="195"/>
        <v>271618.91714037448</v>
      </c>
      <c r="O719">
        <f t="shared" si="196"/>
        <v>-624411.85871763714</v>
      </c>
      <c r="P719">
        <f t="shared" si="197"/>
        <v>532.69420147426092</v>
      </c>
      <c r="Q719">
        <f t="shared" si="198"/>
        <v>-2833.6814579481124</v>
      </c>
      <c r="R719">
        <f t="shared" si="184"/>
        <v>-4.0165452303753639</v>
      </c>
      <c r="S719">
        <f t="shared" si="185"/>
        <v>9.852917398810316</v>
      </c>
      <c r="T719">
        <f t="shared" si="186"/>
        <v>677843.17312877427</v>
      </c>
      <c r="U719">
        <f t="shared" si="187"/>
        <v>698226.32384900225</v>
      </c>
      <c r="V719">
        <f t="shared" si="188"/>
        <v>669253.9419873436</v>
      </c>
      <c r="W719">
        <f t="shared" si="189"/>
        <v>-3.3796937059852028</v>
      </c>
      <c r="X719">
        <f t="shared" si="190"/>
        <v>-0.15383469990376689</v>
      </c>
      <c r="Y719">
        <f t="shared" si="191"/>
        <v>-0.48301682448639455</v>
      </c>
      <c r="Z719">
        <f t="shared" si="192"/>
        <v>8.454131038938149</v>
      </c>
      <c r="AA719">
        <f t="shared" si="193"/>
        <v>0.33466470165322054</v>
      </c>
      <c r="AB719">
        <f t="shared" si="194"/>
        <v>1.0641216582189457</v>
      </c>
    </row>
    <row r="720" spans="12:28" x14ac:dyDescent="0.25">
      <c r="L720">
        <v>716</v>
      </c>
      <c r="M720">
        <f t="shared" si="183"/>
        <v>358</v>
      </c>
      <c r="N720">
        <f t="shared" si="195"/>
        <v>271884.76217295782</v>
      </c>
      <c r="O720">
        <f t="shared" si="196"/>
        <v>-625827.46783193632</v>
      </c>
      <c r="P720">
        <f t="shared" si="197"/>
        <v>530.68592885907321</v>
      </c>
      <c r="Q720">
        <f t="shared" si="198"/>
        <v>-2828.7549992487075</v>
      </c>
      <c r="R720">
        <f t="shared" si="184"/>
        <v>-3.9957264111676261</v>
      </c>
      <c r="S720">
        <f t="shared" si="185"/>
        <v>9.813755256781759</v>
      </c>
      <c r="T720">
        <f t="shared" si="186"/>
        <v>679256.37839197367</v>
      </c>
      <c r="U720">
        <f t="shared" si="187"/>
        <v>699623.67258286523</v>
      </c>
      <c r="V720">
        <f t="shared" si="188"/>
        <v>670652.94078349543</v>
      </c>
      <c r="W720">
        <f t="shared" si="189"/>
        <v>-3.3622097896532059</v>
      </c>
      <c r="X720">
        <f t="shared" si="190"/>
        <v>-0.1530542758319576</v>
      </c>
      <c r="Y720">
        <f t="shared" si="191"/>
        <v>-0.48046234568246249</v>
      </c>
      <c r="Z720">
        <f t="shared" si="192"/>
        <v>8.4204152312727132</v>
      </c>
      <c r="AA720">
        <f t="shared" si="193"/>
        <v>0.33340593705066102</v>
      </c>
      <c r="AB720">
        <f t="shared" si="194"/>
        <v>1.0599340884583859</v>
      </c>
    </row>
    <row r="721" spans="12:28" x14ac:dyDescent="0.25">
      <c r="L721">
        <v>717</v>
      </c>
      <c r="M721">
        <f t="shared" ref="M721:M784" si="199">L721*$D$5</f>
        <v>358.5</v>
      </c>
      <c r="N721">
        <f t="shared" si="195"/>
        <v>272149.60567158594</v>
      </c>
      <c r="O721">
        <f t="shared" si="196"/>
        <v>-627240.61861215357</v>
      </c>
      <c r="P721">
        <f t="shared" si="197"/>
        <v>528.68806565348939</v>
      </c>
      <c r="Q721">
        <f t="shared" si="198"/>
        <v>-2823.8481216203168</v>
      </c>
      <c r="R721">
        <f t="shared" si="184"/>
        <v>-3.9750913825856107</v>
      </c>
      <c r="S721">
        <f t="shared" si="185"/>
        <v>9.774896511135438</v>
      </c>
      <c r="T721">
        <f t="shared" si="186"/>
        <v>680667.04302721669</v>
      </c>
      <c r="U721">
        <f t="shared" si="187"/>
        <v>701018.5433376662</v>
      </c>
      <c r="V721">
        <f t="shared" si="188"/>
        <v>672049.46172324847</v>
      </c>
      <c r="W721">
        <f t="shared" si="189"/>
        <v>-3.3448800545120965</v>
      </c>
      <c r="X721">
        <f t="shared" si="190"/>
        <v>-0.15228059912878475</v>
      </c>
      <c r="Y721">
        <f t="shared" si="191"/>
        <v>-0.47793072894472982</v>
      </c>
      <c r="Z721">
        <f t="shared" si="192"/>
        <v>8.3869614993670769</v>
      </c>
      <c r="AA721">
        <f t="shared" si="193"/>
        <v>0.33215647499637913</v>
      </c>
      <c r="AB721">
        <f t="shared" si="194"/>
        <v>1.0557785367719821</v>
      </c>
    </row>
    <row r="722" spans="12:28" x14ac:dyDescent="0.25">
      <c r="L722">
        <v>718</v>
      </c>
      <c r="M722">
        <f t="shared" si="199"/>
        <v>359</v>
      </c>
      <c r="N722">
        <f t="shared" si="195"/>
        <v>272413.45281798986</v>
      </c>
      <c r="O722">
        <f t="shared" si="196"/>
        <v>-628651.32081089984</v>
      </c>
      <c r="P722">
        <f t="shared" si="197"/>
        <v>526.70051996219661</v>
      </c>
      <c r="Q722">
        <f t="shared" si="198"/>
        <v>-2818.9606733647493</v>
      </c>
      <c r="R722">
        <f t="shared" si="184"/>
        <v>-3.9546378844875472</v>
      </c>
      <c r="S722">
        <f t="shared" si="185"/>
        <v>9.7363377845281924</v>
      </c>
      <c r="T722">
        <f t="shared" si="186"/>
        <v>682075.17732937436</v>
      </c>
      <c r="U722">
        <f t="shared" si="187"/>
        <v>702410.94593011984</v>
      </c>
      <c r="V722">
        <f t="shared" si="188"/>
        <v>673443.51458556717</v>
      </c>
      <c r="W722">
        <f t="shared" si="189"/>
        <v>-3.3277026054216448</v>
      </c>
      <c r="X722">
        <f t="shared" si="190"/>
        <v>-0.15151358861343278</v>
      </c>
      <c r="Y722">
        <f t="shared" si="191"/>
        <v>-0.47542169045246996</v>
      </c>
      <c r="Z722">
        <f t="shared" si="192"/>
        <v>8.3537669155525087</v>
      </c>
      <c r="AA722">
        <f t="shared" si="193"/>
        <v>0.33091621659759363</v>
      </c>
      <c r="AB722">
        <f t="shared" si="194"/>
        <v>1.0516546523780905</v>
      </c>
    </row>
    <row r="723" spans="12:28" x14ac:dyDescent="0.25">
      <c r="L723">
        <v>719</v>
      </c>
      <c r="M723">
        <f t="shared" si="199"/>
        <v>359.5</v>
      </c>
      <c r="N723">
        <f t="shared" si="195"/>
        <v>272676.3087482354</v>
      </c>
      <c r="O723">
        <f t="shared" si="196"/>
        <v>-630059.58410535916</v>
      </c>
      <c r="P723">
        <f t="shared" si="197"/>
        <v>524.72320101995285</v>
      </c>
      <c r="Q723">
        <f t="shared" si="198"/>
        <v>-2814.092504472485</v>
      </c>
      <c r="R723">
        <f t="shared" si="184"/>
        <v>-3.9343636922611358</v>
      </c>
      <c r="S723">
        <f t="shared" si="185"/>
        <v>9.6980757486125491</v>
      </c>
      <c r="T723">
        <f t="shared" si="186"/>
        <v>683480.79151261109</v>
      </c>
      <c r="U723">
        <f t="shared" si="187"/>
        <v>703800.89010146738</v>
      </c>
      <c r="V723">
        <f t="shared" si="188"/>
        <v>674835.10907472996</v>
      </c>
      <c r="W723">
        <f t="shared" si="189"/>
        <v>-3.3106755770318683</v>
      </c>
      <c r="X723">
        <f t="shared" si="190"/>
        <v>-0.1507531643530903</v>
      </c>
      <c r="Y723">
        <f t="shared" si="191"/>
        <v>-0.47293495087617715</v>
      </c>
      <c r="Z723">
        <f t="shared" si="192"/>
        <v>8.3208285947873275</v>
      </c>
      <c r="AA723">
        <f t="shared" si="193"/>
        <v>0.32968506433299616</v>
      </c>
      <c r="AB723">
        <f t="shared" si="194"/>
        <v>1.047562089492226</v>
      </c>
    </row>
    <row r="724" spans="12:28" x14ac:dyDescent="0.25">
      <c r="L724">
        <v>720</v>
      </c>
      <c r="M724">
        <f t="shared" si="199"/>
        <v>360</v>
      </c>
      <c r="N724">
        <f t="shared" si="195"/>
        <v>272938.17855328385</v>
      </c>
      <c r="O724">
        <f t="shared" si="196"/>
        <v>-631465.41809812677</v>
      </c>
      <c r="P724">
        <f t="shared" si="197"/>
        <v>522.75601917382232</v>
      </c>
      <c r="Q724">
        <f t="shared" si="198"/>
        <v>-2809.2434665981787</v>
      </c>
      <c r="R724">
        <f t="shared" si="184"/>
        <v>-3.9142666161446575</v>
      </c>
      <c r="S724">
        <f t="shared" si="185"/>
        <v>9.6601071231622164</v>
      </c>
      <c r="T724">
        <f t="shared" si="186"/>
        <v>684883.89571129228</v>
      </c>
      <c r="U724">
        <f t="shared" si="187"/>
        <v>705188.38551830966</v>
      </c>
      <c r="V724">
        <f t="shared" si="188"/>
        <v>676224.25482114684</v>
      </c>
      <c r="W724">
        <f t="shared" si="189"/>
        <v>-3.293797133213634</v>
      </c>
      <c r="X724">
        <f t="shared" si="190"/>
        <v>-0.14999924763963687</v>
      </c>
      <c r="Y724">
        <f t="shared" si="191"/>
        <v>-0.47047023529138632</v>
      </c>
      <c r="Z724">
        <f t="shared" si="192"/>
        <v>8.288143693893181</v>
      </c>
      <c r="AA724">
        <f t="shared" si="193"/>
        <v>0.32846292202933985</v>
      </c>
      <c r="AB724">
        <f t="shared" si="194"/>
        <v>1.0435005072396948</v>
      </c>
    </row>
    <row r="725" spans="12:28" x14ac:dyDescent="0.25">
      <c r="L725">
        <v>721</v>
      </c>
      <c r="M725">
        <f t="shared" si="199"/>
        <v>360.5</v>
      </c>
      <c r="N725">
        <f t="shared" si="195"/>
        <v>273199.06727954373</v>
      </c>
      <c r="O725">
        <f t="shared" si="196"/>
        <v>-632868.83231803554</v>
      </c>
      <c r="P725">
        <f t="shared" si="197"/>
        <v>520.79888586574998</v>
      </c>
      <c r="Q725">
        <f t="shared" si="198"/>
        <v>-2804.4134130365974</v>
      </c>
      <c r="R725">
        <f t="shared" si="184"/>
        <v>-3.8943445005634501</v>
      </c>
      <c r="S725">
        <f t="shared" si="185"/>
        <v>9.6224286752163941</v>
      </c>
      <c r="T725">
        <f t="shared" si="186"/>
        <v>686284.4999808789</v>
      </c>
      <c r="U725">
        <f t="shared" si="187"/>
        <v>706573.4417734287</v>
      </c>
      <c r="V725">
        <f t="shared" si="188"/>
        <v>677610.96138216427</v>
      </c>
      <c r="W725">
        <f t="shared" si="189"/>
        <v>-3.2770654665021821</v>
      </c>
      <c r="X725">
        <f t="shared" si="190"/>
        <v>-0.14925176096684051</v>
      </c>
      <c r="Y725">
        <f t="shared" si="191"/>
        <v>-0.46802727309442743</v>
      </c>
      <c r="Z725">
        <f t="shared" si="192"/>
        <v>8.2557094108078743</v>
      </c>
      <c r="AA725">
        <f t="shared" si="193"/>
        <v>0.32724969483849931</v>
      </c>
      <c r="AB725">
        <f t="shared" si="194"/>
        <v>1.0394695695700196</v>
      </c>
    </row>
    <row r="726" spans="12:28" x14ac:dyDescent="0.25">
      <c r="L726">
        <v>722</v>
      </c>
      <c r="M726">
        <f t="shared" si="199"/>
        <v>361</v>
      </c>
      <c r="N726">
        <f t="shared" si="195"/>
        <v>273458.979929414</v>
      </c>
      <c r="O726">
        <f t="shared" si="196"/>
        <v>-634269.83622096945</v>
      </c>
      <c r="P726">
        <f t="shared" si="197"/>
        <v>518.85171361546827</v>
      </c>
      <c r="Q726">
        <f t="shared" si="198"/>
        <v>-2799.602198698989</v>
      </c>
      <c r="R726">
        <f t="shared" si="184"/>
        <v>-3.8745952234812213</v>
      </c>
      <c r="S726">
        <f t="shared" si="185"/>
        <v>9.5850372182420642</v>
      </c>
      <c r="T726">
        <f t="shared" si="186"/>
        <v>687682.61429880874</v>
      </c>
      <c r="U726">
        <f t="shared" si="187"/>
        <v>707956.06838659628</v>
      </c>
      <c r="V726">
        <f t="shared" si="188"/>
        <v>678995.23824285844</v>
      </c>
      <c r="W726">
        <f t="shared" si="189"/>
        <v>-3.2604787975530973</v>
      </c>
      <c r="X726">
        <f t="shared" si="190"/>
        <v>-0.14851062800805928</v>
      </c>
      <c r="Y726">
        <f t="shared" si="191"/>
        <v>-0.46560579792006496</v>
      </c>
      <c r="Z726">
        <f t="shared" si="192"/>
        <v>8.223522983853945</v>
      </c>
      <c r="AA726">
        <f t="shared" si="193"/>
        <v>0.32604528921500342</v>
      </c>
      <c r="AB726">
        <f t="shared" si="194"/>
        <v>1.0354689451731167</v>
      </c>
    </row>
    <row r="727" spans="12:28" x14ac:dyDescent="0.25">
      <c r="L727">
        <v>723</v>
      </c>
      <c r="M727">
        <f t="shared" si="199"/>
        <v>361.5</v>
      </c>
      <c r="N727">
        <f t="shared" si="195"/>
        <v>273717.9214618188</v>
      </c>
      <c r="O727">
        <f t="shared" si="196"/>
        <v>-635668.43919066666</v>
      </c>
      <c r="P727">
        <f t="shared" si="197"/>
        <v>516.91441600372764</v>
      </c>
      <c r="Q727">
        <f t="shared" si="198"/>
        <v>-2794.8096800898679</v>
      </c>
      <c r="R727">
        <f t="shared" si="184"/>
        <v>-3.855016695765709</v>
      </c>
      <c r="S727">
        <f t="shared" si="185"/>
        <v>9.5479296113136076</v>
      </c>
      <c r="T727">
        <f t="shared" si="186"/>
        <v>689078.24856536475</v>
      </c>
      <c r="U727">
        <f t="shared" si="187"/>
        <v>709336.27480537235</v>
      </c>
      <c r="V727">
        <f t="shared" si="188"/>
        <v>680377.09481681907</v>
      </c>
      <c r="W727">
        <f t="shared" si="189"/>
        <v>-3.244035374610307</v>
      </c>
      <c r="X727">
        <f t="shared" si="190"/>
        <v>-0.14777577359442531</v>
      </c>
      <c r="Y727">
        <f t="shared" si="191"/>
        <v>-0.46320554756097682</v>
      </c>
      <c r="Z727">
        <f t="shared" si="192"/>
        <v>8.1915816910224031</v>
      </c>
      <c r="AA727">
        <f t="shared" si="193"/>
        <v>0.32484961289401287</v>
      </c>
      <c r="AB727">
        <f t="shared" si="194"/>
        <v>1.0314983073971919</v>
      </c>
    </row>
    <row r="728" spans="12:28" x14ac:dyDescent="0.25">
      <c r="L728">
        <v>724</v>
      </c>
      <c r="M728">
        <f t="shared" si="199"/>
        <v>362</v>
      </c>
      <c r="N728">
        <f t="shared" si="195"/>
        <v>273975.89679273369</v>
      </c>
      <c r="O728">
        <f t="shared" si="196"/>
        <v>-637064.65053951018</v>
      </c>
      <c r="P728">
        <f t="shared" si="197"/>
        <v>514.98690765584479</v>
      </c>
      <c r="Q728">
        <f t="shared" si="198"/>
        <v>-2790.0357152842112</v>
      </c>
      <c r="R728">
        <f t="shared" si="184"/>
        <v>-3.835606860568562</v>
      </c>
      <c r="S728">
        <f t="shared" si="185"/>
        <v>9.511102758309864</v>
      </c>
      <c r="T728">
        <f t="shared" si="186"/>
        <v>690471.41260453116</v>
      </c>
      <c r="U728">
        <f t="shared" si="187"/>
        <v>710714.0704058914</v>
      </c>
      <c r="V728">
        <f t="shared" si="188"/>
        <v>681756.54044692009</v>
      </c>
      <c r="W728">
        <f t="shared" si="189"/>
        <v>-3.2277334729860252</v>
      </c>
      <c r="X728">
        <f t="shared" si="190"/>
        <v>-0.14704712369350423</v>
      </c>
      <c r="Y728">
        <f t="shared" si="191"/>
        <v>-0.46082626388903297</v>
      </c>
      <c r="Z728">
        <f t="shared" si="192"/>
        <v>8.1598828492717974</v>
      </c>
      <c r="AA728">
        <f t="shared" si="193"/>
        <v>0.32366257486974109</v>
      </c>
      <c r="AB728">
        <f t="shared" si="194"/>
        <v>1.0275573341683255</v>
      </c>
    </row>
    <row r="729" spans="12:28" x14ac:dyDescent="0.25">
      <c r="L729">
        <v>725</v>
      </c>
      <c r="M729">
        <f t="shared" si="199"/>
        <v>362.5</v>
      </c>
      <c r="N729">
        <f t="shared" si="195"/>
        <v>274232.91079570405</v>
      </c>
      <c r="O729">
        <f t="shared" si="196"/>
        <v>-638458.47950930754</v>
      </c>
      <c r="P729">
        <f t="shared" si="197"/>
        <v>513.06910422556052</v>
      </c>
      <c r="Q729">
        <f t="shared" si="198"/>
        <v>-2785.2801639050563</v>
      </c>
      <c r="R729">
        <f t="shared" si="184"/>
        <v>-3.8163636927189692</v>
      </c>
      <c r="S729">
        <f t="shared" si="185"/>
        <v>9.4745536071279854</v>
      </c>
      <c r="T729">
        <f t="shared" si="186"/>
        <v>691862.11616483692</v>
      </c>
      <c r="U729">
        <f t="shared" si="187"/>
        <v>712089.46449363779</v>
      </c>
      <c r="V729">
        <f t="shared" si="188"/>
        <v>683133.58440608031</v>
      </c>
      <c r="W729">
        <f t="shared" si="189"/>
        <v>-3.2115713945522266</v>
      </c>
      <c r="X729">
        <f t="shared" si="190"/>
        <v>-0.14632460538841457</v>
      </c>
      <c r="Y729">
        <f t="shared" si="191"/>
        <v>-0.45846769277832822</v>
      </c>
      <c r="Z729">
        <f t="shared" si="192"/>
        <v>8.1284238138419713</v>
      </c>
      <c r="AA729">
        <f t="shared" si="193"/>
        <v>0.3224840853743004</v>
      </c>
      <c r="AB729">
        <f t="shared" si="194"/>
        <v>1.0236457079117136</v>
      </c>
    </row>
    <row r="730" spans="12:28" x14ac:dyDescent="0.25">
      <c r="L730">
        <v>726</v>
      </c>
      <c r="M730">
        <f t="shared" si="199"/>
        <v>363</v>
      </c>
      <c r="N730">
        <f t="shared" si="195"/>
        <v>274488.96830235526</v>
      </c>
      <c r="O730">
        <f t="shared" si="196"/>
        <v>-639849.93527205917</v>
      </c>
      <c r="P730">
        <f t="shared" si="197"/>
        <v>511.16092237920105</v>
      </c>
      <c r="Q730">
        <f t="shared" si="198"/>
        <v>-2780.5428871014924</v>
      </c>
      <c r="R730">
        <f t="shared" si="184"/>
        <v>-3.7972851981305764</v>
      </c>
      <c r="S730">
        <f t="shared" si="185"/>
        <v>9.4382791489133826</v>
      </c>
      <c r="T730">
        <f t="shared" si="186"/>
        <v>693250.36892018747</v>
      </c>
      <c r="U730">
        <f t="shared" si="187"/>
        <v>713462.46630420932</v>
      </c>
      <c r="V730">
        <f t="shared" si="188"/>
        <v>684508.23589801427</v>
      </c>
      <c r="W730">
        <f t="shared" si="189"/>
        <v>-3.1955474672432658</v>
      </c>
      <c r="X730">
        <f t="shared" si="190"/>
        <v>-0.14560814685740298</v>
      </c>
      <c r="Y730">
        <f t="shared" si="191"/>
        <v>-0.45612958402990794</v>
      </c>
      <c r="Z730">
        <f t="shared" si="192"/>
        <v>8.097201977581916</v>
      </c>
      <c r="AA730">
        <f t="shared" si="193"/>
        <v>0.32131405585698147</v>
      </c>
      <c r="AB730">
        <f t="shared" si="194"/>
        <v>1.0197631154744846</v>
      </c>
    </row>
    <row r="731" spans="12:28" x14ac:dyDescent="0.25">
      <c r="L731">
        <v>727</v>
      </c>
      <c r="M731">
        <f t="shared" si="199"/>
        <v>363.5</v>
      </c>
      <c r="N731">
        <f t="shared" si="195"/>
        <v>274744.0741028951</v>
      </c>
      <c r="O731">
        <f t="shared" si="196"/>
        <v>-641239.02693071624</v>
      </c>
      <c r="P731">
        <f t="shared" si="197"/>
        <v>509.26227978013577</v>
      </c>
      <c r="Q731">
        <f t="shared" si="198"/>
        <v>-2775.8237475270357</v>
      </c>
      <c r="R731">
        <f t="shared" si="184"/>
        <v>-3.7783694132216272</v>
      </c>
      <c r="S731">
        <f t="shared" si="185"/>
        <v>9.4022764173060711</v>
      </c>
      <c r="T731">
        <f t="shared" si="186"/>
        <v>694636.18047068373</v>
      </c>
      <c r="U731">
        <f t="shared" si="187"/>
        <v>714833.08500407217</v>
      </c>
      <c r="V731">
        <f t="shared" si="188"/>
        <v>685880.50405797106</v>
      </c>
      <c r="W731">
        <f t="shared" si="189"/>
        <v>-3.1796600445695975</v>
      </c>
      <c r="X731">
        <f t="shared" si="190"/>
        <v>-0.14489767735385425</v>
      </c>
      <c r="Y731">
        <f t="shared" si="191"/>
        <v>-0.45381169129817539</v>
      </c>
      <c r="Z731">
        <f t="shared" si="192"/>
        <v>8.0662147702920084</v>
      </c>
      <c r="AA731">
        <f t="shared" si="193"/>
        <v>0.32015239896393238</v>
      </c>
      <c r="AB731">
        <f t="shared" si="194"/>
        <v>1.0159092480501297</v>
      </c>
    </row>
    <row r="732" spans="12:28" x14ac:dyDescent="0.25">
      <c r="L732">
        <v>728</v>
      </c>
      <c r="M732">
        <f t="shared" si="199"/>
        <v>364</v>
      </c>
      <c r="N732">
        <f t="shared" si="195"/>
        <v>274998.23294660851</v>
      </c>
      <c r="O732">
        <f t="shared" si="196"/>
        <v>-642625.76351992763</v>
      </c>
      <c r="P732">
        <f t="shared" si="197"/>
        <v>507.37309507352495</v>
      </c>
      <c r="Q732">
        <f t="shared" si="198"/>
        <v>-2771.1226093183827</v>
      </c>
      <c r="R732">
        <f t="shared" si="184"/>
        <v>-3.7596144043475337</v>
      </c>
      <c r="S732">
        <f t="shared" si="185"/>
        <v>9.3665424877018602</v>
      </c>
      <c r="T732">
        <f t="shared" si="186"/>
        <v>696019.56034343038</v>
      </c>
      <c r="U732">
        <f t="shared" si="187"/>
        <v>716201.32969130261</v>
      </c>
      <c r="V732">
        <f t="shared" si="188"/>
        <v>687250.39795346453</v>
      </c>
      <c r="W732">
        <f t="shared" si="189"/>
        <v>-3.1639075051419083</v>
      </c>
      <c r="X732">
        <f t="shared" si="190"/>
        <v>-0.14419312718673719</v>
      </c>
      <c r="Y732">
        <f t="shared" si="191"/>
        <v>-0.45151377201888815</v>
      </c>
      <c r="Z732">
        <f t="shared" si="192"/>
        <v>8.0354596580792101</v>
      </c>
      <c r="AA732">
        <f t="shared" si="193"/>
        <v>0.31899902851825634</v>
      </c>
      <c r="AB732">
        <f t="shared" si="194"/>
        <v>1.0120838011043944</v>
      </c>
    </row>
    <row r="733" spans="12:28" x14ac:dyDescent="0.25">
      <c r="L733">
        <v>729</v>
      </c>
      <c r="M733">
        <f t="shared" si="199"/>
        <v>364.5</v>
      </c>
      <c r="N733">
        <f t="shared" si="195"/>
        <v>275251.44954234472</v>
      </c>
      <c r="O733">
        <f t="shared" si="196"/>
        <v>-644010.15400677593</v>
      </c>
      <c r="P733">
        <f t="shared" si="197"/>
        <v>505.49328787135119</v>
      </c>
      <c r="Q733">
        <f t="shared" si="198"/>
        <v>-2766.4393380745319</v>
      </c>
      <c r="R733">
        <f t="shared" si="184"/>
        <v>-3.7410182672462913</v>
      </c>
      <c r="S733">
        <f t="shared" si="185"/>
        <v>9.3310744765298601</v>
      </c>
      <c r="T733">
        <f t="shared" si="186"/>
        <v>697400.51799333154</v>
      </c>
      <c r="U733">
        <f t="shared" si="187"/>
        <v>717567.20939632028</v>
      </c>
      <c r="V733">
        <f t="shared" si="188"/>
        <v>688617.92658499198</v>
      </c>
      <c r="W733">
        <f t="shared" si="189"/>
        <v>-3.148288252206068</v>
      </c>
      <c r="X733">
        <f t="shared" si="190"/>
        <v>-0.1434944277014569</v>
      </c>
      <c r="Y733">
        <f t="shared" si="191"/>
        <v>-0.44923558733876623</v>
      </c>
      <c r="Z733">
        <f t="shared" si="192"/>
        <v>8.0049341427266487</v>
      </c>
      <c r="AA733">
        <f t="shared" si="193"/>
        <v>0.31785385950047496</v>
      </c>
      <c r="AB733">
        <f t="shared" si="194"/>
        <v>1.0082864743027355</v>
      </c>
    </row>
    <row r="734" spans="12:28" x14ac:dyDescent="0.25">
      <c r="L734">
        <v>730</v>
      </c>
      <c r="M734">
        <f t="shared" si="199"/>
        <v>365</v>
      </c>
      <c r="N734">
        <f t="shared" si="195"/>
        <v>275503.72855899698</v>
      </c>
      <c r="O734">
        <f t="shared" si="196"/>
        <v>-645392.20729150367</v>
      </c>
      <c r="P734">
        <f t="shared" si="197"/>
        <v>503.62277873772803</v>
      </c>
      <c r="Q734">
        <f t="shared" si="198"/>
        <v>-2761.7738008362671</v>
      </c>
      <c r="R734">
        <f t="shared" si="184"/>
        <v>-3.7225791264954662</v>
      </c>
      <c r="S734">
        <f t="shared" si="185"/>
        <v>9.2958695405435297</v>
      </c>
      <c r="T734">
        <f t="shared" si="186"/>
        <v>698779.06280387647</v>
      </c>
      <c r="U734">
        <f t="shared" si="187"/>
        <v>718930.73308260972</v>
      </c>
      <c r="V734">
        <f t="shared" si="188"/>
        <v>689983.09888674342</v>
      </c>
      <c r="W734">
        <f t="shared" si="189"/>
        <v>-3.1328007131877373</v>
      </c>
      <c r="X734">
        <f t="shared" si="190"/>
        <v>-0.14280151126112747</v>
      </c>
      <c r="Y734">
        <f t="shared" si="191"/>
        <v>-0.44697690204660134</v>
      </c>
      <c r="Z734">
        <f t="shared" si="192"/>
        <v>7.9746357610749685</v>
      </c>
      <c r="AA734">
        <f t="shared" si="193"/>
        <v>0.31671680802940366</v>
      </c>
      <c r="AB734">
        <f t="shared" si="194"/>
        <v>1.0045169714391577</v>
      </c>
    </row>
    <row r="735" spans="12:28" x14ac:dyDescent="0.25">
      <c r="L735">
        <v>731</v>
      </c>
      <c r="M735">
        <f t="shared" si="199"/>
        <v>365.5</v>
      </c>
      <c r="N735">
        <f t="shared" si="195"/>
        <v>275755.07462597499</v>
      </c>
      <c r="O735">
        <f t="shared" si="196"/>
        <v>-646771.93220822921</v>
      </c>
      <c r="P735">
        <f t="shared" si="197"/>
        <v>501.76148917448029</v>
      </c>
      <c r="Q735">
        <f t="shared" si="198"/>
        <v>-2757.1258660659955</v>
      </c>
      <c r="R735">
        <f t="shared" si="184"/>
        <v>-3.7042951349814324</v>
      </c>
      <c r="S735">
        <f t="shared" si="185"/>
        <v>9.2609248761274099</v>
      </c>
      <c r="T735">
        <f t="shared" si="186"/>
        <v>700155.20408791269</v>
      </c>
      <c r="U735">
        <f t="shared" si="187"/>
        <v>720291.90964743379</v>
      </c>
      <c r="V735">
        <f t="shared" si="188"/>
        <v>691345.92372730176</v>
      </c>
      <c r="W735">
        <f t="shared" si="189"/>
        <v>-3.1174433392472789</v>
      </c>
      <c r="X735">
        <f t="shared" si="190"/>
        <v>-0.14211431122823506</v>
      </c>
      <c r="Y735">
        <f t="shared" si="191"/>
        <v>-0.44473748450591855</v>
      </c>
      <c r="Z735">
        <f t="shared" si="192"/>
        <v>7.9445620844174369</v>
      </c>
      <c r="AA735">
        <f t="shared" si="193"/>
        <v>0.31558779134338549</v>
      </c>
      <c r="AB735">
        <f t="shared" si="194"/>
        <v>1.0007750003665881</v>
      </c>
    </row>
    <row r="736" spans="12:28" x14ac:dyDescent="0.25">
      <c r="L736">
        <v>732</v>
      </c>
      <c r="M736">
        <f t="shared" si="199"/>
        <v>366</v>
      </c>
      <c r="N736">
        <f t="shared" si="195"/>
        <v>276005.49233367032</v>
      </c>
      <c r="O736">
        <f t="shared" si="196"/>
        <v>-648149.33752565272</v>
      </c>
      <c r="P736">
        <f t="shared" si="197"/>
        <v>499.90934160698959</v>
      </c>
      <c r="Q736">
        <f t="shared" si="198"/>
        <v>-2752.4954036279319</v>
      </c>
      <c r="R736">
        <f t="shared" si="184"/>
        <v>-3.686164473379768</v>
      </c>
      <c r="S736">
        <f t="shared" si="185"/>
        <v>9.2262377186171225</v>
      </c>
      <c r="T736">
        <f t="shared" si="186"/>
        <v>701528.95108840941</v>
      </c>
      <c r="U736">
        <f t="shared" si="187"/>
        <v>721650.74792253494</v>
      </c>
      <c r="V736">
        <f t="shared" si="188"/>
        <v>692706.4099103323</v>
      </c>
      <c r="W736">
        <f t="shared" si="189"/>
        <v>-3.1022146048440304</v>
      </c>
      <c r="X736">
        <f t="shared" si="190"/>
        <v>-0.14143276194669432</v>
      </c>
      <c r="Y736">
        <f t="shared" si="191"/>
        <v>-0.4425171065890432</v>
      </c>
      <c r="Z736">
        <f t="shared" si="192"/>
        <v>7.9147107179067042</v>
      </c>
      <c r="AA736">
        <f t="shared" si="193"/>
        <v>0.31446672778190204</v>
      </c>
      <c r="AB736">
        <f t="shared" si="194"/>
        <v>0.99706027292851618</v>
      </c>
    </row>
    <row r="737" spans="12:28" x14ac:dyDescent="0.25">
      <c r="L737">
        <v>733</v>
      </c>
      <c r="M737">
        <f t="shared" si="199"/>
        <v>366.5</v>
      </c>
      <c r="N737">
        <f t="shared" si="195"/>
        <v>276254.98623391468</v>
      </c>
      <c r="O737">
        <f t="shared" si="196"/>
        <v>-649524.43194775179</v>
      </c>
      <c r="P737">
        <f t="shared" si="197"/>
        <v>498.06625937029969</v>
      </c>
      <c r="Q737">
        <f t="shared" si="198"/>
        <v>-2747.8822847686233</v>
      </c>
      <c r="R737">
        <f t="shared" si="184"/>
        <v>-3.6681853496471279</v>
      </c>
      <c r="S737">
        <f t="shared" si="185"/>
        <v>9.1918053416338985</v>
      </c>
      <c r="T737">
        <f t="shared" si="186"/>
        <v>702900.3129792097</v>
      </c>
      <c r="U737">
        <f t="shared" si="187"/>
        <v>723007.25667482871</v>
      </c>
      <c r="V737">
        <f t="shared" si="188"/>
        <v>694064.56617526338</v>
      </c>
      <c r="W737">
        <f t="shared" si="189"/>
        <v>-3.087113007310224</v>
      </c>
      <c r="X737">
        <f t="shared" si="190"/>
        <v>-0.14075679872427643</v>
      </c>
      <c r="Y737">
        <f t="shared" si="191"/>
        <v>-0.4403155436126272</v>
      </c>
      <c r="Z737">
        <f t="shared" si="192"/>
        <v>7.8850792999743016</v>
      </c>
      <c r="AA737">
        <f t="shared" si="193"/>
        <v>0.31335353676752786</v>
      </c>
      <c r="AB737">
        <f t="shared" si="194"/>
        <v>0.99337250489206763</v>
      </c>
    </row>
    <row r="738" spans="12:28" x14ac:dyDescent="0.25">
      <c r="L738">
        <v>734</v>
      </c>
      <c r="M738">
        <f t="shared" si="199"/>
        <v>367</v>
      </c>
      <c r="N738">
        <f t="shared" si="195"/>
        <v>276503.56084043114</v>
      </c>
      <c r="O738">
        <f t="shared" si="196"/>
        <v>-650897.22411446844</v>
      </c>
      <c r="P738">
        <f t="shared" si="197"/>
        <v>496.23216669547611</v>
      </c>
      <c r="Q738">
        <f t="shared" si="198"/>
        <v>-2743.2863820978064</v>
      </c>
      <c r="R738">
        <f t="shared" si="184"/>
        <v>-3.6503559985237701</v>
      </c>
      <c r="S738">
        <f t="shared" si="185"/>
        <v>9.157625056431888</v>
      </c>
      <c r="T738">
        <f t="shared" si="186"/>
        <v>704269.29886577197</v>
      </c>
      <c r="U738">
        <f t="shared" si="187"/>
        <v>724361.44460708648</v>
      </c>
      <c r="V738">
        <f t="shared" si="188"/>
        <v>695420.40119795804</v>
      </c>
      <c r="W738">
        <f t="shared" si="189"/>
        <v>-3.0721370664337733</v>
      </c>
      <c r="X738">
        <f t="shared" si="190"/>
        <v>-0.14008635781541762</v>
      </c>
      <c r="Y738">
        <f t="shared" si="191"/>
        <v>-0.43813257427457936</v>
      </c>
      <c r="Z738">
        <f t="shared" si="192"/>
        <v>7.8556655017611927</v>
      </c>
      <c r="AA738">
        <f t="shared" si="193"/>
        <v>0.31224813878825808</v>
      </c>
      <c r="AB738">
        <f t="shared" si="194"/>
        <v>0.98971141588243827</v>
      </c>
    </row>
    <row r="739" spans="12:28" x14ac:dyDescent="0.25">
      <c r="L739">
        <v>735</v>
      </c>
      <c r="M739">
        <f t="shared" si="199"/>
        <v>367.5</v>
      </c>
      <c r="N739">
        <f t="shared" si="195"/>
        <v>276751.22062927909</v>
      </c>
      <c r="O739">
        <f t="shared" si="196"/>
        <v>-652267.72260238521</v>
      </c>
      <c r="P739">
        <f t="shared" si="197"/>
        <v>494.40698869621423</v>
      </c>
      <c r="Q739">
        <f t="shared" si="198"/>
        <v>-2738.7075695695903</v>
      </c>
      <c r="R739">
        <f t="shared" si="184"/>
        <v>-3.632674681046987</v>
      </c>
      <c r="S739">
        <f t="shared" si="185"/>
        <v>9.1236942112592736</v>
      </c>
      <c r="T739">
        <f t="shared" si="186"/>
        <v>705635.91778590099</v>
      </c>
      <c r="U739">
        <f t="shared" si="187"/>
        <v>725713.32035860885</v>
      </c>
      <c r="V739">
        <f t="shared" si="188"/>
        <v>696773.923591375</v>
      </c>
      <c r="W739">
        <f t="shared" si="189"/>
        <v>-3.0572853240503131</v>
      </c>
      <c r="X739">
        <f t="shared" si="190"/>
        <v>-0.13942137640437663</v>
      </c>
      <c r="Y739">
        <f t="shared" si="191"/>
        <v>-0.43596798059229741</v>
      </c>
      <c r="Z739">
        <f t="shared" si="192"/>
        <v>7.8264670265606231</v>
      </c>
      <c r="AA739">
        <f t="shared" si="193"/>
        <v>0.31115045538015296</v>
      </c>
      <c r="AB739">
        <f t="shared" si="194"/>
        <v>0.98607672931849866</v>
      </c>
    </row>
    <row r="740" spans="12:28" x14ac:dyDescent="0.25">
      <c r="L740">
        <v>736</v>
      </c>
      <c r="M740">
        <f t="shared" si="199"/>
        <v>368</v>
      </c>
      <c r="N740">
        <f t="shared" si="195"/>
        <v>276997.97003929206</v>
      </c>
      <c r="O740">
        <f t="shared" si="196"/>
        <v>-653635.9359253936</v>
      </c>
      <c r="P740">
        <f t="shared" si="197"/>
        <v>492.59065135569074</v>
      </c>
      <c r="Q740">
        <f t="shared" si="198"/>
        <v>-2734.1457224639607</v>
      </c>
      <c r="R740">
        <f t="shared" si="184"/>
        <v>-3.6151396840747942</v>
      </c>
      <c r="S740">
        <f t="shared" si="185"/>
        <v>9.0900101907318813</v>
      </c>
      <c r="T740">
        <f t="shared" si="186"/>
        <v>707000.17871046963</v>
      </c>
      <c r="U740">
        <f t="shared" si="187"/>
        <v>727062.89250589139</v>
      </c>
      <c r="V740">
        <f t="shared" si="188"/>
        <v>698125.14190622373</v>
      </c>
      <c r="W740">
        <f t="shared" si="189"/>
        <v>-3.0425563436437391</v>
      </c>
      <c r="X740">
        <f t="shared" si="190"/>
        <v>-0.13876179258875415</v>
      </c>
      <c r="Y740">
        <f t="shared" si="191"/>
        <v>-0.43382154784230081</v>
      </c>
      <c r="Z740">
        <f t="shared" si="192"/>
        <v>7.797481609271693</v>
      </c>
      <c r="AA740">
        <f t="shared" si="193"/>
        <v>0.31006040911033933</v>
      </c>
      <c r="AB740">
        <f t="shared" si="194"/>
        <v>0.98246817234984885</v>
      </c>
    </row>
    <row r="741" spans="12:28" x14ac:dyDescent="0.25">
      <c r="L741">
        <v>737</v>
      </c>
      <c r="M741">
        <f t="shared" si="199"/>
        <v>368.5</v>
      </c>
      <c r="N741">
        <f t="shared" si="195"/>
        <v>277243.81347250938</v>
      </c>
      <c r="O741">
        <f t="shared" si="196"/>
        <v>-655001.87253535178</v>
      </c>
      <c r="P741">
        <f t="shared" si="197"/>
        <v>490.78308151365331</v>
      </c>
      <c r="Q741">
        <f t="shared" si="198"/>
        <v>-2729.6007173685948</v>
      </c>
      <c r="R741">
        <f t="shared" si="184"/>
        <v>-3.5977493198198927</v>
      </c>
      <c r="S741">
        <f t="shared" si="185"/>
        <v>9.0565704152197117</v>
      </c>
      <c r="T741">
        <f t="shared" si="186"/>
        <v>708362.09054412984</v>
      </c>
      <c r="U741">
        <f t="shared" si="187"/>
        <v>728410.16956327856</v>
      </c>
      <c r="V741">
        <f t="shared" si="188"/>
        <v>699474.06463160692</v>
      </c>
      <c r="W741">
        <f t="shared" si="189"/>
        <v>-3.0279487099554685</v>
      </c>
      <c r="X741">
        <f t="shared" si="190"/>
        <v>-0.13810754536334896</v>
      </c>
      <c r="Y741">
        <f t="shared" si="191"/>
        <v>-0.43169306450107503</v>
      </c>
      <c r="Z741">
        <f t="shared" si="192"/>
        <v>7.76870701586446</v>
      </c>
      <c r="AA741">
        <f t="shared" si="193"/>
        <v>0.30897792356032361</v>
      </c>
      <c r="AB741">
        <f t="shared" si="194"/>
        <v>0.97888547579492868</v>
      </c>
    </row>
    <row r="742" spans="12:28" x14ac:dyDescent="0.25">
      <c r="L742">
        <v>738</v>
      </c>
      <c r="M742">
        <f t="shared" si="199"/>
        <v>369</v>
      </c>
      <c r="N742">
        <f t="shared" si="195"/>
        <v>277488.7552946012</v>
      </c>
      <c r="O742">
        <f t="shared" si="196"/>
        <v>-656365.54082273412</v>
      </c>
      <c r="P742">
        <f t="shared" si="197"/>
        <v>488.98420685374339</v>
      </c>
      <c r="Q742">
        <f t="shared" si="198"/>
        <v>-2725.072432160985</v>
      </c>
      <c r="R742">
        <f t="shared" si="184"/>
        <v>-3.5805019253932273</v>
      </c>
      <c r="S742">
        <f t="shared" si="185"/>
        <v>9.0233723402449826</v>
      </c>
      <c r="T742">
        <f t="shared" si="186"/>
        <v>709721.66212601308</v>
      </c>
      <c r="U742">
        <f t="shared" si="187"/>
        <v>729755.1599836112</v>
      </c>
      <c r="V742">
        <f t="shared" si="188"/>
        <v>700820.70019565732</v>
      </c>
      <c r="W742">
        <f t="shared" si="189"/>
        <v>-3.0134610286016437</v>
      </c>
      <c r="X742">
        <f t="shared" si="190"/>
        <v>-0.13745857460435235</v>
      </c>
      <c r="Y742">
        <f t="shared" si="191"/>
        <v>-0.42958232218723141</v>
      </c>
      <c r="Z742">
        <f t="shared" si="192"/>
        <v>7.7401410428548774</v>
      </c>
      <c r="AA742">
        <f t="shared" si="193"/>
        <v>0.30790292330963176</v>
      </c>
      <c r="AB742">
        <f t="shared" si="194"/>
        <v>0.9753283740804719</v>
      </c>
    </row>
    <row r="743" spans="12:28" x14ac:dyDescent="0.25">
      <c r="L743">
        <v>739</v>
      </c>
      <c r="M743">
        <f t="shared" si="199"/>
        <v>369.5</v>
      </c>
      <c r="N743">
        <f t="shared" si="195"/>
        <v>277732.79983528744</v>
      </c>
      <c r="O743">
        <f t="shared" si="196"/>
        <v>-657726.94911727216</v>
      </c>
      <c r="P743">
        <f t="shared" si="197"/>
        <v>487.19395589104676</v>
      </c>
      <c r="Q743">
        <f t="shared" si="198"/>
        <v>-2720.5607459908624</v>
      </c>
      <c r="R743">
        <f t="shared" si="184"/>
        <v>-3.5633958623576474</v>
      </c>
      <c r="S743">
        <f t="shared" si="185"/>
        <v>8.990413455893302</v>
      </c>
      <c r="T743">
        <f t="shared" si="186"/>
        <v>711078.90223042318</v>
      </c>
      <c r="U743">
        <f t="shared" si="187"/>
        <v>731097.87215886451</v>
      </c>
      <c r="V743">
        <f t="shared" si="188"/>
        <v>702165.05696616462</v>
      </c>
      <c r="W743">
        <f t="shared" si="189"/>
        <v>-2.999091925698897</v>
      </c>
      <c r="X743">
        <f t="shared" si="190"/>
        <v>-0.13681482105387247</v>
      </c>
      <c r="Y743">
        <f t="shared" si="191"/>
        <v>-0.42748911560487785</v>
      </c>
      <c r="Z743">
        <f t="shared" si="192"/>
        <v>7.7117815167914294</v>
      </c>
      <c r="AA743">
        <f t="shared" si="193"/>
        <v>0.30683533391976775</v>
      </c>
      <c r="AB743">
        <f t="shared" si="194"/>
        <v>0.97179660518210509</v>
      </c>
    </row>
    <row r="744" spans="12:28" x14ac:dyDescent="0.25">
      <c r="L744">
        <v>740</v>
      </c>
      <c r="M744">
        <f t="shared" si="199"/>
        <v>370</v>
      </c>
      <c r="N744">
        <f t="shared" si="195"/>
        <v>277975.95138875017</v>
      </c>
      <c r="O744">
        <f t="shared" si="196"/>
        <v>-659086.10568858555</v>
      </c>
      <c r="P744">
        <f t="shared" si="197"/>
        <v>485.41225795986793</v>
      </c>
      <c r="Q744">
        <f t="shared" si="198"/>
        <v>-2716.065539262916</v>
      </c>
      <c r="R744">
        <f t="shared" si="184"/>
        <v>-3.5464295162905946</v>
      </c>
      <c r="S744">
        <f t="shared" si="185"/>
        <v>8.9576912862355975</v>
      </c>
      <c r="T744">
        <f t="shared" si="186"/>
        <v>712433.81956751749</v>
      </c>
      <c r="U744">
        <f t="shared" si="187"/>
        <v>732438.31442077621</v>
      </c>
      <c r="V744">
        <f t="shared" si="188"/>
        <v>703507.14325119404</v>
      </c>
      <c r="W744">
        <f t="shared" si="189"/>
        <v>-2.9848400474976526</v>
      </c>
      <c r="X744">
        <f t="shared" si="190"/>
        <v>-0.13617622630477247</v>
      </c>
      <c r="Y744">
        <f t="shared" si="191"/>
        <v>-0.42541324248816936</v>
      </c>
      <c r="Z744">
        <f t="shared" si="192"/>
        <v>7.6836262937510709</v>
      </c>
      <c r="AA744">
        <f t="shared" si="193"/>
        <v>0.30577508191846531</v>
      </c>
      <c r="AB744">
        <f t="shared" si="194"/>
        <v>0.96828991056606084</v>
      </c>
    </row>
    <row r="745" spans="12:28" x14ac:dyDescent="0.25">
      <c r="L745">
        <v>741</v>
      </c>
      <c r="M745">
        <f t="shared" si="199"/>
        <v>370.5</v>
      </c>
      <c r="N745">
        <f t="shared" si="195"/>
        <v>278218.21421404055</v>
      </c>
      <c r="O745">
        <f t="shared" si="196"/>
        <v>-660443.01874680619</v>
      </c>
      <c r="P745">
        <f t="shared" si="197"/>
        <v>483.63904320172264</v>
      </c>
      <c r="Q745">
        <f t="shared" si="198"/>
        <v>-2711.5866936197981</v>
      </c>
      <c r="R745">
        <f t="shared" si="184"/>
        <v>-3.5296012963561929</v>
      </c>
      <c r="S745">
        <f t="shared" si="185"/>
        <v>8.9252033887619771</v>
      </c>
      <c r="T745">
        <f t="shared" si="186"/>
        <v>713786.4227839798</v>
      </c>
      <c r="U745">
        <f t="shared" si="187"/>
        <v>733776.49504146806</v>
      </c>
      <c r="V745">
        <f t="shared" si="188"/>
        <v>704846.96729969699</v>
      </c>
      <c r="W745">
        <f t="shared" si="189"/>
        <v>-2.9707040600233059</v>
      </c>
      <c r="X745">
        <f t="shared" si="190"/>
        <v>-0.13554273278582463</v>
      </c>
      <c r="Y745">
        <f t="shared" si="191"/>
        <v>-0.42335450354706239</v>
      </c>
      <c r="Z745">
        <f t="shared" si="192"/>
        <v>7.655673258845626</v>
      </c>
      <c r="AA745">
        <f t="shared" si="193"/>
        <v>0.30472209478424778</v>
      </c>
      <c r="AB745">
        <f t="shared" si="194"/>
        <v>0.96480803513210245</v>
      </c>
    </row>
    <row r="746" spans="12:28" x14ac:dyDescent="0.25">
      <c r="L746">
        <v>742</v>
      </c>
      <c r="M746">
        <f t="shared" si="199"/>
        <v>371</v>
      </c>
      <c r="N746">
        <f t="shared" si="195"/>
        <v>278459.59253547934</v>
      </c>
      <c r="O746">
        <f t="shared" si="196"/>
        <v>-661797.69644319254</v>
      </c>
      <c r="P746">
        <f t="shared" si="197"/>
        <v>481.87424255354455</v>
      </c>
      <c r="Q746">
        <f t="shared" si="198"/>
        <v>-2707.1240919254169</v>
      </c>
      <c r="R746">
        <f t="shared" si="184"/>
        <v>-3.512909634886296</v>
      </c>
      <c r="S746">
        <f t="shared" si="185"/>
        <v>8.8929473538267949</v>
      </c>
      <c r="T746">
        <f t="shared" si="186"/>
        <v>715136.72046368441</v>
      </c>
      <c r="U746">
        <f t="shared" si="187"/>
        <v>735112.42223405815</v>
      </c>
      <c r="V746">
        <f t="shared" si="188"/>
        <v>706184.5373021136</v>
      </c>
      <c r="W746">
        <f t="shared" si="189"/>
        <v>-2.9566826487249442</v>
      </c>
      <c r="X746">
        <f t="shared" si="190"/>
        <v>-0.13491428374716949</v>
      </c>
      <c r="Y746">
        <f t="shared" si="191"/>
        <v>-0.42131270241418245</v>
      </c>
      <c r="Z746">
        <f t="shared" si="192"/>
        <v>7.6279203257380219</v>
      </c>
      <c r="AA746">
        <f t="shared" si="193"/>
        <v>0.30367630093128095</v>
      </c>
      <c r="AB746">
        <f t="shared" si="194"/>
        <v>0.96135072715749215</v>
      </c>
    </row>
    <row r="747" spans="12:28" x14ac:dyDescent="0.25">
      <c r="L747">
        <v>743</v>
      </c>
      <c r="M747">
        <f t="shared" si="199"/>
        <v>371.5</v>
      </c>
      <c r="N747">
        <f t="shared" si="195"/>
        <v>278700.09054305172</v>
      </c>
      <c r="O747">
        <f t="shared" si="196"/>
        <v>-663150.14687073603</v>
      </c>
      <c r="P747">
        <f t="shared" si="197"/>
        <v>480.11778773610138</v>
      </c>
      <c r="Q747">
        <f t="shared" si="198"/>
        <v>-2702.6776182485037</v>
      </c>
      <c r="R747">
        <f t="shared" si="184"/>
        <v>-3.4963529869700718</v>
      </c>
      <c r="S747">
        <f t="shared" si="185"/>
        <v>8.8609208041040635</v>
      </c>
      <c r="T747">
        <f t="shared" si="186"/>
        <v>716484.72112834989</v>
      </c>
      <c r="U747">
        <f t="shared" si="187"/>
        <v>736446.10415326443</v>
      </c>
      <c r="V747">
        <f t="shared" si="188"/>
        <v>707519.86139096646</v>
      </c>
      <c r="W747">
        <f t="shared" si="189"/>
        <v>-2.9427745181311824</v>
      </c>
      <c r="X747">
        <f t="shared" si="190"/>
        <v>-0.13429082324606953</v>
      </c>
      <c r="Y747">
        <f t="shared" si="191"/>
        <v>-0.41928764559281967</v>
      </c>
      <c r="Z747">
        <f t="shared" si="192"/>
        <v>7.6003654361674835</v>
      </c>
      <c r="AA747">
        <f t="shared" si="193"/>
        <v>0.30263762969450686</v>
      </c>
      <c r="AB747">
        <f t="shared" si="194"/>
        <v>0.95791773824207216</v>
      </c>
    </row>
    <row r="748" spans="12:28" x14ac:dyDescent="0.25">
      <c r="L748">
        <v>744</v>
      </c>
      <c r="M748">
        <f t="shared" si="199"/>
        <v>372</v>
      </c>
      <c r="N748">
        <f t="shared" si="195"/>
        <v>278939.71239279641</v>
      </c>
      <c r="O748">
        <f t="shared" si="196"/>
        <v>-664500.37806475966</v>
      </c>
      <c r="P748">
        <f t="shared" si="197"/>
        <v>478.36961124261632</v>
      </c>
      <c r="Q748">
        <f t="shared" si="198"/>
        <v>-2698.2471578464515</v>
      </c>
      <c r="R748">
        <f t="shared" si="184"/>
        <v>-3.4799298300525217</v>
      </c>
      <c r="S748">
        <f t="shared" si="185"/>
        <v>8.8291213940545887</v>
      </c>
      <c r="T748">
        <f t="shared" si="186"/>
        <v>717830.43323818489</v>
      </c>
      <c r="U748">
        <f t="shared" si="187"/>
        <v>737777.5488960013</v>
      </c>
      <c r="V748">
        <f t="shared" si="188"/>
        <v>708852.94764144823</v>
      </c>
      <c r="W748">
        <f t="shared" si="189"/>
        <v>-2.9289783915135681</v>
      </c>
      <c r="X748">
        <f t="shared" si="190"/>
        <v>-0.13367229613295609</v>
      </c>
      <c r="Y748">
        <f t="shared" si="191"/>
        <v>-0.41727914240599745</v>
      </c>
      <c r="Z748">
        <f t="shared" si="192"/>
        <v>7.5730065594851501</v>
      </c>
      <c r="AA748">
        <f t="shared" si="193"/>
        <v>0.30160601131506287</v>
      </c>
      <c r="AB748">
        <f t="shared" si="194"/>
        <v>0.9545088232543758</v>
      </c>
    </row>
    <row r="749" spans="12:28" x14ac:dyDescent="0.25">
      <c r="L749">
        <v>745</v>
      </c>
      <c r="M749">
        <f t="shared" si="199"/>
        <v>372.5</v>
      </c>
      <c r="N749">
        <f t="shared" si="195"/>
        <v>279178.462207189</v>
      </c>
      <c r="O749">
        <f t="shared" si="196"/>
        <v>-665848.39800350857</v>
      </c>
      <c r="P749">
        <f t="shared" si="197"/>
        <v>476.62964632759008</v>
      </c>
      <c r="Q749">
        <f t="shared" si="198"/>
        <v>-2693.8325971494241</v>
      </c>
      <c r="R749">
        <f t="shared" si="184"/>
        <v>-3.4636386635409755</v>
      </c>
      <c r="S749">
        <f t="shared" si="185"/>
        <v>8.7975468094025864</v>
      </c>
      <c r="T749">
        <f t="shared" si="186"/>
        <v>719173.86519252567</v>
      </c>
      <c r="U749">
        <f t="shared" si="187"/>
        <v>739106.76450196782</v>
      </c>
      <c r="V749">
        <f t="shared" si="188"/>
        <v>710183.80407199962</v>
      </c>
      <c r="W749">
        <f t="shared" si="189"/>
        <v>-2.9152930105565993</v>
      </c>
      <c r="X749">
        <f t="shared" si="190"/>
        <v>-0.13305864803775899</v>
      </c>
      <c r="Y749">
        <f t="shared" si="191"/>
        <v>-0.41528700494661697</v>
      </c>
      <c r="Z749">
        <f t="shared" si="192"/>
        <v>7.5458416921978069</v>
      </c>
      <c r="AA749">
        <f t="shared" si="193"/>
        <v>0.3005813769259732</v>
      </c>
      <c r="AB749">
        <f t="shared" si="194"/>
        <v>0.95112374027880553</v>
      </c>
    </row>
    <row r="750" spans="12:28" x14ac:dyDescent="0.25">
      <c r="L750">
        <v>746</v>
      </c>
      <c r="M750">
        <f t="shared" si="199"/>
        <v>373</v>
      </c>
      <c r="N750">
        <f t="shared" si="195"/>
        <v>279416.34407551982</v>
      </c>
      <c r="O750">
        <f t="shared" si="196"/>
        <v>-667194.21460873215</v>
      </c>
      <c r="P750">
        <f t="shared" si="197"/>
        <v>474.89782699581957</v>
      </c>
      <c r="Q750">
        <f t="shared" si="198"/>
        <v>-2689.4338237447228</v>
      </c>
      <c r="R750">
        <f t="shared" si="184"/>
        <v>-3.4474780084199081</v>
      </c>
      <c r="S750">
        <f t="shared" si="185"/>
        <v>8.7661947666229736</v>
      </c>
      <c r="T750">
        <f t="shared" si="186"/>
        <v>720515.02533046366</v>
      </c>
      <c r="U750">
        <f t="shared" si="187"/>
        <v>740433.7589542279</v>
      </c>
      <c r="V750">
        <f t="shared" si="188"/>
        <v>711512.43864488089</v>
      </c>
      <c r="W750">
        <f t="shared" si="189"/>
        <v>-2.9017171350347661</v>
      </c>
      <c r="X750">
        <f t="shared" si="190"/>
        <v>-0.13244982535651234</v>
      </c>
      <c r="Y750">
        <f t="shared" si="191"/>
        <v>-0.41331104802862961</v>
      </c>
      <c r="Z750">
        <f t="shared" si="192"/>
        <v>7.5188688575210634</v>
      </c>
      <c r="AA750">
        <f t="shared" si="193"/>
        <v>0.29956365853810613</v>
      </c>
      <c r="AB750">
        <f t="shared" si="194"/>
        <v>0.94776225056380459</v>
      </c>
    </row>
    <row r="751" spans="12:28" x14ac:dyDescent="0.25">
      <c r="L751">
        <v>747</v>
      </c>
      <c r="M751">
        <f t="shared" si="199"/>
        <v>373.5</v>
      </c>
      <c r="N751">
        <f t="shared" si="195"/>
        <v>279653.36205426668</v>
      </c>
      <c r="O751">
        <f t="shared" si="196"/>
        <v>-668537.83574625873</v>
      </c>
      <c r="P751">
        <f t="shared" si="197"/>
        <v>473.17408799160961</v>
      </c>
      <c r="Q751">
        <f t="shared" si="198"/>
        <v>-2685.0507263614113</v>
      </c>
      <c r="R751">
        <f t="shared" si="184"/>
        <v>-3.4314464068736568</v>
      </c>
      <c r="S751">
        <f t="shared" si="185"/>
        <v>8.7350630124385269</v>
      </c>
      <c r="T751">
        <f t="shared" si="186"/>
        <v>721853.92193146551</v>
      </c>
      <c r="U751">
        <f t="shared" si="187"/>
        <v>741758.54017978266</v>
      </c>
      <c r="V751">
        <f t="shared" si="188"/>
        <v>712838.85926673585</v>
      </c>
      <c r="W751">
        <f t="shared" si="189"/>
        <v>-2.8882495424962045</v>
      </c>
      <c r="X751">
        <f t="shared" si="190"/>
        <v>-0.13184577523823218</v>
      </c>
      <c r="Y751">
        <f t="shared" si="191"/>
        <v>-0.41135108913922003</v>
      </c>
      <c r="Z751">
        <f t="shared" si="192"/>
        <v>7.492086104941114</v>
      </c>
      <c r="AA751">
        <f t="shared" si="193"/>
        <v>0.29855278902639598</v>
      </c>
      <c r="AB751">
        <f t="shared" si="194"/>
        <v>0.94442411847101748</v>
      </c>
    </row>
    <row r="752" spans="12:28" x14ac:dyDescent="0.25">
      <c r="L752">
        <v>748</v>
      </c>
      <c r="M752">
        <f t="shared" si="199"/>
        <v>374</v>
      </c>
      <c r="N752">
        <f t="shared" si="195"/>
        <v>279889.5201674616</v>
      </c>
      <c r="O752">
        <f t="shared" si="196"/>
        <v>-669879.26922656281</v>
      </c>
      <c r="P752">
        <f t="shared" si="197"/>
        <v>471.45836478817279</v>
      </c>
      <c r="Q752">
        <f t="shared" si="198"/>
        <v>-2680.6831948551921</v>
      </c>
      <c r="R752">
        <f t="shared" si="184"/>
        <v>-3.4155424219169048</v>
      </c>
      <c r="S752">
        <f t="shared" si="185"/>
        <v>8.7041493233267975</v>
      </c>
      <c r="T752">
        <f t="shared" si="186"/>
        <v>723190.5632159845</v>
      </c>
      <c r="U752">
        <f t="shared" si="187"/>
        <v>743081.11605013581</v>
      </c>
      <c r="V752">
        <f t="shared" si="188"/>
        <v>714163.07378914754</v>
      </c>
      <c r="W752">
        <f t="shared" si="189"/>
        <v>-2.8748890279528689</v>
      </c>
      <c r="X752">
        <f t="shared" si="190"/>
        <v>-0.13124644557205917</v>
      </c>
      <c r="Y752">
        <f t="shared" si="191"/>
        <v>-0.4094069483919765</v>
      </c>
      <c r="Z752">
        <f t="shared" si="192"/>
        <v>7.4654915097850516</v>
      </c>
      <c r="AA752">
        <f t="shared" si="193"/>
        <v>0.29754870211632417</v>
      </c>
      <c r="AB752">
        <f t="shared" si="194"/>
        <v>0.9411091114254222</v>
      </c>
    </row>
    <row r="753" spans="12:28" x14ac:dyDescent="0.25">
      <c r="L753">
        <v>749</v>
      </c>
      <c r="M753">
        <f t="shared" si="199"/>
        <v>374.5</v>
      </c>
      <c r="N753">
        <f t="shared" si="195"/>
        <v>280124.82240705297</v>
      </c>
      <c r="O753">
        <f t="shared" si="196"/>
        <v>-671218.52280532499</v>
      </c>
      <c r="P753">
        <f t="shared" si="197"/>
        <v>469.75059357721432</v>
      </c>
      <c r="Q753">
        <f t="shared" si="198"/>
        <v>-2676.3311201935289</v>
      </c>
      <c r="R753">
        <f t="shared" si="184"/>
        <v>-3.399764637032789</v>
      </c>
      <c r="S753">
        <f t="shared" si="185"/>
        <v>8.6734515050367147</v>
      </c>
      <c r="T753">
        <f t="shared" si="186"/>
        <v>724524.9573460645</v>
      </c>
      <c r="U753">
        <f t="shared" si="187"/>
        <v>744401.49438185187</v>
      </c>
      <c r="V753">
        <f t="shared" si="188"/>
        <v>715485.0900091884</v>
      </c>
      <c r="W753">
        <f t="shared" si="189"/>
        <v>-2.8616344035771113</v>
      </c>
      <c r="X753">
        <f t="shared" si="190"/>
        <v>-0.13065178497465552</v>
      </c>
      <c r="Y753">
        <f t="shared" si="191"/>
        <v>-0.40747844848102238</v>
      </c>
      <c r="Z753">
        <f t="shared" si="192"/>
        <v>7.4390831727996742</v>
      </c>
      <c r="AA753">
        <f t="shared" si="193"/>
        <v>0.29655133237064174</v>
      </c>
      <c r="AB753">
        <f t="shared" si="194"/>
        <v>0.9378169998663991</v>
      </c>
    </row>
    <row r="754" spans="12:28" x14ac:dyDescent="0.25">
      <c r="L754">
        <v>750</v>
      </c>
      <c r="M754">
        <f t="shared" si="199"/>
        <v>375</v>
      </c>
      <c r="N754">
        <f t="shared" si="195"/>
        <v>280359.27273326193</v>
      </c>
      <c r="O754">
        <f t="shared" si="196"/>
        <v>-672555.60418398364</v>
      </c>
      <c r="P754">
        <f t="shared" si="197"/>
        <v>468.0507112586979</v>
      </c>
      <c r="Q754">
        <f t="shared" si="198"/>
        <v>-2671.9943944410106</v>
      </c>
      <c r="R754">
        <f t="shared" si="184"/>
        <v>-3.3841116558182178</v>
      </c>
      <c r="S754">
        <f t="shared" si="185"/>
        <v>8.6429673921139791</v>
      </c>
      <c r="T754">
        <f t="shared" si="186"/>
        <v>725857.11242593476</v>
      </c>
      <c r="U754">
        <f t="shared" si="187"/>
        <v>745719.68293710542</v>
      </c>
      <c r="V754">
        <f t="shared" si="188"/>
        <v>716804.91566996102</v>
      </c>
      <c r="W754">
        <f t="shared" si="189"/>
        <v>-2.8484844984042588</v>
      </c>
      <c r="X754">
        <f t="shared" si="190"/>
        <v>-0.13006174277785942</v>
      </c>
      <c r="Y754">
        <f t="shared" si="191"/>
        <v>-0.40556541463609941</v>
      </c>
      <c r="Z754">
        <f t="shared" si="192"/>
        <v>7.4128592197378769</v>
      </c>
      <c r="AA754">
        <f t="shared" si="193"/>
        <v>0.29556061517634907</v>
      </c>
      <c r="AB754">
        <f t="shared" si="194"/>
        <v>0.93454755719975369</v>
      </c>
    </row>
    <row r="755" spans="12:28" x14ac:dyDescent="0.25">
      <c r="L755">
        <v>751</v>
      </c>
      <c r="M755">
        <f t="shared" si="199"/>
        <v>375.5</v>
      </c>
      <c r="N755">
        <f t="shared" si="195"/>
        <v>280592.87507493427</v>
      </c>
      <c r="O755">
        <f t="shared" si="196"/>
        <v>-673890.52101028012</v>
      </c>
      <c r="P755">
        <f t="shared" si="197"/>
        <v>466.35865543078882</v>
      </c>
      <c r="Q755">
        <f t="shared" si="198"/>
        <v>-2667.6729107449537</v>
      </c>
      <c r="R755">
        <f t="shared" si="184"/>
        <v>-3.3685821016367474</v>
      </c>
      <c r="S755">
        <f t="shared" si="185"/>
        <v>8.6126948474364866</v>
      </c>
      <c r="T755">
        <f t="shared" si="186"/>
        <v>727187.03650259739</v>
      </c>
      <c r="U755">
        <f t="shared" si="187"/>
        <v>747035.68942422525</v>
      </c>
      <c r="V755">
        <f t="shared" si="188"/>
        <v>718122.55846113444</v>
      </c>
      <c r="W755">
        <f t="shared" si="189"/>
        <v>-2.8354381580416184</v>
      </c>
      <c r="X755">
        <f t="shared" si="190"/>
        <v>-0.12947626901658216</v>
      </c>
      <c r="Y755">
        <f t="shared" si="191"/>
        <v>-0.40366767457854663</v>
      </c>
      <c r="Z755">
        <f t="shared" si="192"/>
        <v>7.3868178009539873</v>
      </c>
      <c r="AA755">
        <f t="shared" si="193"/>
        <v>0.29457648673190834</v>
      </c>
      <c r="AB755">
        <f t="shared" si="194"/>
        <v>0.93130055975059067</v>
      </c>
    </row>
    <row r="756" spans="12:28" x14ac:dyDescent="0.25">
      <c r="L756">
        <v>752</v>
      </c>
      <c r="M756">
        <f t="shared" si="199"/>
        <v>376</v>
      </c>
      <c r="N756">
        <f t="shared" si="195"/>
        <v>280825.633329887</v>
      </c>
      <c r="O756">
        <f t="shared" si="196"/>
        <v>-675223.28087879671</v>
      </c>
      <c r="P756">
        <f t="shared" si="197"/>
        <v>464.67436437997043</v>
      </c>
      <c r="Q756">
        <f t="shared" si="198"/>
        <v>-2663.3665633212354</v>
      </c>
      <c r="R756">
        <f t="shared" si="184"/>
        <v>-3.3531746172780954</v>
      </c>
      <c r="S756">
        <f t="shared" si="185"/>
        <v>8.5826317617575381</v>
      </c>
      <c r="T756">
        <f t="shared" si="186"/>
        <v>728514.73756640707</v>
      </c>
      <c r="U756">
        <f t="shared" si="187"/>
        <v>748349.52149823005</v>
      </c>
      <c r="V756">
        <f t="shared" si="188"/>
        <v>719438.02601947135</v>
      </c>
      <c r="W756">
        <f t="shared" si="189"/>
        <v>-2.8224942443829457</v>
      </c>
      <c r="X756">
        <f t="shared" si="190"/>
        <v>-0.12889531441695012</v>
      </c>
      <c r="Y756">
        <f t="shared" si="191"/>
        <v>-0.40178505847819929</v>
      </c>
      <c r="Z756">
        <f t="shared" si="192"/>
        <v>7.3609570910057114</v>
      </c>
      <c r="AA756">
        <f t="shared" si="193"/>
        <v>0.29359888403469986</v>
      </c>
      <c r="AB756">
        <f t="shared" si="194"/>
        <v>0.92807578671712687</v>
      </c>
    </row>
    <row r="757" spans="12:28" x14ac:dyDescent="0.25">
      <c r="L757">
        <v>753</v>
      </c>
      <c r="M757">
        <f t="shared" si="199"/>
        <v>376.5</v>
      </c>
      <c r="N757">
        <f t="shared" si="195"/>
        <v>281057.55136524985</v>
      </c>
      <c r="O757">
        <f t="shared" si="196"/>
        <v>-676553.8913314871</v>
      </c>
      <c r="P757">
        <f t="shared" si="197"/>
        <v>462.99777707133137</v>
      </c>
      <c r="Q757">
        <f t="shared" si="198"/>
        <v>-2659.0752474403566</v>
      </c>
      <c r="R757">
        <f t="shared" si="184"/>
        <v>-3.3378878646249883</v>
      </c>
      <c r="S757">
        <f t="shared" si="185"/>
        <v>8.5527760532589525</v>
      </c>
      <c r="T757">
        <f t="shared" si="186"/>
        <v>729840.2235516432</v>
      </c>
      <c r="U757">
        <f t="shared" si="187"/>
        <v>749661.18676135794</v>
      </c>
      <c r="V757">
        <f t="shared" si="188"/>
        <v>720751.32592934964</v>
      </c>
      <c r="W757">
        <f t="shared" si="189"/>
        <v>-2.8096516353291632</v>
      </c>
      <c r="X757">
        <f t="shared" si="190"/>
        <v>-0.12831883038467479</v>
      </c>
      <c r="Y757">
        <f t="shared" si="191"/>
        <v>-0.39991739891115002</v>
      </c>
      <c r="Z757">
        <f t="shared" si="192"/>
        <v>7.3352752882649215</v>
      </c>
      <c r="AA757">
        <f t="shared" si="193"/>
        <v>0.29262774486869225</v>
      </c>
      <c r="AB757">
        <f t="shared" si="194"/>
        <v>0.92487302012533901</v>
      </c>
    </row>
    <row r="758" spans="12:28" x14ac:dyDescent="0.25">
      <c r="L758">
        <v>754</v>
      </c>
      <c r="M758">
        <f t="shared" si="199"/>
        <v>377</v>
      </c>
      <c r="N758">
        <f t="shared" si="195"/>
        <v>281288.63301780244</v>
      </c>
      <c r="O758">
        <f t="shared" si="196"/>
        <v>-677882.35985820054</v>
      </c>
      <c r="P758">
        <f t="shared" si="197"/>
        <v>461.32883313901885</v>
      </c>
      <c r="Q758">
        <f t="shared" si="198"/>
        <v>-2654.7988594137273</v>
      </c>
      <c r="R758">
        <f t="shared" si="184"/>
        <v>-3.3227205243263063</v>
      </c>
      <c r="S758">
        <f t="shared" si="185"/>
        <v>8.5231256671115396</v>
      </c>
      <c r="T758">
        <f t="shared" si="186"/>
        <v>731163.50233707426</v>
      </c>
      <c r="U758">
        <f t="shared" si="187"/>
        <v>750970.69276358781</v>
      </c>
      <c r="V758">
        <f t="shared" si="188"/>
        <v>722062.46572327719</v>
      </c>
      <c r="W758">
        <f t="shared" si="189"/>
        <v>-2.7969092245142675</v>
      </c>
      <c r="X758">
        <f t="shared" si="190"/>
        <v>-0.12774676899366055</v>
      </c>
      <c r="Y758">
        <f t="shared" si="191"/>
        <v>-0.39806453081837828</v>
      </c>
      <c r="Z758">
        <f t="shared" si="192"/>
        <v>7.3097706145346963</v>
      </c>
      <c r="AA758">
        <f t="shared" si="193"/>
        <v>0.2916630077923561</v>
      </c>
      <c r="AB758">
        <f t="shared" si="194"/>
        <v>0.9216920447844873</v>
      </c>
    </row>
    <row r="759" spans="12:28" x14ac:dyDescent="0.25">
      <c r="L759">
        <v>755</v>
      </c>
      <c r="M759">
        <f t="shared" si="199"/>
        <v>377.5</v>
      </c>
      <c r="N759">
        <f t="shared" si="195"/>
        <v>281518.88209430641</v>
      </c>
      <c r="O759">
        <f t="shared" si="196"/>
        <v>-679208.693897199</v>
      </c>
      <c r="P759">
        <f t="shared" si="197"/>
        <v>459.6674728768557</v>
      </c>
      <c r="Q759">
        <f t="shared" si="198"/>
        <v>-2650.5372965801716</v>
      </c>
      <c r="R759">
        <f t="shared" si="184"/>
        <v>-3.3076712954771152</v>
      </c>
      <c r="S759">
        <f t="shared" si="185"/>
        <v>8.4936785750447594</v>
      </c>
      <c r="T759">
        <f t="shared" si="186"/>
        <v>732484.58174651477</v>
      </c>
      <c r="U759">
        <f t="shared" si="187"/>
        <v>752278.04700315639</v>
      </c>
      <c r="V759">
        <f t="shared" si="188"/>
        <v>723371.4528823999</v>
      </c>
      <c r="W759">
        <f t="shared" si="189"/>
        <v>-2.7842659210370884</v>
      </c>
      <c r="X759">
        <f t="shared" si="190"/>
        <v>-0.12717908297483416</v>
      </c>
      <c r="Y759">
        <f t="shared" si="191"/>
        <v>-0.39622629146519284</v>
      </c>
      <c r="Z759">
        <f t="shared" si="192"/>
        <v>7.2844413146745515</v>
      </c>
      <c r="AA759">
        <f t="shared" si="193"/>
        <v>0.29070461212679094</v>
      </c>
      <c r="AB759">
        <f t="shared" si="194"/>
        <v>0.91853264824341707</v>
      </c>
    </row>
    <row r="760" spans="12:28" x14ac:dyDescent="0.25">
      <c r="L760">
        <v>756</v>
      </c>
      <c r="M760">
        <f t="shared" si="199"/>
        <v>378</v>
      </c>
      <c r="N760">
        <f t="shared" si="195"/>
        <v>281748.30237183289</v>
      </c>
      <c r="O760">
        <f t="shared" si="196"/>
        <v>-680532.90083566715</v>
      </c>
      <c r="P760">
        <f t="shared" si="197"/>
        <v>458.01363722911714</v>
      </c>
      <c r="Q760">
        <f t="shared" si="198"/>
        <v>-2646.2904572926491</v>
      </c>
      <c r="R760">
        <f t="shared" si="184"/>
        <v>-3.2927388953050158</v>
      </c>
      <c r="S760">
        <f t="shared" si="185"/>
        <v>8.4644327749242212</v>
      </c>
      <c r="T760">
        <f t="shared" si="186"/>
        <v>733803.46954937535</v>
      </c>
      <c r="U760">
        <f t="shared" si="187"/>
        <v>753583.25692706602</v>
      </c>
      <c r="V760">
        <f t="shared" si="188"/>
        <v>724678.29483700288</v>
      </c>
      <c r="W760">
        <f t="shared" si="189"/>
        <v>-2.7717206491983091</v>
      </c>
      <c r="X760">
        <f t="shared" si="190"/>
        <v>-0.12661572570518992</v>
      </c>
      <c r="Y760">
        <f t="shared" si="191"/>
        <v>-0.39440252040151685</v>
      </c>
      <c r="Z760">
        <f t="shared" si="192"/>
        <v>7.2592856562324304</v>
      </c>
      <c r="AA760">
        <f t="shared" si="193"/>
        <v>0.28975249794405944</v>
      </c>
      <c r="AB760">
        <f t="shared" si="194"/>
        <v>0.91539462074773181</v>
      </c>
    </row>
    <row r="761" spans="12:28" x14ac:dyDescent="0.25">
      <c r="L761">
        <v>757</v>
      </c>
      <c r="M761">
        <f t="shared" si="199"/>
        <v>378.5</v>
      </c>
      <c r="N761">
        <f t="shared" si="195"/>
        <v>281976.89759808552</v>
      </c>
      <c r="O761">
        <f t="shared" si="196"/>
        <v>-681854.98801021662</v>
      </c>
      <c r="P761">
        <f t="shared" si="197"/>
        <v>456.36726778146465</v>
      </c>
      <c r="Q761">
        <f t="shared" si="198"/>
        <v>-2642.0582409051872</v>
      </c>
      <c r="R761">
        <f t="shared" si="184"/>
        <v>-3.2779220588627309</v>
      </c>
      <c r="S761">
        <f t="shared" si="185"/>
        <v>8.4353862903371084</v>
      </c>
      <c r="T761">
        <f t="shared" si="186"/>
        <v>735120.17346120533</v>
      </c>
      <c r="U761">
        <f t="shared" si="187"/>
        <v>754886.32993158756</v>
      </c>
      <c r="V761">
        <f t="shared" si="188"/>
        <v>725982.99896700622</v>
      </c>
      <c r="W761">
        <f t="shared" si="189"/>
        <v>-2.7592723482427237</v>
      </c>
      <c r="X761">
        <f t="shared" si="190"/>
        <v>-0.12605665119706083</v>
      </c>
      <c r="Y761">
        <f t="shared" si="191"/>
        <v>-0.39259305942294642</v>
      </c>
      <c r="Z761">
        <f t="shared" si="192"/>
        <v>7.2343019290836441</v>
      </c>
      <c r="AA761">
        <f t="shared" si="193"/>
        <v>0.28880660605575909</v>
      </c>
      <c r="AB761">
        <f t="shared" si="194"/>
        <v>0.91227775519770526</v>
      </c>
    </row>
    <row r="762" spans="12:28" x14ac:dyDescent="0.25">
      <c r="L762">
        <v>758</v>
      </c>
      <c r="M762">
        <f t="shared" si="199"/>
        <v>379</v>
      </c>
      <c r="N762">
        <f t="shared" si="195"/>
        <v>282204.67149171891</v>
      </c>
      <c r="O762">
        <f t="shared" si="196"/>
        <v>-683174.96270738286</v>
      </c>
      <c r="P762">
        <f t="shared" si="197"/>
        <v>454.72830675203329</v>
      </c>
      <c r="Q762">
        <f t="shared" si="198"/>
        <v>-2637.8405477600186</v>
      </c>
      <c r="R762">
        <f t="shared" si="184"/>
        <v>-3.2632195387268594</v>
      </c>
      <c r="S762">
        <f t="shared" si="185"/>
        <v>8.4065371701854446</v>
      </c>
      <c r="T762">
        <f t="shared" si="186"/>
        <v>736434.70114422776</v>
      </c>
      <c r="U762">
        <f t="shared" si="187"/>
        <v>756187.27336275589</v>
      </c>
      <c r="V762">
        <f t="shared" si="188"/>
        <v>727285.57260245353</v>
      </c>
      <c r="W762">
        <f t="shared" si="189"/>
        <v>-2.7469199721066579</v>
      </c>
      <c r="X762">
        <f t="shared" si="190"/>
        <v>-0.1255018140875814</v>
      </c>
      <c r="Y762">
        <f t="shared" si="191"/>
        <v>-0.39079775253262011</v>
      </c>
      <c r="Z762">
        <f t="shared" si="192"/>
        <v>7.2094884450766425</v>
      </c>
      <c r="AA762">
        <f t="shared" si="193"/>
        <v>0.28786687800175847</v>
      </c>
      <c r="AB762">
        <f t="shared" si="194"/>
        <v>0.90918184710704308</v>
      </c>
    </row>
    <row r="763" spans="12:28" x14ac:dyDescent="0.25">
      <c r="L763">
        <v>759</v>
      </c>
      <c r="M763">
        <f t="shared" si="199"/>
        <v>379.5</v>
      </c>
      <c r="N763">
        <f t="shared" si="195"/>
        <v>282431.62774265261</v>
      </c>
      <c r="O763">
        <f t="shared" si="196"/>
        <v>-684492.83216411655</v>
      </c>
      <c r="P763">
        <f t="shared" si="197"/>
        <v>453.09669698266987</v>
      </c>
      <c r="Q763">
        <f t="shared" si="198"/>
        <v>-2633.6372791749259</v>
      </c>
      <c r="R763">
        <f t="shared" si="184"/>
        <v>-3.2486301047026021</v>
      </c>
      <c r="S763">
        <f t="shared" si="185"/>
        <v>8.3778834882869972</v>
      </c>
      <c r="T763">
        <f t="shared" si="186"/>
        <v>737747.06020786881</v>
      </c>
      <c r="U763">
        <f t="shared" si="187"/>
        <v>757486.09451686055</v>
      </c>
      <c r="V763">
        <f t="shared" si="188"/>
        <v>728586.02302399464</v>
      </c>
      <c r="W763">
        <f t="shared" si="189"/>
        <v>-2.7346624891704239</v>
      </c>
      <c r="X763">
        <f t="shared" si="190"/>
        <v>-0.12495116962837352</v>
      </c>
      <c r="Y763">
        <f t="shared" si="191"/>
        <v>-0.38901644590380491</v>
      </c>
      <c r="Z763">
        <f t="shared" si="192"/>
        <v>7.1848435376855164</v>
      </c>
      <c r="AA763">
        <f t="shared" si="193"/>
        <v>0.28693325603917852</v>
      </c>
      <c r="AB763">
        <f t="shared" si="194"/>
        <v>0.90610669456230253</v>
      </c>
    </row>
    <row r="764" spans="12:28" x14ac:dyDescent="0.25">
      <c r="L764">
        <v>760</v>
      </c>
      <c r="M764">
        <f t="shared" si="199"/>
        <v>380</v>
      </c>
      <c r="N764">
        <f t="shared" si="195"/>
        <v>282657.77001238085</v>
      </c>
      <c r="O764">
        <f t="shared" si="196"/>
        <v>-685808.60356826801</v>
      </c>
      <c r="P764">
        <f t="shared" si="197"/>
        <v>451.47238193031859</v>
      </c>
      <c r="Q764">
        <f t="shared" si="198"/>
        <v>-2629.4483374307824</v>
      </c>
      <c r="R764">
        <f t="shared" si="184"/>
        <v>-3.2341525435343663</v>
      </c>
      <c r="S764">
        <f t="shared" si="185"/>
        <v>8.3494233429836662</v>
      </c>
      <c r="T764">
        <f t="shared" si="186"/>
        <v>739057.25820927927</v>
      </c>
      <c r="U764">
        <f t="shared" si="187"/>
        <v>758782.80064092809</v>
      </c>
      <c r="V764">
        <f t="shared" si="188"/>
        <v>729884.35746336251</v>
      </c>
      <c r="W764">
        <f t="shared" si="189"/>
        <v>-2.722498882015667</v>
      </c>
      <c r="X764">
        <f t="shared" si="190"/>
        <v>-0.12440467367542729</v>
      </c>
      <c r="Y764">
        <f t="shared" si="191"/>
        <v>-0.38724898784327216</v>
      </c>
      <c r="Z764">
        <f t="shared" si="192"/>
        <v>7.1603655616689439</v>
      </c>
      <c r="AA764">
        <f t="shared" si="193"/>
        <v>0.28600568313155861</v>
      </c>
      <c r="AB764">
        <f t="shared" si="194"/>
        <v>0.90305209818316423</v>
      </c>
    </row>
    <row r="765" spans="12:28" x14ac:dyDescent="0.25">
      <c r="L765">
        <v>761</v>
      </c>
      <c r="M765">
        <f t="shared" si="199"/>
        <v>380.5</v>
      </c>
      <c r="N765">
        <f t="shared" si="195"/>
        <v>282883.10193427809</v>
      </c>
      <c r="O765">
        <f t="shared" si="196"/>
        <v>-687122.28405906551</v>
      </c>
      <c r="P765">
        <f t="shared" si="197"/>
        <v>449.8553056585514</v>
      </c>
      <c r="Q765">
        <f t="shared" si="198"/>
        <v>-2625.2736257592906</v>
      </c>
      <c r="R765">
        <f t="shared" si="184"/>
        <v>-3.2197856586220892</v>
      </c>
      <c r="S765">
        <f t="shared" si="185"/>
        <v>8.321154856757218</v>
      </c>
      <c r="T765">
        <f t="shared" si="186"/>
        <v>740365.30265384924</v>
      </c>
      <c r="U765">
        <f t="shared" si="187"/>
        <v>760077.39893319993</v>
      </c>
      <c r="V765">
        <f t="shared" si="188"/>
        <v>731180.58310384385</v>
      </c>
      <c r="W765">
        <f t="shared" si="189"/>
        <v>-2.7104281471875611</v>
      </c>
      <c r="X765">
        <f t="shared" si="190"/>
        <v>-0.12386228267916838</v>
      </c>
      <c r="Y765">
        <f t="shared" si="191"/>
        <v>-0.38549522875535969</v>
      </c>
      <c r="Z765">
        <f t="shared" si="192"/>
        <v>7.1360528927356883</v>
      </c>
      <c r="AA765">
        <f t="shared" si="193"/>
        <v>0.28508410293819486</v>
      </c>
      <c r="AB765">
        <f t="shared" si="194"/>
        <v>0.90001786108333381</v>
      </c>
    </row>
    <row r="766" spans="12:28" x14ac:dyDescent="0.25">
      <c r="L766">
        <v>762</v>
      </c>
      <c r="M766">
        <f t="shared" si="199"/>
        <v>381</v>
      </c>
      <c r="N766">
        <f t="shared" si="195"/>
        <v>283107.62711390003</v>
      </c>
      <c r="O766">
        <f t="shared" si="196"/>
        <v>-688433.88072758797</v>
      </c>
      <c r="P766">
        <f t="shared" si="197"/>
        <v>448.24541282924037</v>
      </c>
      <c r="Q766">
        <f t="shared" si="198"/>
        <v>-2621.1130483309121</v>
      </c>
      <c r="R766">
        <f t="shared" si="184"/>
        <v>-3.2055282697431227</v>
      </c>
      <c r="S766">
        <f t="shared" si="185"/>
        <v>8.293076175852045</v>
      </c>
      <c r="T766">
        <f t="shared" si="186"/>
        <v>741671.20099571731</v>
      </c>
      <c r="U766">
        <f t="shared" si="187"/>
        <v>761369.89654360362</v>
      </c>
      <c r="V766">
        <f t="shared" si="188"/>
        <v>732474.70708074362</v>
      </c>
      <c r="W766">
        <f t="shared" si="189"/>
        <v>-2.698449294961617</v>
      </c>
      <c r="X766">
        <f t="shared" si="190"/>
        <v>-0.12332395367473116</v>
      </c>
      <c r="Y766">
        <f t="shared" si="191"/>
        <v>-0.38375502110677445</v>
      </c>
      <c r="Z766">
        <f t="shared" si="192"/>
        <v>7.11190392721611</v>
      </c>
      <c r="AA766">
        <f t="shared" si="193"/>
        <v>0.28416845980370192</v>
      </c>
      <c r="AB766">
        <f t="shared" si="194"/>
        <v>0.8970037888322332</v>
      </c>
    </row>
    <row r="767" spans="12:28" x14ac:dyDescent="0.25">
      <c r="L767">
        <v>763</v>
      </c>
      <c r="M767">
        <f t="shared" si="199"/>
        <v>381.5</v>
      </c>
      <c r="N767">
        <f t="shared" si="195"/>
        <v>283331.34912928095</v>
      </c>
      <c r="O767">
        <f t="shared" si="196"/>
        <v>-689743.40061723138</v>
      </c>
      <c r="P767">
        <f t="shared" si="197"/>
        <v>446.6426486943688</v>
      </c>
      <c r="Q767">
        <f t="shared" si="198"/>
        <v>-2616.9665102429863</v>
      </c>
      <c r="R767">
        <f t="shared" si="184"/>
        <v>-3.1913792127795477</v>
      </c>
      <c r="S767">
        <f t="shared" si="185"/>
        <v>8.2651854699048837</v>
      </c>
      <c r="T767">
        <f t="shared" si="186"/>
        <v>742974.96063827223</v>
      </c>
      <c r="U767">
        <f t="shared" si="187"/>
        <v>762660.30057421827</v>
      </c>
      <c r="V767">
        <f t="shared" si="188"/>
        <v>733766.73648184468</v>
      </c>
      <c r="W767">
        <f t="shared" si="189"/>
        <v>-2.6865613491150606</v>
      </c>
      <c r="X767">
        <f t="shared" si="190"/>
        <v>-0.12278964427240738</v>
      </c>
      <c r="Y767">
        <f t="shared" si="191"/>
        <v>-0.38202821939207959</v>
      </c>
      <c r="Z767">
        <f t="shared" si="192"/>
        <v>7.0879170817397883</v>
      </c>
      <c r="AA767">
        <f t="shared" si="193"/>
        <v>0.28325869874773324</v>
      </c>
      <c r="AB767">
        <f t="shared" si="194"/>
        <v>0.89400968941736225</v>
      </c>
    </row>
    <row r="768" spans="12:28" x14ac:dyDescent="0.25">
      <c r="L768">
        <v>764</v>
      </c>
      <c r="M768">
        <f t="shared" si="199"/>
        <v>382</v>
      </c>
      <c r="N768">
        <f t="shared" si="195"/>
        <v>283554.27153122652</v>
      </c>
      <c r="O768">
        <f t="shared" si="196"/>
        <v>-691050.85072416917</v>
      </c>
      <c r="P768">
        <f t="shared" si="197"/>
        <v>445.04695908797902</v>
      </c>
      <c r="Q768">
        <f t="shared" si="198"/>
        <v>-2612.8339175080337</v>
      </c>
      <c r="R768">
        <f t="shared" si="184"/>
        <v>-3.1773373394509159</v>
      </c>
      <c r="S768">
        <f t="shared" si="185"/>
        <v>8.237480931581544</v>
      </c>
      <c r="T768">
        <f t="shared" si="186"/>
        <v>744276.58893464808</v>
      </c>
      <c r="U768">
        <f t="shared" si="187"/>
        <v>763948.6180797338</v>
      </c>
      <c r="V768">
        <f t="shared" si="188"/>
        <v>735056.67834786023</v>
      </c>
      <c r="W768">
        <f t="shared" si="189"/>
        <v>-2.6747633467027745</v>
      </c>
      <c r="X768">
        <f t="shared" si="190"/>
        <v>-0.12225931264829283</v>
      </c>
      <c r="Y768">
        <f t="shared" si="191"/>
        <v>-0.38031468009984865</v>
      </c>
      <c r="Z768">
        <f t="shared" si="192"/>
        <v>7.0640907929193064</v>
      </c>
      <c r="AA768">
        <f t="shared" si="193"/>
        <v>0.28235476545491767</v>
      </c>
      <c r="AB768">
        <f t="shared" si="194"/>
        <v>0.89103537320732051</v>
      </c>
    </row>
    <row r="769" spans="12:28" x14ac:dyDescent="0.25">
      <c r="L769">
        <v>765</v>
      </c>
      <c r="M769">
        <f t="shared" si="199"/>
        <v>382.5</v>
      </c>
      <c r="N769">
        <f t="shared" si="195"/>
        <v>283776.39784360304</v>
      </c>
      <c r="O769">
        <f t="shared" si="196"/>
        <v>-692356.23799780675</v>
      </c>
      <c r="P769">
        <f t="shared" si="197"/>
        <v>443.45829041825357</v>
      </c>
      <c r="Q769">
        <f t="shared" si="198"/>
        <v>-2608.7151770422429</v>
      </c>
      <c r="R769">
        <f t="shared" si="184"/>
        <v>-3.1634015170522036</v>
      </c>
      <c r="S769">
        <f t="shared" si="185"/>
        <v>8.2099607762203632</v>
      </c>
      <c r="T769">
        <f t="shared" si="186"/>
        <v>745576.093188214</v>
      </c>
      <c r="U769">
        <f t="shared" si="187"/>
        <v>765234.85606790462</v>
      </c>
      <c r="V769">
        <f t="shared" si="188"/>
        <v>736344.53967288195</v>
      </c>
      <c r="W769">
        <f t="shared" si="189"/>
        <v>-2.6630543378376004</v>
      </c>
      <c r="X769">
        <f t="shared" si="190"/>
        <v>-0.1217329175350947</v>
      </c>
      <c r="Y769">
        <f t="shared" si="191"/>
        <v>-0.37861426167950857</v>
      </c>
      <c r="Z769">
        <f t="shared" si="192"/>
        <v>7.0404235170398763</v>
      </c>
      <c r="AA769">
        <f t="shared" si="193"/>
        <v>0.28145660626493213</v>
      </c>
      <c r="AB769">
        <f t="shared" si="194"/>
        <v>0.88808065291555516</v>
      </c>
    </row>
    <row r="770" spans="12:28" x14ac:dyDescent="0.25">
      <c r="L770">
        <v>766</v>
      </c>
      <c r="M770">
        <f t="shared" si="199"/>
        <v>383</v>
      </c>
      <c r="N770">
        <f t="shared" si="195"/>
        <v>283997.73156362254</v>
      </c>
      <c r="O770">
        <f t="shared" si="196"/>
        <v>-693659.56934123079</v>
      </c>
      <c r="P770">
        <f t="shared" si="197"/>
        <v>441.87658965972747</v>
      </c>
      <c r="Q770">
        <f t="shared" si="198"/>
        <v>-2604.6101966541328</v>
      </c>
      <c r="R770">
        <f t="shared" si="184"/>
        <v>-3.1495706281967442</v>
      </c>
      <c r="S770">
        <f t="shared" si="185"/>
        <v>8.1826232414818669</v>
      </c>
      <c r="T770">
        <f t="shared" si="186"/>
        <v>746873.48065305722</v>
      </c>
      <c r="U770">
        <f t="shared" si="187"/>
        <v>766519.02149999817</v>
      </c>
      <c r="V770">
        <f t="shared" si="188"/>
        <v>737630.32740482176</v>
      </c>
      <c r="W770">
        <f t="shared" si="189"/>
        <v>-2.6514333854748275</v>
      </c>
      <c r="X770">
        <f t="shared" si="190"/>
        <v>-0.12121041821312667</v>
      </c>
      <c r="Y770">
        <f t="shared" si="191"/>
        <v>-0.37692682450878973</v>
      </c>
      <c r="Z770">
        <f t="shared" si="192"/>
        <v>7.0169137297544193</v>
      </c>
      <c r="AA770">
        <f t="shared" si="193"/>
        <v>0.28056416816277785</v>
      </c>
      <c r="AB770">
        <f t="shared" si="194"/>
        <v>0.8851453435646699</v>
      </c>
    </row>
    <row r="771" spans="12:28" x14ac:dyDescent="0.25">
      <c r="L771">
        <v>767</v>
      </c>
      <c r="M771">
        <f t="shared" si="199"/>
        <v>383.5</v>
      </c>
      <c r="N771">
        <f t="shared" si="195"/>
        <v>284218.27616212389</v>
      </c>
      <c r="O771">
        <f t="shared" si="196"/>
        <v>-694960.85161165276</v>
      </c>
      <c r="P771">
        <f t="shared" si="197"/>
        <v>440.30180434562908</v>
      </c>
      <c r="Q771">
        <f t="shared" si="198"/>
        <v>-2600.5188850333921</v>
      </c>
      <c r="R771">
        <f t="shared" si="184"/>
        <v>-3.1358435705642935</v>
      </c>
      <c r="S771">
        <f t="shared" si="185"/>
        <v>8.1554665870052307</v>
      </c>
      <c r="T771">
        <f t="shared" si="186"/>
        <v>748168.75853445963</v>
      </c>
      <c r="U771">
        <f t="shared" si="187"/>
        <v>767801.12129123718</v>
      </c>
      <c r="V771">
        <f t="shared" si="188"/>
        <v>738914.0484458491</v>
      </c>
      <c r="W771">
        <f t="shared" si="189"/>
        <v>-2.6398995652009507</v>
      </c>
      <c r="X771">
        <f t="shared" si="190"/>
        <v>-0.12069177450147711</v>
      </c>
      <c r="Y771">
        <f t="shared" si="191"/>
        <v>-0.37525223086186588</v>
      </c>
      <c r="Z771">
        <f t="shared" si="192"/>
        <v>6.9935599257844911</v>
      </c>
      <c r="AA771">
        <f t="shared" si="193"/>
        <v>0.27967739876923264</v>
      </c>
      <c r="AB771">
        <f t="shared" si="194"/>
        <v>0.88222926245150701</v>
      </c>
    </row>
    <row r="772" spans="12:28" x14ac:dyDescent="0.25">
      <c r="L772">
        <v>768</v>
      </c>
      <c r="M772">
        <f t="shared" si="199"/>
        <v>384</v>
      </c>
      <c r="N772">
        <f t="shared" si="195"/>
        <v>284438.03508385044</v>
      </c>
      <c r="O772">
        <f t="shared" si="196"/>
        <v>-696260.09162084607</v>
      </c>
      <c r="P772">
        <f t="shared" si="197"/>
        <v>438.73388256034696</v>
      </c>
      <c r="Q772">
        <f t="shared" si="198"/>
        <v>-2596.4411517398894</v>
      </c>
      <c r="R772">
        <f t="shared" si="184"/>
        <v>-3.1222192566539282</v>
      </c>
      <c r="S772">
        <f t="shared" si="185"/>
        <v>8.1284890940708916</v>
      </c>
      <c r="T772">
        <f t="shared" si="186"/>
        <v>749461.93398936896</v>
      </c>
      <c r="U772">
        <f t="shared" si="187"/>
        <v>769081.16231123591</v>
      </c>
      <c r="V772">
        <f t="shared" si="188"/>
        <v>740195.70965282142</v>
      </c>
      <c r="W772">
        <f t="shared" si="189"/>
        <v>-2.628451965026545</v>
      </c>
      <c r="X772">
        <f t="shared" si="190"/>
        <v>-0.1201769467493312</v>
      </c>
      <c r="Y772">
        <f t="shared" si="191"/>
        <v>-0.37359034487805193</v>
      </c>
      <c r="Z772">
        <f t="shared" si="192"/>
        <v>6.9703606186267422</v>
      </c>
      <c r="AA772">
        <f t="shared" si="193"/>
        <v>0.27879624633143824</v>
      </c>
      <c r="AB772">
        <f t="shared" si="194"/>
        <v>0.87933222911271058</v>
      </c>
    </row>
    <row r="773" spans="12:28" x14ac:dyDescent="0.25">
      <c r="L773">
        <v>769</v>
      </c>
      <c r="M773">
        <f t="shared" si="199"/>
        <v>384.5</v>
      </c>
      <c r="N773">
        <f t="shared" si="195"/>
        <v>284657.01174772356</v>
      </c>
      <c r="O773">
        <f t="shared" si="196"/>
        <v>-697557.29613557924</v>
      </c>
      <c r="P773">
        <f t="shared" si="197"/>
        <v>437.17277293202</v>
      </c>
      <c r="Q773">
        <f t="shared" si="198"/>
        <v>-2592.3769071928541</v>
      </c>
      <c r="R773">
        <f t="shared" ref="R773:R836" si="200">SUM(W773:Y773)</f>
        <v>-3.108696613541623</v>
      </c>
      <c r="S773">
        <f t="shared" ref="S773:S836" si="201">SUM(Z773:AB773)</f>
        <v>8.1016890652690883</v>
      </c>
      <c r="T773">
        <f t="shared" ref="T773:T836" si="202">SQRT(($D$18-N773)^2 + ($E$18 - O773) ^2)</f>
        <v>750753.01412686356</v>
      </c>
      <c r="U773">
        <f t="shared" ref="U773:U836" si="203">SQRT(($D$26-N773)^2 + ($E$26- O773) ^2)</f>
        <v>770359.15138443338</v>
      </c>
      <c r="V773">
        <f t="shared" ref="V773:V836" si="204">SQRT(($D$34-N773)^2 + ($E$34 - O773) ^2)</f>
        <v>741475.31783771038</v>
      </c>
      <c r="W773">
        <f t="shared" ref="W773:W836" si="205">$D$22*(($D$18-N773)/(T773^2+($D$23^2))^(3/2))</f>
        <v>-2.6170896851829841</v>
      </c>
      <c r="X773">
        <f t="shared" ref="X773:X836" si="206">$D$30*(($D$26-N773)/(U773^2+($D$31^2))^(3/2))</f>
        <v>-0.11966589582747607</v>
      </c>
      <c r="Y773">
        <f t="shared" ref="Y773:Y836" si="207">$D$38*(($D$34-N773)/(V773^2+($D$39^2))^(3/2))</f>
        <v>-0.3719410325311629</v>
      </c>
      <c r="Z773">
        <f t="shared" ref="Z773:Z836" si="208">$D$22*(($E$18-O773)/(T773^2+($D$23^2))^(3/2))</f>
        <v>6.9473143402643549</v>
      </c>
      <c r="AA773">
        <f t="shared" ref="AA773:AA836" si="209">$D$30*(($E$26-O773)/(U773^2+($D$31^2))^(3/2))</f>
        <v>0.277920659713697</v>
      </c>
      <c r="AB773">
        <f t="shared" ref="AB773:AB836" si="210">$D$38*(($E$34-O773)/(V773^2+($D$39^2))^(3/2))</f>
        <v>0.87645406529103731</v>
      </c>
    </row>
    <row r="774" spans="12:28" x14ac:dyDescent="0.25">
      <c r="L774">
        <v>770</v>
      </c>
      <c r="M774">
        <f t="shared" si="199"/>
        <v>385</v>
      </c>
      <c r="N774">
        <f t="shared" ref="N774:N837" si="211">(N773)+(P773)*(M774-M773)+((1/2*(R773))*((M774-M773)^2))</f>
        <v>284875.20954711287</v>
      </c>
      <c r="O774">
        <f t="shared" ref="O774:O837" si="212">(O773)+(Q773)*(M774-M773)+((1/2*(S773))*((M774-M773)^2))</f>
        <v>-698852.47187804256</v>
      </c>
      <c r="P774">
        <f t="shared" ref="P774:P837" si="213">P773+(R773*(M774-M773))</f>
        <v>435.61842462524919</v>
      </c>
      <c r="Q774">
        <f t="shared" ref="Q774:Q837" si="214">Q773+(S773*(M774-M773))</f>
        <v>-2588.3260626602196</v>
      </c>
      <c r="R774">
        <f t="shared" si="200"/>
        <v>-3.0952745826426602</v>
      </c>
      <c r="S774">
        <f t="shared" si="201"/>
        <v>8.0750648241748504</v>
      </c>
      <c r="T774">
        <f t="shared" si="202"/>
        <v>752042.00600861234</v>
      </c>
      <c r="U774">
        <f t="shared" si="203"/>
        <v>771635.09529051813</v>
      </c>
      <c r="V774">
        <f t="shared" si="204"/>
        <v>742752.87976802315</v>
      </c>
      <c r="W774">
        <f t="shared" si="205"/>
        <v>-2.6058118379232811</v>
      </c>
      <c r="X774">
        <f t="shared" si="206"/>
        <v>-0.11915858311995041</v>
      </c>
      <c r="Y774">
        <f t="shared" si="207"/>
        <v>-0.37030416159942908</v>
      </c>
      <c r="Z774">
        <f t="shared" si="208"/>
        <v>6.924419640884274</v>
      </c>
      <c r="AA774">
        <f t="shared" si="209"/>
        <v>0.27705058838839236</v>
      </c>
      <c r="AB774">
        <f t="shared" si="210"/>
        <v>0.87359459490218372</v>
      </c>
    </row>
    <row r="775" spans="12:28" x14ac:dyDescent="0.25">
      <c r="L775">
        <v>771</v>
      </c>
      <c r="M775">
        <f t="shared" si="199"/>
        <v>385.5</v>
      </c>
      <c r="N775">
        <f t="shared" si="211"/>
        <v>285092.63185010268</v>
      </c>
      <c r="O775">
        <f t="shared" si="212"/>
        <v>-700145.62552626966</v>
      </c>
      <c r="P775">
        <f t="shared" si="213"/>
        <v>434.07078733392785</v>
      </c>
      <c r="Q775">
        <f t="shared" si="214"/>
        <v>-2584.2885302481322</v>
      </c>
      <c r="R775">
        <f t="shared" si="200"/>
        <v>-3.0819521194784425</v>
      </c>
      <c r="S775">
        <f t="shared" si="201"/>
        <v>8.0486147150284637</v>
      </c>
      <c r="T775">
        <f t="shared" si="202"/>
        <v>753328.91664932668</v>
      </c>
      <c r="U775">
        <f t="shared" si="203"/>
        <v>772909.00076485018</v>
      </c>
      <c r="V775">
        <f t="shared" si="204"/>
        <v>744028.40216721734</v>
      </c>
      <c r="W775">
        <f t="shared" si="205"/>
        <v>-2.5946175473265884</v>
      </c>
      <c r="X775">
        <f t="shared" si="206"/>
        <v>-0.11865497051585699</v>
      </c>
      <c r="Y775">
        <f t="shared" si="207"/>
        <v>-0.36867960163599733</v>
      </c>
      <c r="Z775">
        <f t="shared" si="208"/>
        <v>6.9016750885991636</v>
      </c>
      <c r="AA775">
        <f t="shared" si="209"/>
        <v>0.27618598242708098</v>
      </c>
      <c r="AB775">
        <f t="shared" si="210"/>
        <v>0.87075364400221977</v>
      </c>
    </row>
    <row r="776" spans="12:28" x14ac:dyDescent="0.25">
      <c r="L776">
        <v>772</v>
      </c>
      <c r="M776">
        <f t="shared" si="199"/>
        <v>386</v>
      </c>
      <c r="N776">
        <f t="shared" si="211"/>
        <v>285309.28199975472</v>
      </c>
      <c r="O776">
        <f t="shared" si="212"/>
        <v>-701436.76371455437</v>
      </c>
      <c r="P776">
        <f t="shared" si="213"/>
        <v>432.52981127418866</v>
      </c>
      <c r="Q776">
        <f t="shared" si="214"/>
        <v>-2580.2642228906179</v>
      </c>
      <c r="R776">
        <f t="shared" si="200"/>
        <v>-3.068728193447829</v>
      </c>
      <c r="S776">
        <f t="shared" si="201"/>
        <v>8.0223371024218757</v>
      </c>
      <c r="T776">
        <f t="shared" si="202"/>
        <v>754613.75301720982</v>
      </c>
      <c r="U776">
        <f t="shared" si="203"/>
        <v>774180.87449887604</v>
      </c>
      <c r="V776">
        <f t="shared" si="204"/>
        <v>745301.89171511168</v>
      </c>
      <c r="W776">
        <f t="shared" si="205"/>
        <v>-2.5835059491064838</v>
      </c>
      <c r="X776">
        <f t="shared" si="206"/>
        <v>-0.11815502040133473</v>
      </c>
      <c r="Y776">
        <f t="shared" si="207"/>
        <v>-0.36706722394001046</v>
      </c>
      <c r="Z776">
        <f t="shared" si="208"/>
        <v>6.8790792691744942</v>
      </c>
      <c r="AA776">
        <f t="shared" si="209"/>
        <v>0.27532679249175351</v>
      </c>
      <c r="AB776">
        <f t="shared" si="210"/>
        <v>0.86793104075562855</v>
      </c>
    </row>
    <row r="777" spans="12:28" x14ac:dyDescent="0.25">
      <c r="L777">
        <v>773</v>
      </c>
      <c r="M777">
        <f t="shared" si="199"/>
        <v>386.5</v>
      </c>
      <c r="N777">
        <f t="shared" si="211"/>
        <v>285525.16331436759</v>
      </c>
      <c r="O777">
        <f t="shared" si="212"/>
        <v>-702725.89303386188</v>
      </c>
      <c r="P777">
        <f t="shared" si="213"/>
        <v>430.99544717746477</v>
      </c>
      <c r="Q777">
        <f t="shared" si="214"/>
        <v>-2576.2530543394068</v>
      </c>
      <c r="R777">
        <f t="shared" si="200"/>
        <v>-3.0556017876028458</v>
      </c>
      <c r="S777">
        <f t="shared" si="201"/>
        <v>7.9962303709907925</v>
      </c>
      <c r="T777">
        <f t="shared" si="202"/>
        <v>755896.52203439793</v>
      </c>
      <c r="U777">
        <f t="shared" si="203"/>
        <v>775450.7231405403</v>
      </c>
      <c r="V777">
        <f t="shared" si="204"/>
        <v>746573.35504829173</v>
      </c>
      <c r="W777">
        <f t="shared" si="205"/>
        <v>-2.5724761904229436</v>
      </c>
      <c r="X777">
        <f t="shared" si="206"/>
        <v>-0.11765869565166952</v>
      </c>
      <c r="Y777">
        <f t="shared" si="207"/>
        <v>-0.36546690152823247</v>
      </c>
      <c r="Z777">
        <f t="shared" si="208"/>
        <v>6.8566307857606787</v>
      </c>
      <c r="AA777">
        <f t="shared" si="209"/>
        <v>0.27447296982622055</v>
      </c>
      <c r="AB777">
        <f t="shared" si="210"/>
        <v>0.86512661540389313</v>
      </c>
    </row>
    <row r="778" spans="12:28" x14ac:dyDescent="0.25">
      <c r="L778">
        <v>774</v>
      </c>
      <c r="M778">
        <f t="shared" si="199"/>
        <v>387</v>
      </c>
      <c r="N778">
        <f t="shared" si="211"/>
        <v>285740.27908773284</v>
      </c>
      <c r="O778">
        <f t="shared" si="212"/>
        <v>-704013.02003223519</v>
      </c>
      <c r="P778">
        <f t="shared" si="213"/>
        <v>429.46764628366333</v>
      </c>
      <c r="Q778">
        <f t="shared" si="214"/>
        <v>-2572.2549391539114</v>
      </c>
      <c r="R778">
        <f t="shared" si="200"/>
        <v>-3.0425718984286796</v>
      </c>
      <c r="S778">
        <f t="shared" si="201"/>
        <v>7.970292925112318</v>
      </c>
      <c r="T778">
        <f t="shared" si="202"/>
        <v>757177.23057739716</v>
      </c>
      <c r="U778">
        <f t="shared" si="203"/>
        <v>776718.55329469114</v>
      </c>
      <c r="V778">
        <f t="shared" si="204"/>
        <v>747842.79876051098</v>
      </c>
      <c r="W778">
        <f t="shared" si="205"/>
        <v>-2.5615274296979034</v>
      </c>
      <c r="X778">
        <f t="shared" si="206"/>
        <v>-0.11716595962356126</v>
      </c>
      <c r="Y778">
        <f t="shared" si="207"/>
        <v>-0.3638785091072147</v>
      </c>
      <c r="Z778">
        <f t="shared" si="208"/>
        <v>6.8343282586300154</v>
      </c>
      <c r="AA778">
        <f t="shared" si="209"/>
        <v>0.27362446624766784</v>
      </c>
      <c r="AB778">
        <f t="shared" si="210"/>
        <v>0.86234020023463498</v>
      </c>
    </row>
    <row r="779" spans="12:28" x14ac:dyDescent="0.25">
      <c r="L779">
        <v>775</v>
      </c>
      <c r="M779">
        <f t="shared" si="199"/>
        <v>387.5</v>
      </c>
      <c r="N779">
        <f t="shared" si="211"/>
        <v>285954.63258938736</v>
      </c>
      <c r="O779">
        <f t="shared" si="212"/>
        <v>-705298.15121519659</v>
      </c>
      <c r="P779">
        <f t="shared" si="213"/>
        <v>427.94636033444897</v>
      </c>
      <c r="Q779">
        <f t="shared" si="214"/>
        <v>-2568.2697926913552</v>
      </c>
      <c r="R779">
        <f t="shared" si="200"/>
        <v>-3.0296375356277503</v>
      </c>
      <c r="S779">
        <f t="shared" si="201"/>
        <v>7.9445231886078052</v>
      </c>
      <c r="T779">
        <f t="shared" si="202"/>
        <v>758455.88547751564</v>
      </c>
      <c r="U779">
        <f t="shared" si="203"/>
        <v>777984.37152348075</v>
      </c>
      <c r="V779">
        <f t="shared" si="204"/>
        <v>749110.22940308577</v>
      </c>
      <c r="W779">
        <f t="shared" si="205"/>
        <v>-2.5506588364342315</v>
      </c>
      <c r="X779">
        <f t="shared" si="206"/>
        <v>-0.11667677614753152</v>
      </c>
      <c r="Y779">
        <f t="shared" si="207"/>
        <v>-0.36230192304598713</v>
      </c>
      <c r="Z779">
        <f t="shared" si="208"/>
        <v>6.8121703249181689</v>
      </c>
      <c r="AA779">
        <f t="shared" si="209"/>
        <v>0.27278123413835037</v>
      </c>
      <c r="AB779">
        <f t="shared" si="210"/>
        <v>0.85957162955128585</v>
      </c>
    </row>
    <row r="780" spans="12:28" x14ac:dyDescent="0.25">
      <c r="L780">
        <v>776</v>
      </c>
      <c r="M780">
        <f t="shared" si="199"/>
        <v>388</v>
      </c>
      <c r="N780">
        <f t="shared" si="211"/>
        <v>286168.22706486261</v>
      </c>
      <c r="O780">
        <f t="shared" si="212"/>
        <v>-706581.29304614372</v>
      </c>
      <c r="P780">
        <f t="shared" si="213"/>
        <v>426.43154156663508</v>
      </c>
      <c r="Q780">
        <f t="shared" si="214"/>
        <v>-2564.2975310970514</v>
      </c>
      <c r="R780">
        <f t="shared" si="200"/>
        <v>-3.0167977219079498</v>
      </c>
      <c r="S780">
        <f t="shared" si="201"/>
        <v>7.9189196044511911</v>
      </c>
      <c r="T780">
        <f t="shared" si="202"/>
        <v>759732.49352128815</v>
      </c>
      <c r="U780">
        <f t="shared" si="203"/>
        <v>779248.18434676167</v>
      </c>
      <c r="V780">
        <f t="shared" si="204"/>
        <v>750375.65348528698</v>
      </c>
      <c r="W780">
        <f t="shared" si="205"/>
        <v>-2.5398695910381961</v>
      </c>
      <c r="X780">
        <f t="shared" si="206"/>
        <v>-0.11619110952046885</v>
      </c>
      <c r="Y780">
        <f t="shared" si="207"/>
        <v>-0.36073702134928509</v>
      </c>
      <c r="Z780">
        <f t="shared" si="208"/>
        <v>6.7901556383704387</v>
      </c>
      <c r="AA780">
        <f t="shared" si="209"/>
        <v>0.27194322643742097</v>
      </c>
      <c r="AB780">
        <f t="shared" si="210"/>
        <v>0.85682073964333105</v>
      </c>
    </row>
    <row r="781" spans="12:28" x14ac:dyDescent="0.25">
      <c r="L781">
        <v>777</v>
      </c>
      <c r="M781">
        <f t="shared" si="199"/>
        <v>388.5</v>
      </c>
      <c r="N781">
        <f t="shared" si="211"/>
        <v>286381.06573593069</v>
      </c>
      <c r="O781">
        <f t="shared" si="212"/>
        <v>-707862.45194674167</v>
      </c>
      <c r="P781">
        <f t="shared" si="213"/>
        <v>424.92314270568107</v>
      </c>
      <c r="Q781">
        <f t="shared" si="214"/>
        <v>-2560.338071294826</v>
      </c>
      <c r="R781">
        <f t="shared" si="200"/>
        <v>-3.0040514927748241</v>
      </c>
      <c r="S781">
        <f t="shared" si="201"/>
        <v>7.8934806344824091</v>
      </c>
      <c r="T781">
        <f t="shared" si="202"/>
        <v>761007.06145089807</v>
      </c>
      <c r="U781">
        <f t="shared" si="203"/>
        <v>780509.99824247777</v>
      </c>
      <c r="V781">
        <f t="shared" si="204"/>
        <v>751639.07747472636</v>
      </c>
      <c r="W781">
        <f t="shared" si="205"/>
        <v>-2.5291588846452426</v>
      </c>
      <c r="X781">
        <f t="shared" si="206"/>
        <v>-0.11570892449832167</v>
      </c>
      <c r="Y781">
        <f t="shared" si="207"/>
        <v>-0.35918368363125969</v>
      </c>
      <c r="Z781">
        <f t="shared" si="208"/>
        <v>6.7682828690924666</v>
      </c>
      <c r="AA781">
        <f t="shared" si="209"/>
        <v>0.27111039663292225</v>
      </c>
      <c r="AB781">
        <f t="shared" si="210"/>
        <v>0.85408736875702007</v>
      </c>
    </row>
    <row r="782" spans="12:28" x14ac:dyDescent="0.25">
      <c r="L782">
        <v>778</v>
      </c>
      <c r="M782">
        <f t="shared" si="199"/>
        <v>389</v>
      </c>
      <c r="N782">
        <f t="shared" si="211"/>
        <v>286593.15180084697</v>
      </c>
      <c r="O782">
        <f t="shared" si="212"/>
        <v>-709141.63429730979</v>
      </c>
      <c r="P782">
        <f t="shared" si="213"/>
        <v>423.42111695929367</v>
      </c>
      <c r="Q782">
        <f t="shared" si="214"/>
        <v>-2556.3913309775849</v>
      </c>
      <c r="R782">
        <f t="shared" si="200"/>
        <v>-2.9913978963277859</v>
      </c>
      <c r="S782">
        <f t="shared" si="201"/>
        <v>7.8682047591262405</v>
      </c>
      <c r="T782">
        <f t="shared" si="202"/>
        <v>762279.5959645923</v>
      </c>
      <c r="U782">
        <f t="shared" si="203"/>
        <v>781769.81964705116</v>
      </c>
      <c r="V782">
        <f t="shared" si="204"/>
        <v>752900.50779773807</v>
      </c>
      <c r="W782">
        <f t="shared" si="205"/>
        <v>-2.518525918949166</v>
      </c>
      <c r="X782">
        <f t="shared" si="206"/>
        <v>-0.1152301862889121</v>
      </c>
      <c r="Y782">
        <f t="shared" si="207"/>
        <v>-0.35764179108970751</v>
      </c>
      <c r="Z782">
        <f t="shared" si="208"/>
        <v>6.7465507033057159</v>
      </c>
      <c r="AA782">
        <f t="shared" si="209"/>
        <v>0.27028269875388256</v>
      </c>
      <c r="AB782">
        <f t="shared" si="210"/>
        <v>0.85137135706664258</v>
      </c>
    </row>
    <row r="783" spans="12:28" x14ac:dyDescent="0.25">
      <c r="L783">
        <v>779</v>
      </c>
      <c r="M783">
        <f t="shared" si="199"/>
        <v>389.5</v>
      </c>
      <c r="N783">
        <f t="shared" si="211"/>
        <v>286804.48843458958</v>
      </c>
      <c r="O783">
        <f t="shared" si="212"/>
        <v>-710418.8464372037</v>
      </c>
      <c r="P783">
        <f t="shared" si="213"/>
        <v>421.92541801112975</v>
      </c>
      <c r="Q783">
        <f t="shared" si="214"/>
        <v>-2552.4572285980216</v>
      </c>
      <c r="R783">
        <f t="shared" si="200"/>
        <v>-2.9788359930599229</v>
      </c>
      <c r="S783">
        <f t="shared" si="201"/>
        <v>7.8430904771154966</v>
      </c>
      <c r="T783">
        <f t="shared" si="202"/>
        <v>763550.10371709219</v>
      </c>
      <c r="U783">
        <f t="shared" si="203"/>
        <v>783027.65495576302</v>
      </c>
      <c r="V783">
        <f t="shared" si="204"/>
        <v>754159.95083975629</v>
      </c>
      <c r="W783">
        <f t="shared" si="205"/>
        <v>-2.5079699060342566</v>
      </c>
      <c r="X783">
        <f t="shared" si="206"/>
        <v>-0.1147548605448966</v>
      </c>
      <c r="Y783">
        <f t="shared" si="207"/>
        <v>-0.35611122648076937</v>
      </c>
      <c r="Z783">
        <f t="shared" si="208"/>
        <v>6.7249578431066475</v>
      </c>
      <c r="AA783">
        <f t="shared" si="209"/>
        <v>0.26946008736258137</v>
      </c>
      <c r="AB783">
        <f t="shared" si="210"/>
        <v>0.84867254664626735</v>
      </c>
    </row>
    <row r="784" spans="12:28" x14ac:dyDescent="0.25">
      <c r="L784">
        <v>780</v>
      </c>
      <c r="M784">
        <f t="shared" si="199"/>
        <v>390</v>
      </c>
      <c r="N784">
        <f t="shared" si="211"/>
        <v>287015.07878909603</v>
      </c>
      <c r="O784">
        <f t="shared" si="212"/>
        <v>-711694.094665193</v>
      </c>
      <c r="P784">
        <f t="shared" si="213"/>
        <v>420.43600001459981</v>
      </c>
      <c r="Q784">
        <f t="shared" si="214"/>
        <v>-2548.5356833594637</v>
      </c>
      <c r="R784">
        <f t="shared" si="200"/>
        <v>-2.9663648556617295</v>
      </c>
      <c r="S784">
        <f t="shared" si="201"/>
        <v>7.8181363052196087</v>
      </c>
      <c r="T784">
        <f t="shared" si="202"/>
        <v>764818.59131999908</v>
      </c>
      <c r="U784">
        <f t="shared" si="203"/>
        <v>784283.51052313182</v>
      </c>
      <c r="V784">
        <f t="shared" si="204"/>
        <v>755417.41294568719</v>
      </c>
      <c r="W784">
        <f t="shared" si="205"/>
        <v>-2.4974900682107859</v>
      </c>
      <c r="X784">
        <f t="shared" si="206"/>
        <v>-0.11428291335684249</v>
      </c>
      <c r="Y784">
        <f t="shared" si="207"/>
        <v>-0.35459187409410114</v>
      </c>
      <c r="Z784">
        <f t="shared" si="208"/>
        <v>6.7035030062307301</v>
      </c>
      <c r="AA784">
        <f t="shared" si="209"/>
        <v>0.26864251754691471</v>
      </c>
      <c r="AB784">
        <f t="shared" si="210"/>
        <v>0.8459907814419636</v>
      </c>
    </row>
    <row r="785" spans="12:28" x14ac:dyDescent="0.25">
      <c r="L785">
        <v>781</v>
      </c>
      <c r="M785">
        <f t="shared" ref="M785:M848" si="215">L785*$D$5</f>
        <v>390.5</v>
      </c>
      <c r="N785">
        <f t="shared" si="211"/>
        <v>287224.92599349638</v>
      </c>
      <c r="O785">
        <f t="shared" si="212"/>
        <v>-712967.38523983455</v>
      </c>
      <c r="P785">
        <f t="shared" si="213"/>
        <v>418.95281758676896</v>
      </c>
      <c r="Q785">
        <f t="shared" si="214"/>
        <v>-2544.6266152068538</v>
      </c>
      <c r="R785">
        <f t="shared" si="200"/>
        <v>-2.9539835688284319</v>
      </c>
      <c r="S785">
        <f t="shared" si="201"/>
        <v>7.793340777977801</v>
      </c>
      <c r="T785">
        <f t="shared" si="202"/>
        <v>766085.06534219463</v>
      </c>
      <c r="U785">
        <f t="shared" si="203"/>
        <v>785537.39266328537</v>
      </c>
      <c r="V785">
        <f t="shared" si="204"/>
        <v>756672.90042027808</v>
      </c>
      <c r="W785">
        <f t="shared" si="205"/>
        <v>-2.4870856378534616</v>
      </c>
      <c r="X785">
        <f t="shared" si="206"/>
        <v>-0.11381431124644312</v>
      </c>
      <c r="Y785">
        <f t="shared" si="207"/>
        <v>-0.35308361972852736</v>
      </c>
      <c r="Z785">
        <f t="shared" si="208"/>
        <v>6.6821849258203345</v>
      </c>
      <c r="AA785">
        <f t="shared" si="209"/>
        <v>0.26782994491291878</v>
      </c>
      <c r="AB785">
        <f t="shared" si="210"/>
        <v>0.84332590724454826</v>
      </c>
    </row>
    <row r="786" spans="12:28" x14ac:dyDescent="0.25">
      <c r="L786">
        <v>782</v>
      </c>
      <c r="M786">
        <f t="shared" si="215"/>
        <v>391</v>
      </c>
      <c r="N786">
        <f t="shared" si="211"/>
        <v>287434.0331543436</v>
      </c>
      <c r="O786">
        <f t="shared" si="212"/>
        <v>-714238.72437984077</v>
      </c>
      <c r="P786">
        <f t="shared" si="213"/>
        <v>417.47582580235473</v>
      </c>
      <c r="Q786">
        <f t="shared" si="214"/>
        <v>-2540.7299448178651</v>
      </c>
      <c r="R786">
        <f t="shared" si="200"/>
        <v>-2.9416912290709374</v>
      </c>
      <c r="S786">
        <f t="shared" si="201"/>
        <v>7.7687024474370832</v>
      </c>
      <c r="T786">
        <f t="shared" si="202"/>
        <v>767349.53231023683</v>
      </c>
      <c r="U786">
        <f t="shared" si="203"/>
        <v>786789.30765032966</v>
      </c>
      <c r="V786">
        <f t="shared" si="204"/>
        <v>757926.41952848085</v>
      </c>
      <c r="W786">
        <f t="shared" si="205"/>
        <v>-2.4767558572429591</v>
      </c>
      <c r="X786">
        <f t="shared" si="206"/>
        <v>-0.11334902115984377</v>
      </c>
      <c r="Y786">
        <f t="shared" si="207"/>
        <v>-0.35158635066813476</v>
      </c>
      <c r="Z786">
        <f t="shared" si="208"/>
        <v>6.6610023501969247</v>
      </c>
      <c r="AA786">
        <f t="shared" si="209"/>
        <v>0.26702232557738864</v>
      </c>
      <c r="AB786">
        <f t="shared" si="210"/>
        <v>0.84067777166276925</v>
      </c>
    </row>
    <row r="787" spans="12:28" x14ac:dyDescent="0.25">
      <c r="L787">
        <v>783</v>
      </c>
      <c r="M787">
        <f t="shared" si="215"/>
        <v>391.5</v>
      </c>
      <c r="N787">
        <f t="shared" si="211"/>
        <v>287642.40335584112</v>
      </c>
      <c r="O787">
        <f t="shared" si="212"/>
        <v>-715508.11826444382</v>
      </c>
      <c r="P787">
        <f t="shared" si="213"/>
        <v>416.00498018781929</v>
      </c>
      <c r="Q787">
        <f t="shared" si="214"/>
        <v>-2536.8455935941465</v>
      </c>
      <c r="R787">
        <f t="shared" si="200"/>
        <v>-2.9294869445302263</v>
      </c>
      <c r="S787">
        <f t="shared" si="201"/>
        <v>7.7442198828946225</v>
      </c>
      <c r="T787">
        <f t="shared" si="202"/>
        <v>768611.9987087507</v>
      </c>
      <c r="U787">
        <f t="shared" si="203"/>
        <v>788039.2617187117</v>
      </c>
      <c r="V787">
        <f t="shared" si="204"/>
        <v>759177.97649581148</v>
      </c>
      <c r="W787">
        <f t="shared" si="205"/>
        <v>-2.4664999784103085</v>
      </c>
      <c r="X787">
        <f t="shared" si="206"/>
        <v>-0.11288701046110318</v>
      </c>
      <c r="Y787">
        <f t="shared" si="207"/>
        <v>-0.35009995565881435</v>
      </c>
      <c r="Z787">
        <f t="shared" si="208"/>
        <v>6.6399540426370107</v>
      </c>
      <c r="AA787">
        <f t="shared" si="209"/>
        <v>0.26621961616065543</v>
      </c>
      <c r="AB787">
        <f t="shared" si="210"/>
        <v>0.83804622409695684</v>
      </c>
    </row>
    <row r="788" spans="12:28" x14ac:dyDescent="0.25">
      <c r="L788">
        <v>784</v>
      </c>
      <c r="M788">
        <f t="shared" si="215"/>
        <v>392</v>
      </c>
      <c r="N788">
        <f t="shared" si="211"/>
        <v>287850.03966006701</v>
      </c>
      <c r="O788">
        <f t="shared" si="212"/>
        <v>-716775.57303375553</v>
      </c>
      <c r="P788">
        <f t="shared" si="213"/>
        <v>414.54023671555416</v>
      </c>
      <c r="Q788">
        <f t="shared" si="214"/>
        <v>-2532.9734836526991</v>
      </c>
      <c r="R788">
        <f t="shared" si="200"/>
        <v>-2.9173698347951658</v>
      </c>
      <c r="S788">
        <f t="shared" si="201"/>
        <v>7.7198916706446523</v>
      </c>
      <c r="T788">
        <f t="shared" si="202"/>
        <v>769872.47098081489</v>
      </c>
      <c r="U788">
        <f t="shared" si="203"/>
        <v>789287.2610635804</v>
      </c>
      <c r="V788">
        <f t="shared" si="204"/>
        <v>760427.57750870578</v>
      </c>
      <c r="W788">
        <f t="shared" si="205"/>
        <v>-2.4563172629841645</v>
      </c>
      <c r="X788">
        <f t="shared" si="206"/>
        <v>-0.1124282469257642</v>
      </c>
      <c r="Y788">
        <f t="shared" si="207"/>
        <v>-0.34862432488523698</v>
      </c>
      <c r="Z788">
        <f t="shared" si="208"/>
        <v>6.6190387811520628</v>
      </c>
      <c r="AA788">
        <f t="shared" si="209"/>
        <v>0.26542177377946247</v>
      </c>
      <c r="AB788">
        <f t="shared" si="210"/>
        <v>0.83543111571312723</v>
      </c>
    </row>
    <row r="789" spans="12:28" x14ac:dyDescent="0.25">
      <c r="L789">
        <v>785</v>
      </c>
      <c r="M789">
        <f t="shared" si="215"/>
        <v>392.5</v>
      </c>
      <c r="N789">
        <f t="shared" si="211"/>
        <v>288056.94510719547</v>
      </c>
      <c r="O789">
        <f t="shared" si="212"/>
        <v>-718041.09478912305</v>
      </c>
      <c r="P789">
        <f t="shared" si="213"/>
        <v>413.08155179815657</v>
      </c>
      <c r="Q789">
        <f t="shared" si="214"/>
        <v>-2529.1135378173767</v>
      </c>
      <c r="R789">
        <f t="shared" si="200"/>
        <v>-2.9053390307237263</v>
      </c>
      <c r="S789">
        <f t="shared" si="201"/>
        <v>7.6957164137298424</v>
      </c>
      <c r="T789">
        <f t="shared" si="202"/>
        <v>771130.95552834321</v>
      </c>
      <c r="U789">
        <f t="shared" si="203"/>
        <v>790533.31184114085</v>
      </c>
      <c r="V789">
        <f t="shared" si="204"/>
        <v>761675.22871487064</v>
      </c>
      <c r="W789">
        <f t="shared" si="205"/>
        <v>-2.4462069820409296</v>
      </c>
      <c r="X789">
        <f t="shared" si="206"/>
        <v>-0.11197269873454163</v>
      </c>
      <c r="Y789">
        <f t="shared" si="207"/>
        <v>-0.34715934994825515</v>
      </c>
      <c r="Z789">
        <f t="shared" si="208"/>
        <v>6.5982553582723522</v>
      </c>
      <c r="AA789">
        <f t="shared" si="209"/>
        <v>0.26462875603996311</v>
      </c>
      <c r="AB789">
        <f t="shared" si="210"/>
        <v>0.83283229941752701</v>
      </c>
    </row>
    <row r="790" spans="12:28" x14ac:dyDescent="0.25">
      <c r="L790">
        <v>786</v>
      </c>
      <c r="M790">
        <f t="shared" si="215"/>
        <v>393</v>
      </c>
      <c r="N790">
        <f t="shared" si="211"/>
        <v>288263.12271571573</v>
      </c>
      <c r="O790">
        <f t="shared" si="212"/>
        <v>-719304.68959347997</v>
      </c>
      <c r="P790">
        <f t="shared" si="213"/>
        <v>411.62888228279468</v>
      </c>
      <c r="Q790">
        <f t="shared" si="214"/>
        <v>-2525.2656796105116</v>
      </c>
      <c r="R790">
        <f t="shared" si="200"/>
        <v>-2.8933936742676147</v>
      </c>
      <c r="S790">
        <f t="shared" si="201"/>
        <v>7.6716927316973829</v>
      </c>
      <c r="T790">
        <f t="shared" si="202"/>
        <v>772387.45871246164</v>
      </c>
      <c r="U790">
        <f t="shared" si="203"/>
        <v>791777.42016900599</v>
      </c>
      <c r="V790">
        <f t="shared" si="204"/>
        <v>762920.93622363068</v>
      </c>
      <c r="W790">
        <f t="shared" si="205"/>
        <v>-2.4361684159577539</v>
      </c>
      <c r="X790">
        <f t="shared" si="206"/>
        <v>-0.11152033446712552</v>
      </c>
      <c r="Y790">
        <f t="shared" si="207"/>
        <v>-0.34570492384273527</v>
      </c>
      <c r="Z790">
        <f t="shared" si="208"/>
        <v>6.5776025808348981</v>
      </c>
      <c r="AA790">
        <f t="shared" si="209"/>
        <v>0.26384052103083949</v>
      </c>
      <c r="AB790">
        <f t="shared" si="210"/>
        <v>0.83024962983164519</v>
      </c>
    </row>
    <row r="791" spans="12:28" x14ac:dyDescent="0.25">
      <c r="L791">
        <v>787</v>
      </c>
      <c r="M791">
        <f t="shared" si="215"/>
        <v>393.5</v>
      </c>
      <c r="N791">
        <f t="shared" si="211"/>
        <v>288468.57548264781</v>
      </c>
      <c r="O791">
        <f t="shared" si="212"/>
        <v>-720566.36347169371</v>
      </c>
      <c r="P791">
        <f t="shared" si="213"/>
        <v>410.18218544566088</v>
      </c>
      <c r="Q791">
        <f t="shared" si="214"/>
        <v>-2521.4298332446629</v>
      </c>
      <c r="R791">
        <f t="shared" si="200"/>
        <v>-2.8815329182997278</v>
      </c>
      <c r="S791">
        <f t="shared" si="201"/>
        <v>7.6478192603582045</v>
      </c>
      <c r="T791">
        <f t="shared" si="202"/>
        <v>773641.98685388069</v>
      </c>
      <c r="U791">
        <f t="shared" si="203"/>
        <v>793019.59212654317</v>
      </c>
      <c r="V791">
        <f t="shared" si="204"/>
        <v>764164.70610627183</v>
      </c>
      <c r="W791">
        <f t="shared" si="205"/>
        <v>-2.4262008542678606</v>
      </c>
      <c r="X791">
        <f t="shared" si="206"/>
        <v>-0.11107112309610111</v>
      </c>
      <c r="Y791">
        <f t="shared" si="207"/>
        <v>-0.34426094093576587</v>
      </c>
      <c r="Z791">
        <f t="shared" si="208"/>
        <v>6.5570792697740821</v>
      </c>
      <c r="AA791">
        <f t="shared" si="209"/>
        <v>0.26305702731654768</v>
      </c>
      <c r="AB791">
        <f t="shared" si="210"/>
        <v>0.82768296326757462</v>
      </c>
    </row>
    <row r="792" spans="12:28" x14ac:dyDescent="0.25">
      <c r="L792">
        <v>788</v>
      </c>
      <c r="M792">
        <f t="shared" si="215"/>
        <v>394</v>
      </c>
      <c r="N792">
        <f t="shared" si="211"/>
        <v>288673.30638375587</v>
      </c>
      <c r="O792">
        <f t="shared" si="212"/>
        <v>-721826.12241090857</v>
      </c>
      <c r="P792">
        <f t="shared" si="213"/>
        <v>408.74141898651101</v>
      </c>
      <c r="Q792">
        <f t="shared" si="214"/>
        <v>-2517.6059236144838</v>
      </c>
      <c r="R792">
        <f t="shared" si="200"/>
        <v>-2.8697559264452122</v>
      </c>
      <c r="S792">
        <f t="shared" si="201"/>
        <v>7.6240946515515855</v>
      </c>
      <c r="T792">
        <f t="shared" si="202"/>
        <v>774894.54623326438</v>
      </c>
      <c r="U792">
        <f t="shared" si="203"/>
        <v>794259.83375521784</v>
      </c>
      <c r="V792">
        <f t="shared" si="204"/>
        <v>765406.54439638031</v>
      </c>
      <c r="W792">
        <f t="shared" si="205"/>
        <v>-2.4163035955189427</v>
      </c>
      <c r="X792">
        <f t="shared" si="206"/>
        <v>-0.11062503398096397</v>
      </c>
      <c r="Y792">
        <f t="shared" si="207"/>
        <v>-0.3428272969453055</v>
      </c>
      <c r="Z792">
        <f t="shared" si="208"/>
        <v>6.5366842599170543</v>
      </c>
      <c r="AA792">
        <f t="shared" si="209"/>
        <v>0.26227823393064331</v>
      </c>
      <c r="AB792">
        <f t="shared" si="210"/>
        <v>0.82513215770388781</v>
      </c>
    </row>
    <row r="793" spans="12:28" x14ac:dyDescent="0.25">
      <c r="L793">
        <v>789</v>
      </c>
      <c r="M793">
        <f t="shared" si="215"/>
        <v>394.5</v>
      </c>
      <c r="N793">
        <f t="shared" si="211"/>
        <v>288877.31837375829</v>
      </c>
      <c r="O793">
        <f t="shared" si="212"/>
        <v>-723083.97236088431</v>
      </c>
      <c r="P793">
        <f t="shared" si="213"/>
        <v>407.30654102328839</v>
      </c>
      <c r="Q793">
        <f t="shared" si="214"/>
        <v>-2513.7938762887079</v>
      </c>
      <c r="R793">
        <f t="shared" si="200"/>
        <v>-2.8580618729153615</v>
      </c>
      <c r="S793">
        <f t="shared" si="201"/>
        <v>7.6005175729131604</v>
      </c>
      <c r="T793">
        <f t="shared" si="202"/>
        <v>776145.14309159236</v>
      </c>
      <c r="U793">
        <f t="shared" si="203"/>
        <v>795498.1510589309</v>
      </c>
      <c r="V793">
        <f t="shared" si="204"/>
        <v>766646.45709017722</v>
      </c>
      <c r="W793">
        <f t="shared" si="205"/>
        <v>-2.4064759471339126</v>
      </c>
      <c r="X793">
        <f t="shared" si="206"/>
        <v>-0.11018203686226016</v>
      </c>
      <c r="Y793">
        <f t="shared" si="207"/>
        <v>-0.34140388891918866</v>
      </c>
      <c r="Z793">
        <f t="shared" si="208"/>
        <v>6.5164163997820594</v>
      </c>
      <c r="AA793">
        <f t="shared" si="209"/>
        <v>0.26150410036925964</v>
      </c>
      <c r="AB793">
        <f t="shared" si="210"/>
        <v>0.82259707276184102</v>
      </c>
    </row>
    <row r="794" spans="12:28" x14ac:dyDescent="0.25">
      <c r="L794">
        <v>790</v>
      </c>
      <c r="M794">
        <f t="shared" si="215"/>
        <v>395</v>
      </c>
      <c r="N794">
        <f t="shared" si="211"/>
        <v>289080.61438653583</v>
      </c>
      <c r="O794">
        <f t="shared" si="212"/>
        <v>-724339.91923433205</v>
      </c>
      <c r="P794">
        <f t="shared" si="213"/>
        <v>405.87751008683068</v>
      </c>
      <c r="Q794">
        <f t="shared" si="214"/>
        <v>-2509.9936175022513</v>
      </c>
      <c r="R794">
        <f t="shared" si="200"/>
        <v>-2.846449942344484</v>
      </c>
      <c r="S794">
        <f t="shared" si="201"/>
        <v>7.5770867076467674</v>
      </c>
      <c r="T794">
        <f t="shared" si="202"/>
        <v>777393.78363052115</v>
      </c>
      <c r="U794">
        <f t="shared" si="203"/>
        <v>796734.55000435608</v>
      </c>
      <c r="V794">
        <f t="shared" si="204"/>
        <v>767884.45014685055</v>
      </c>
      <c r="W794">
        <f t="shared" si="205"/>
        <v>-2.3967172252741324</v>
      </c>
      <c r="X794">
        <f t="shared" si="206"/>
        <v>-0.1097421018558154</v>
      </c>
      <c r="Y794">
        <f t="shared" si="207"/>
        <v>-0.33999061521453583</v>
      </c>
      <c r="Z794">
        <f t="shared" si="208"/>
        <v>6.4962745513800755</v>
      </c>
      <c r="AA794">
        <f t="shared" si="209"/>
        <v>0.26073458658465731</v>
      </c>
      <c r="AB794">
        <f t="shared" si="210"/>
        <v>0.82007756968203394</v>
      </c>
    </row>
    <row r="795" spans="12:28" x14ac:dyDescent="0.25">
      <c r="L795">
        <v>791</v>
      </c>
      <c r="M795">
        <f t="shared" si="215"/>
        <v>395.5</v>
      </c>
      <c r="N795">
        <f t="shared" si="211"/>
        <v>289283.19733533647</v>
      </c>
      <c r="O795">
        <f t="shared" si="212"/>
        <v>-725593.96890724474</v>
      </c>
      <c r="P795">
        <f t="shared" si="213"/>
        <v>404.45428511565842</v>
      </c>
      <c r="Q795">
        <f t="shared" si="214"/>
        <v>-2506.2050741484277</v>
      </c>
      <c r="R795">
        <f t="shared" si="200"/>
        <v>-2.8349193296299395</v>
      </c>
      <c r="S795">
        <f t="shared" si="201"/>
        <v>7.5538007543008021</v>
      </c>
      <c r="T795">
        <f t="shared" si="202"/>
        <v>778640.47401273833</v>
      </c>
      <c r="U795">
        <f t="shared" si="203"/>
        <v>797969.03652126831</v>
      </c>
      <c r="V795">
        <f t="shared" si="204"/>
        <v>769120.52948888252</v>
      </c>
      <c r="W795">
        <f t="shared" si="205"/>
        <v>-2.387026754705341</v>
      </c>
      <c r="X795">
        <f t="shared" si="206"/>
        <v>-0.10930519944707653</v>
      </c>
      <c r="Y795">
        <f t="shared" si="207"/>
        <v>-0.33858737547752199</v>
      </c>
      <c r="Z795">
        <f t="shared" si="208"/>
        <v>6.4762575900204791</v>
      </c>
      <c r="AA795">
        <f t="shared" si="209"/>
        <v>0.25996965297890301</v>
      </c>
      <c r="AB795">
        <f t="shared" si="210"/>
        <v>0.81757351130142053</v>
      </c>
    </row>
    <row r="796" spans="12:28" x14ac:dyDescent="0.25">
      <c r="L796">
        <v>792</v>
      </c>
      <c r="M796">
        <f t="shared" si="215"/>
        <v>396</v>
      </c>
      <c r="N796">
        <f t="shared" si="211"/>
        <v>289485.07011297811</v>
      </c>
      <c r="O796">
        <f t="shared" si="212"/>
        <v>-726846.1272192247</v>
      </c>
      <c r="P796">
        <f t="shared" si="213"/>
        <v>403.03682545084348</v>
      </c>
      <c r="Q796">
        <f t="shared" si="214"/>
        <v>-2502.4281737712772</v>
      </c>
      <c r="R796">
        <f t="shared" si="200"/>
        <v>-2.823469239774842</v>
      </c>
      <c r="S796">
        <f t="shared" si="201"/>
        <v>7.5306584265477472</v>
      </c>
      <c r="T796">
        <f t="shared" si="202"/>
        <v>779885.22036231356</v>
      </c>
      <c r="U796">
        <f t="shared" si="203"/>
        <v>799201.61650287267</v>
      </c>
      <c r="V796">
        <f t="shared" si="204"/>
        <v>770354.7010023722</v>
      </c>
      <c r="W796">
        <f t="shared" si="205"/>
        <v>-2.3774038686657604</v>
      </c>
      <c r="X796">
        <f t="shared" si="206"/>
        <v>-0.10887130048554983</v>
      </c>
      <c r="Y796">
        <f t="shared" si="207"/>
        <v>-0.33719407062353174</v>
      </c>
      <c r="Z796">
        <f t="shared" si="208"/>
        <v>6.4563644041193493</v>
      </c>
      <c r="AA796">
        <f t="shared" si="209"/>
        <v>0.25920926039764347</v>
      </c>
      <c r="AB796">
        <f t="shared" si="210"/>
        <v>0.81508476203075442</v>
      </c>
    </row>
    <row r="797" spans="12:28" x14ac:dyDescent="0.25">
      <c r="L797">
        <v>793</v>
      </c>
      <c r="M797">
        <f t="shared" si="215"/>
        <v>396.5</v>
      </c>
      <c r="N797">
        <f t="shared" si="211"/>
        <v>289686.23559204856</v>
      </c>
      <c r="O797">
        <f t="shared" si="212"/>
        <v>-728096.39997380704</v>
      </c>
      <c r="P797">
        <f t="shared" si="213"/>
        <v>401.62509083095608</v>
      </c>
      <c r="Q797">
        <f t="shared" si="214"/>
        <v>-2498.6628445580031</v>
      </c>
      <c r="R797">
        <f t="shared" si="200"/>
        <v>-2.8120988877338005</v>
      </c>
      <c r="S797">
        <f t="shared" si="201"/>
        <v>7.5076584529680321</v>
      </c>
      <c r="T797">
        <f t="shared" si="202"/>
        <v>781128.02876504569</v>
      </c>
      <c r="U797">
        <f t="shared" si="203"/>
        <v>800432.29580612748</v>
      </c>
      <c r="V797">
        <f t="shared" si="204"/>
        <v>771586.97053735692</v>
      </c>
      <c r="W797">
        <f t="shared" si="205"/>
        <v>-2.3678479087368101</v>
      </c>
      <c r="X797">
        <f t="shared" si="206"/>
        <v>-0.10844037617933677</v>
      </c>
      <c r="Y797">
        <f t="shared" si="207"/>
        <v>-0.33581060281765357</v>
      </c>
      <c r="Z797">
        <f t="shared" si="208"/>
        <v>6.4365938950116863</v>
      </c>
      <c r="AA797">
        <f t="shared" si="209"/>
        <v>0.25845337012398018</v>
      </c>
      <c r="AB797">
        <f t="shared" si="210"/>
        <v>0.81261118783236497</v>
      </c>
    </row>
    <row r="798" spans="12:28" x14ac:dyDescent="0.25">
      <c r="L798">
        <v>794</v>
      </c>
      <c r="M798">
        <f t="shared" si="215"/>
        <v>397</v>
      </c>
      <c r="N798">
        <f t="shared" si="211"/>
        <v>289886.69662510307</v>
      </c>
      <c r="O798">
        <f t="shared" si="212"/>
        <v>-729344.79293877946</v>
      </c>
      <c r="P798">
        <f t="shared" si="213"/>
        <v>400.21904138708919</v>
      </c>
      <c r="Q798">
        <f t="shared" si="214"/>
        <v>-2494.9090153315192</v>
      </c>
      <c r="R798">
        <f t="shared" si="200"/>
        <v>-2.8008074982612268</v>
      </c>
      <c r="S798">
        <f t="shared" si="201"/>
        <v>7.4847995768369859</v>
      </c>
      <c r="T798">
        <f t="shared" si="202"/>
        <v>782368.90526880557</v>
      </c>
      <c r="U798">
        <f t="shared" si="203"/>
        <v>801661.08025206346</v>
      </c>
      <c r="V798">
        <f t="shared" si="204"/>
        <v>772817.34390812763</v>
      </c>
      <c r="W798">
        <f t="shared" si="205"/>
        <v>-2.3583582247159218</v>
      </c>
      <c r="X798">
        <f t="shared" si="206"/>
        <v>-0.10801239808976938</v>
      </c>
      <c r="Y798">
        <f t="shared" si="207"/>
        <v>-0.33443687545553552</v>
      </c>
      <c r="Z798">
        <f t="shared" si="208"/>
        <v>6.4169449767662092</v>
      </c>
      <c r="AA798">
        <f t="shared" si="209"/>
        <v>0.25770194387245099</v>
      </c>
      <c r="AB798">
        <f t="shared" si="210"/>
        <v>0.81015265619832511</v>
      </c>
    </row>
    <row r="799" spans="12:28" x14ac:dyDescent="0.25">
      <c r="L799">
        <v>795</v>
      </c>
      <c r="M799">
        <f t="shared" si="215"/>
        <v>397.5</v>
      </c>
      <c r="N799">
        <f t="shared" si="211"/>
        <v>290086.45604485931</v>
      </c>
      <c r="O799">
        <f t="shared" si="212"/>
        <v>-730591.31184649805</v>
      </c>
      <c r="P799">
        <f t="shared" si="213"/>
        <v>398.8186376379586</v>
      </c>
      <c r="Q799">
        <f t="shared" si="214"/>
        <v>-2491.1666155431008</v>
      </c>
      <c r="R799">
        <f t="shared" si="200"/>
        <v>-2.7895943057625385</v>
      </c>
      <c r="S799">
        <f t="shared" si="201"/>
        <v>7.4620805559158896</v>
      </c>
      <c r="T799">
        <f t="shared" si="202"/>
        <v>783607.85588387493</v>
      </c>
      <c r="U799">
        <f t="shared" si="203"/>
        <v>802887.97562610032</v>
      </c>
      <c r="V799">
        <f t="shared" si="204"/>
        <v>774045.82689354161</v>
      </c>
      <c r="W799">
        <f t="shared" si="205"/>
        <v>-2.3489341744918084</v>
      </c>
      <c r="X799">
        <f t="shared" si="206"/>
        <v>-0.10758733812613773</v>
      </c>
      <c r="Y799">
        <f t="shared" si="207"/>
        <v>-0.33307279314459243</v>
      </c>
      <c r="Z799">
        <f t="shared" si="208"/>
        <v>6.3974165760037831</v>
      </c>
      <c r="AA799">
        <f t="shared" si="209"/>
        <v>0.25695494378310502</v>
      </c>
      <c r="AB799">
        <f t="shared" si="210"/>
        <v>0.80770903612900125</v>
      </c>
    </row>
    <row r="800" spans="12:28" x14ac:dyDescent="0.25">
      <c r="L800">
        <v>796</v>
      </c>
      <c r="M800">
        <f t="shared" si="215"/>
        <v>398</v>
      </c>
      <c r="N800">
        <f t="shared" si="211"/>
        <v>290285.5166643901</v>
      </c>
      <c r="O800">
        <f t="shared" si="212"/>
        <v>-731835.96239420015</v>
      </c>
      <c r="P800">
        <f t="shared" si="213"/>
        <v>397.42384048507733</v>
      </c>
      <c r="Q800">
        <f t="shared" si="214"/>
        <v>-2487.4355752651427</v>
      </c>
      <c r="R800">
        <f t="shared" si="200"/>
        <v>-2.7784585541479436</v>
      </c>
      <c r="S800">
        <f t="shared" si="201"/>
        <v>7.4395001622463361</v>
      </c>
      <c r="T800">
        <f t="shared" si="202"/>
        <v>784844.8865832811</v>
      </c>
      <c r="U800">
        <f t="shared" si="203"/>
        <v>804112.98767835891</v>
      </c>
      <c r="V800">
        <f t="shared" si="204"/>
        <v>775272.42523733235</v>
      </c>
      <c r="W800">
        <f t="shared" si="205"/>
        <v>-2.3395751239218994</v>
      </c>
      <c r="X800">
        <f t="shared" si="206"/>
        <v>-0.10716516854051192</v>
      </c>
      <c r="Y800">
        <f t="shared" si="207"/>
        <v>-0.33171826168553215</v>
      </c>
      <c r="Z800">
        <f t="shared" si="208"/>
        <v>6.3780076317187415</v>
      </c>
      <c r="AA800">
        <f t="shared" si="209"/>
        <v>0.2562123324156787</v>
      </c>
      <c r="AB800">
        <f t="shared" si="210"/>
        <v>0.80528019811191609</v>
      </c>
    </row>
    <row r="801" spans="12:28" x14ac:dyDescent="0.25">
      <c r="L801">
        <v>797</v>
      </c>
      <c r="M801">
        <f t="shared" si="215"/>
        <v>398.5</v>
      </c>
      <c r="N801">
        <f t="shared" si="211"/>
        <v>290483.88127731334</v>
      </c>
      <c r="O801">
        <f t="shared" si="212"/>
        <v>-733078.75024431245</v>
      </c>
      <c r="P801">
        <f t="shared" si="213"/>
        <v>396.03461120800335</v>
      </c>
      <c r="Q801">
        <f t="shared" si="214"/>
        <v>-2483.7158251840196</v>
      </c>
      <c r="R801">
        <f t="shared" si="200"/>
        <v>-2.7673994966888107</v>
      </c>
      <c r="S801">
        <f t="shared" si="201"/>
        <v>7.4170571819479942</v>
      </c>
      <c r="T801">
        <f t="shared" si="202"/>
        <v>786080.00330312806</v>
      </c>
      <c r="U801">
        <f t="shared" si="203"/>
        <v>805336.12212397007</v>
      </c>
      <c r="V801">
        <f t="shared" si="204"/>
        <v>776497.14464841341</v>
      </c>
      <c r="W801">
        <f t="shared" si="205"/>
        <v>-2.3302804467119231</v>
      </c>
      <c r="X801">
        <f t="shared" si="206"/>
        <v>-0.10674586192265037</v>
      </c>
      <c r="Y801">
        <f t="shared" si="207"/>
        <v>-0.33037318805423727</v>
      </c>
      <c r="Z801">
        <f t="shared" si="208"/>
        <v>6.3587170951031169</v>
      </c>
      <c r="AA801">
        <f t="shared" si="209"/>
        <v>0.25547407274385558</v>
      </c>
      <c r="AB801">
        <f t="shared" si="210"/>
        <v>0.80286601410102121</v>
      </c>
    </row>
    <row r="802" spans="12:28" x14ac:dyDescent="0.25">
      <c r="L802">
        <v>798</v>
      </c>
      <c r="M802">
        <f t="shared" si="215"/>
        <v>399</v>
      </c>
      <c r="N802">
        <f t="shared" si="211"/>
        <v>290681.55265798024</v>
      </c>
      <c r="O802">
        <f t="shared" si="212"/>
        <v>-734319.68102475675</v>
      </c>
      <c r="P802">
        <f t="shared" si="213"/>
        <v>394.65091145965897</v>
      </c>
      <c r="Q802">
        <f t="shared" si="214"/>
        <v>-2480.0072965930458</v>
      </c>
      <c r="R802">
        <f t="shared" si="200"/>
        <v>-2.7564163958766259</v>
      </c>
      <c r="S802">
        <f t="shared" si="201"/>
        <v>7.3947504150198657</v>
      </c>
      <c r="T802">
        <f t="shared" si="202"/>
        <v>787313.2119429236</v>
      </c>
      <c r="U802">
        <f t="shared" si="203"/>
        <v>806557.38464337983</v>
      </c>
      <c r="V802">
        <f t="shared" si="204"/>
        <v>777719.99080118269</v>
      </c>
      <c r="W802">
        <f t="shared" si="205"/>
        <v>-2.3210495242976772</v>
      </c>
      <c r="X802">
        <f t="shared" si="206"/>
        <v>-0.10632939119500395</v>
      </c>
      <c r="Y802">
        <f t="shared" si="207"/>
        <v>-0.32903748038394448</v>
      </c>
      <c r="Z802">
        <f t="shared" si="208"/>
        <v>6.3395439293739804</v>
      </c>
      <c r="AA802">
        <f t="shared" si="209"/>
        <v>0.25474012814963654</v>
      </c>
      <c r="AB802">
        <f t="shared" si="210"/>
        <v>0.80046635749624839</v>
      </c>
    </row>
    <row r="803" spans="12:28" x14ac:dyDescent="0.25">
      <c r="L803">
        <v>799</v>
      </c>
      <c r="M803">
        <f t="shared" si="215"/>
        <v>399.5</v>
      </c>
      <c r="N803">
        <f t="shared" si="211"/>
        <v>290878.53356166062</v>
      </c>
      <c r="O803">
        <f t="shared" si="212"/>
        <v>-735558.76032925141</v>
      </c>
      <c r="P803">
        <f t="shared" si="213"/>
        <v>393.27270326172066</v>
      </c>
      <c r="Q803">
        <f t="shared" si="214"/>
        <v>-2476.3099213855357</v>
      </c>
      <c r="R803">
        <f t="shared" si="200"/>
        <v>-2.7455085232845087</v>
      </c>
      <c r="S803">
        <f t="shared" si="201"/>
        <v>7.372578675145026</v>
      </c>
      <c r="T803">
        <f t="shared" si="202"/>
        <v>788544.51836590259</v>
      </c>
      <c r="U803">
        <f t="shared" si="203"/>
        <v>807776.78088265122</v>
      </c>
      <c r="V803">
        <f t="shared" si="204"/>
        <v>778940.96933581959</v>
      </c>
      <c r="W803">
        <f t="shared" si="205"/>
        <v>-2.3118817457289489</v>
      </c>
      <c r="X803">
        <f t="shared" si="206"/>
        <v>-0.10591572960780023</v>
      </c>
      <c r="Y803">
        <f t="shared" si="207"/>
        <v>-0.32771104794775929</v>
      </c>
      <c r="Z803">
        <f t="shared" si="208"/>
        <v>6.320487109603798</v>
      </c>
      <c r="AA803">
        <f t="shared" si="209"/>
        <v>0.25401046241778308</v>
      </c>
      <c r="AB803">
        <f t="shared" si="210"/>
        <v>0.79808110312344471</v>
      </c>
    </row>
    <row r="804" spans="12:28" x14ac:dyDescent="0.25">
      <c r="L804">
        <v>800</v>
      </c>
      <c r="M804">
        <f t="shared" si="215"/>
        <v>400</v>
      </c>
      <c r="N804">
        <f t="shared" si="211"/>
        <v>291074.82672472607</v>
      </c>
      <c r="O804">
        <f t="shared" si="212"/>
        <v>-736795.99371760979</v>
      </c>
      <c r="P804">
        <f t="shared" si="213"/>
        <v>391.89994900007844</v>
      </c>
      <c r="Q804">
        <f t="shared" si="214"/>
        <v>-2472.6236320479634</v>
      </c>
      <c r="R804">
        <f t="shared" si="200"/>
        <v>-2.734675159431037</v>
      </c>
      <c r="S804">
        <f t="shared" si="201"/>
        <v>7.350540789498254</v>
      </c>
      <c r="T804">
        <f t="shared" si="202"/>
        <v>789773.92839934677</v>
      </c>
      <c r="U804">
        <f t="shared" si="203"/>
        <v>808994.31645376259</v>
      </c>
      <c r="V804">
        <f t="shared" si="204"/>
        <v>780160.08585858101</v>
      </c>
      <c r="W804">
        <f t="shared" si="205"/>
        <v>-2.3027765075553401</v>
      </c>
      <c r="X804">
        <f t="shared" si="206"/>
        <v>-0.10550485073422032</v>
      </c>
      <c r="Y804">
        <f t="shared" si="207"/>
        <v>-0.32639380114147648</v>
      </c>
      <c r="Z804">
        <f t="shared" si="208"/>
        <v>6.3015456225532587</v>
      </c>
      <c r="AA804">
        <f t="shared" si="209"/>
        <v>0.25328503973036981</v>
      </c>
      <c r="AB804">
        <f t="shared" si="210"/>
        <v>0.79571012721462531</v>
      </c>
    </row>
    <row r="805" spans="12:28" x14ac:dyDescent="0.25">
      <c r="L805">
        <v>801</v>
      </c>
      <c r="M805">
        <f t="shared" si="215"/>
        <v>400.5</v>
      </c>
      <c r="N805">
        <f t="shared" si="211"/>
        <v>291270.43486483122</v>
      </c>
      <c r="O805">
        <f t="shared" si="212"/>
        <v>-738031.38671603508</v>
      </c>
      <c r="P805">
        <f t="shared" si="213"/>
        <v>390.53261142036291</v>
      </c>
      <c r="Q805">
        <f t="shared" si="214"/>
        <v>-2468.9483616532143</v>
      </c>
      <c r="R805">
        <f t="shared" si="200"/>
        <v>-2.7239155936465544</v>
      </c>
      <c r="S805">
        <f t="shared" si="201"/>
        <v>7.3286355985570584</v>
      </c>
      <c r="T805">
        <f t="shared" si="202"/>
        <v>791001.44783490046</v>
      </c>
      <c r="U805">
        <f t="shared" si="203"/>
        <v>810209.99693490309</v>
      </c>
      <c r="V805">
        <f t="shared" si="204"/>
        <v>781377.34594209271</v>
      </c>
      <c r="W805">
        <f t="shared" si="205"/>
        <v>-2.2937332137142046</v>
      </c>
      <c r="X805">
        <f t="shared" si="206"/>
        <v>-0.1050967284656491</v>
      </c>
      <c r="Y805">
        <f t="shared" si="207"/>
        <v>-0.32508565146670054</v>
      </c>
      <c r="Z805">
        <f t="shared" si="208"/>
        <v>6.2827184665071236</v>
      </c>
      <c r="AA805">
        <f t="shared" si="209"/>
        <v>0.25256382466139726</v>
      </c>
      <c r="AB805">
        <f t="shared" si="210"/>
        <v>0.7933533073885376</v>
      </c>
    </row>
    <row r="806" spans="12:28" x14ac:dyDescent="0.25">
      <c r="L806">
        <v>802</v>
      </c>
      <c r="M806">
        <f t="shared" si="215"/>
        <v>401</v>
      </c>
      <c r="N806">
        <f t="shared" si="211"/>
        <v>291465.36068109219</v>
      </c>
      <c r="O806">
        <f t="shared" si="212"/>
        <v>-739264.94481741183</v>
      </c>
      <c r="P806">
        <f t="shared" si="213"/>
        <v>389.17065362353964</v>
      </c>
      <c r="Q806">
        <f t="shared" si="214"/>
        <v>-2465.2840438539356</v>
      </c>
      <c r="R806">
        <f t="shared" si="200"/>
        <v>-2.7132291239419293</v>
      </c>
      <c r="S806">
        <f t="shared" si="201"/>
        <v>7.3068619559161734</v>
      </c>
      <c r="T806">
        <f t="shared" si="202"/>
        <v>792227.08242888318</v>
      </c>
      <c r="U806">
        <f t="shared" si="203"/>
        <v>811423.82787076326</v>
      </c>
      <c r="V806">
        <f t="shared" si="204"/>
        <v>782592.75512563915</v>
      </c>
      <c r="W806">
        <f t="shared" si="205"/>
        <v>-2.2847512754206414</v>
      </c>
      <c r="X806">
        <f t="shared" si="206"/>
        <v>-0.10469133700701991</v>
      </c>
      <c r="Y806">
        <f t="shared" si="207"/>
        <v>-0.32378651151426807</v>
      </c>
      <c r="Z806">
        <f t="shared" si="208"/>
        <v>6.264004651113094</v>
      </c>
      <c r="AA806">
        <f t="shared" si="209"/>
        <v>0.2518467821715229</v>
      </c>
      <c r="AB806">
        <f t="shared" si="210"/>
        <v>0.79101052263155658</v>
      </c>
    </row>
    <row r="807" spans="12:28" x14ac:dyDescent="0.25">
      <c r="L807">
        <v>803</v>
      </c>
      <c r="M807">
        <f t="shared" si="215"/>
        <v>401.5</v>
      </c>
      <c r="N807">
        <f t="shared" si="211"/>
        <v>291659.60685426346</v>
      </c>
      <c r="O807">
        <f t="shared" si="212"/>
        <v>-740496.67348159431</v>
      </c>
      <c r="P807">
        <f t="shared" si="213"/>
        <v>387.81403906156868</v>
      </c>
      <c r="Q807">
        <f t="shared" si="214"/>
        <v>-2461.6306128759775</v>
      </c>
      <c r="R807">
        <f t="shared" si="200"/>
        <v>-2.7026150568793641</v>
      </c>
      <c r="S807">
        <f t="shared" si="201"/>
        <v>7.2852187281043719</v>
      </c>
      <c r="T807">
        <f t="shared" si="202"/>
        <v>793450.83790259867</v>
      </c>
      <c r="U807">
        <f t="shared" si="203"/>
        <v>812635.81477282476</v>
      </c>
      <c r="V807">
        <f t="shared" si="204"/>
        <v>783806.31891544815</v>
      </c>
      <c r="W807">
        <f t="shared" si="205"/>
        <v>-2.2758301110591659</v>
      </c>
      <c r="X807">
        <f t="shared" si="206"/>
        <v>-0.10428865087222977</v>
      </c>
      <c r="Y807">
        <f t="shared" si="207"/>
        <v>-0.32249629494796844</v>
      </c>
      <c r="Z807">
        <f t="shared" si="208"/>
        <v>6.2454031972226147</v>
      </c>
      <c r="AA807">
        <f t="shared" si="209"/>
        <v>0.25113387760285277</v>
      </c>
      <c r="AB807">
        <f t="shared" si="210"/>
        <v>0.78868165327890405</v>
      </c>
    </row>
    <row r="808" spans="12:28" x14ac:dyDescent="0.25">
      <c r="L808">
        <v>804</v>
      </c>
      <c r="M808">
        <f t="shared" si="215"/>
        <v>402</v>
      </c>
      <c r="N808">
        <f t="shared" si="211"/>
        <v>291853.17604691215</v>
      </c>
      <c r="O808">
        <f t="shared" si="212"/>
        <v>-741726.57813569135</v>
      </c>
      <c r="P808">
        <f t="shared" si="213"/>
        <v>386.46273153312899</v>
      </c>
      <c r="Q808">
        <f t="shared" si="214"/>
        <v>-2457.9880035119254</v>
      </c>
      <c r="R808">
        <f t="shared" si="200"/>
        <v>-2.6920727074457353</v>
      </c>
      <c r="S808">
        <f t="shared" si="201"/>
        <v>7.2637047944051059</v>
      </c>
      <c r="T808">
        <f t="shared" si="202"/>
        <v>794672.71994263912</v>
      </c>
      <c r="U808">
        <f t="shared" si="203"/>
        <v>813845.96311964467</v>
      </c>
      <c r="V808">
        <f t="shared" si="204"/>
        <v>785018.04278497328</v>
      </c>
      <c r="W808">
        <f t="shared" si="205"/>
        <v>-2.2669691460775647</v>
      </c>
      <c r="X808">
        <f t="shared" si="206"/>
        <v>-0.103888644879638</v>
      </c>
      <c r="Y808">
        <f t="shared" si="207"/>
        <v>-0.32121491648853251</v>
      </c>
      <c r="Z808">
        <f t="shared" si="208"/>
        <v>6.2269131367351482</v>
      </c>
      <c r="AA808">
        <f t="shared" si="209"/>
        <v>0.25042507667382652</v>
      </c>
      <c r="AB808">
        <f t="shared" si="210"/>
        <v>0.78636658099613177</v>
      </c>
    </row>
    <row r="809" spans="12:28" x14ac:dyDescent="0.25">
      <c r="L809">
        <v>805</v>
      </c>
      <c r="M809">
        <f t="shared" si="215"/>
        <v>402.5</v>
      </c>
      <c r="N809">
        <f t="shared" si="211"/>
        <v>292046.0709035903</v>
      </c>
      <c r="O809">
        <f t="shared" si="212"/>
        <v>-742954.664174348</v>
      </c>
      <c r="P809">
        <f t="shared" si="213"/>
        <v>385.11669517940612</v>
      </c>
      <c r="Q809">
        <f t="shared" si="214"/>
        <v>-2454.3561511147227</v>
      </c>
      <c r="R809">
        <f t="shared" si="200"/>
        <v>-2.6816013989279632</v>
      </c>
      <c r="S809">
        <f t="shared" si="201"/>
        <v>7.2423190466795777</v>
      </c>
      <c r="T809">
        <f t="shared" si="202"/>
        <v>795892.73420118808</v>
      </c>
      <c r="U809">
        <f t="shared" si="203"/>
        <v>815054.27835713723</v>
      </c>
      <c r="V809">
        <f t="shared" si="204"/>
        <v>786227.93217517307</v>
      </c>
      <c r="W809">
        <f t="shared" si="205"/>
        <v>-2.2581678128824012</v>
      </c>
      <c r="X809">
        <f t="shared" si="206"/>
        <v>-0.1034912941476395</v>
      </c>
      <c r="Y809">
        <f t="shared" si="207"/>
        <v>-0.31994229189792245</v>
      </c>
      <c r="Z809">
        <f t="shared" si="208"/>
        <v>6.2085335124444452</v>
      </c>
      <c r="AA809">
        <f t="shared" si="209"/>
        <v>0.24972034547417846</v>
      </c>
      <c r="AB809">
        <f t="shared" si="210"/>
        <v>0.78406518876095443</v>
      </c>
    </row>
    <row r="810" spans="12:28" x14ac:dyDescent="0.25">
      <c r="L810">
        <v>806</v>
      </c>
      <c r="M810">
        <f t="shared" si="215"/>
        <v>403</v>
      </c>
      <c r="N810">
        <f t="shared" si="211"/>
        <v>292238.2940510051</v>
      </c>
      <c r="O810">
        <f t="shared" si="212"/>
        <v>-744180.93696002453</v>
      </c>
      <c r="P810">
        <f t="shared" si="213"/>
        <v>383.77589447994217</v>
      </c>
      <c r="Q810">
        <f t="shared" si="214"/>
        <v>-2450.7349915913828</v>
      </c>
      <c r="R810">
        <f t="shared" si="200"/>
        <v>-2.6712004627906492</v>
      </c>
      <c r="S810">
        <f t="shared" si="201"/>
        <v>7.2210603891930027</v>
      </c>
      <c r="T810">
        <f t="shared" si="202"/>
        <v>797110.88629631815</v>
      </c>
      <c r="U810">
        <f t="shared" si="203"/>
        <v>816260.76589885319</v>
      </c>
      <c r="V810">
        <f t="shared" si="204"/>
        <v>787435.99249478756</v>
      </c>
      <c r="W810">
        <f t="shared" si="205"/>
        <v>-2.2494255507364445</v>
      </c>
      <c r="X810">
        <f t="shared" si="206"/>
        <v>-0.10309657409032066</v>
      </c>
      <c r="Y810">
        <f t="shared" si="207"/>
        <v>-0.31867833796388412</v>
      </c>
      <c r="Z810">
        <f t="shared" si="208"/>
        <v>6.1902633778876588</v>
      </c>
      <c r="AA810">
        <f t="shared" si="209"/>
        <v>0.24901965045999566</v>
      </c>
      <c r="AB810">
        <f t="shared" si="210"/>
        <v>0.78177736084534843</v>
      </c>
    </row>
    <row r="811" spans="12:28" x14ac:dyDescent="0.25">
      <c r="L811">
        <v>807</v>
      </c>
      <c r="M811">
        <f t="shared" si="215"/>
        <v>403.5</v>
      </c>
      <c r="N811">
        <f t="shared" si="211"/>
        <v>292429.84809818724</v>
      </c>
      <c r="O811">
        <f t="shared" si="212"/>
        <v>-745405.40182327153</v>
      </c>
      <c r="P811">
        <f t="shared" si="213"/>
        <v>382.44029424854682</v>
      </c>
      <c r="Q811">
        <f t="shared" si="214"/>
        <v>-2447.1244613967865</v>
      </c>
      <c r="R811">
        <f t="shared" si="200"/>
        <v>-2.6608692385557471</v>
      </c>
      <c r="S811">
        <f t="shared" si="201"/>
        <v>7.1999277384434617</v>
      </c>
      <c r="T811">
        <f t="shared" si="202"/>
        <v>798327.18181228614</v>
      </c>
      <c r="U811">
        <f t="shared" si="203"/>
        <v>817465.43112625543</v>
      </c>
      <c r="V811">
        <f t="shared" si="204"/>
        <v>788642.22912061051</v>
      </c>
      <c r="W811">
        <f t="shared" si="205"/>
        <v>-2.2407418056578003</v>
      </c>
      <c r="X811">
        <f t="shared" si="206"/>
        <v>-0.10270446041317513</v>
      </c>
      <c r="Y811">
        <f t="shared" si="207"/>
        <v>-0.31742297248477164</v>
      </c>
      <c r="Z811">
        <f t="shared" si="208"/>
        <v>6.1721017971966967</v>
      </c>
      <c r="AA811">
        <f t="shared" si="209"/>
        <v>0.24832295844881855</v>
      </c>
      <c r="AB811">
        <f t="shared" si="210"/>
        <v>0.77950298279794583</v>
      </c>
    </row>
    <row r="812" spans="12:28" x14ac:dyDescent="0.25">
      <c r="L812">
        <v>808</v>
      </c>
      <c r="M812">
        <f t="shared" si="215"/>
        <v>404</v>
      </c>
      <c r="N812">
        <f t="shared" si="211"/>
        <v>292620.7356366567</v>
      </c>
      <c r="O812">
        <f t="shared" si="212"/>
        <v>-746628.06406300259</v>
      </c>
      <c r="P812">
        <f t="shared" si="213"/>
        <v>381.10985962926895</v>
      </c>
      <c r="Q812">
        <f t="shared" si="214"/>
        <v>-2443.5244975275646</v>
      </c>
      <c r="R812">
        <f t="shared" si="200"/>
        <v>-2.6506070736844007</v>
      </c>
      <c r="S812">
        <f t="shared" si="201"/>
        <v>7.1789200229938084</v>
      </c>
      <c r="T812">
        <f t="shared" si="202"/>
        <v>799541.62629982503</v>
      </c>
      <c r="U812">
        <f t="shared" si="203"/>
        <v>818668.2793889913</v>
      </c>
      <c r="V812">
        <f t="shared" si="204"/>
        <v>789846.64739776019</v>
      </c>
      <c r="W812">
        <f t="shared" si="205"/>
        <v>-2.2321160303208574</v>
      </c>
      <c r="X812">
        <f t="shared" si="206"/>
        <v>-0.10231492910890788</v>
      </c>
      <c r="Y812">
        <f t="shared" si="207"/>
        <v>-0.31617611425463565</v>
      </c>
      <c r="Z812">
        <f t="shared" si="208"/>
        <v>6.1540478449522364</v>
      </c>
      <c r="AA812">
        <f t="shared" si="209"/>
        <v>0.24763023661485817</v>
      </c>
      <c r="AB812">
        <f t="shared" si="210"/>
        <v>0.77724194142671377</v>
      </c>
    </row>
    <row r="813" spans="12:28" x14ac:dyDescent="0.25">
      <c r="L813">
        <v>809</v>
      </c>
      <c r="M813">
        <f t="shared" si="215"/>
        <v>404.5</v>
      </c>
      <c r="N813">
        <f t="shared" si="211"/>
        <v>292810.95924058714</v>
      </c>
      <c r="O813">
        <f t="shared" si="212"/>
        <v>-747848.92894676351</v>
      </c>
      <c r="P813">
        <f t="shared" si="213"/>
        <v>379.78455609242673</v>
      </c>
      <c r="Q813">
        <f t="shared" si="214"/>
        <v>-2439.9350375160675</v>
      </c>
      <c r="R813">
        <f t="shared" si="200"/>
        <v>-2.6404133234608</v>
      </c>
      <c r="S813">
        <f t="shared" si="201"/>
        <v>7.1580361833062298</v>
      </c>
      <c r="T813">
        <f t="shared" si="202"/>
        <v>800754.22527643165</v>
      </c>
      <c r="U813">
        <f t="shared" si="203"/>
        <v>819869.31600516243</v>
      </c>
      <c r="V813">
        <f t="shared" si="204"/>
        <v>791049.25263994606</v>
      </c>
      <c r="W813">
        <f t="shared" si="205"/>
        <v>-2.223547683958925</v>
      </c>
      <c r="X813">
        <f t="shared" si="206"/>
        <v>-0.10192795645330331</v>
      </c>
      <c r="Y813">
        <f t="shared" si="207"/>
        <v>-0.31493768304857189</v>
      </c>
      <c r="Z813">
        <f t="shared" si="208"/>
        <v>6.1361006060400465</v>
      </c>
      <c r="AA813">
        <f t="shared" si="209"/>
        <v>0.24694145248426969</v>
      </c>
      <c r="AB813">
        <f t="shared" si="210"/>
        <v>0.77499412478191443</v>
      </c>
    </row>
    <row r="814" spans="12:28" x14ac:dyDescent="0.25">
      <c r="L814">
        <v>810</v>
      </c>
      <c r="M814">
        <f t="shared" si="215"/>
        <v>405</v>
      </c>
      <c r="N814">
        <f t="shared" si="211"/>
        <v>293000.52146696794</v>
      </c>
      <c r="O814">
        <f t="shared" si="212"/>
        <v>-749068.00171099859</v>
      </c>
      <c r="P814">
        <f t="shared" si="213"/>
        <v>378.4643494306963</v>
      </c>
      <c r="Q814">
        <f t="shared" si="214"/>
        <v>-2436.3560194244142</v>
      </c>
      <c r="R814">
        <f t="shared" si="200"/>
        <v>-2.6302873508779943</v>
      </c>
      <c r="S814">
        <f t="shared" si="201"/>
        <v>7.1372751715794074</v>
      </c>
      <c r="T814">
        <f t="shared" si="202"/>
        <v>801964.98422665254</v>
      </c>
      <c r="U814">
        <f t="shared" si="203"/>
        <v>821068.54626159102</v>
      </c>
      <c r="V814">
        <f t="shared" si="204"/>
        <v>792250.05012973235</v>
      </c>
      <c r="W814">
        <f t="shared" si="205"/>
        <v>-2.2150362322685133</v>
      </c>
      <c r="X814">
        <f t="shared" si="206"/>
        <v>-0.10154351900116078</v>
      </c>
      <c r="Y814">
        <f t="shared" si="207"/>
        <v>-0.31370759960832018</v>
      </c>
      <c r="Z814">
        <f t="shared" si="208"/>
        <v>6.1182591755095803</v>
      </c>
      <c r="AA814">
        <f t="shared" si="209"/>
        <v>0.24625657393049513</v>
      </c>
      <c r="AB814">
        <f t="shared" si="210"/>
        <v>0.77275942213933169</v>
      </c>
    </row>
    <row r="815" spans="12:28" x14ac:dyDescent="0.25">
      <c r="L815">
        <v>811</v>
      </c>
      <c r="M815">
        <f t="shared" si="215"/>
        <v>405.5</v>
      </c>
      <c r="N815">
        <f t="shared" si="211"/>
        <v>293189.42485576443</v>
      </c>
      <c r="O815">
        <f t="shared" si="212"/>
        <v>-750285.28756131441</v>
      </c>
      <c r="P815">
        <f t="shared" si="213"/>
        <v>377.1492057552573</v>
      </c>
      <c r="Q815">
        <f t="shared" si="214"/>
        <v>-2432.7873818386242</v>
      </c>
      <c r="R815">
        <f t="shared" si="200"/>
        <v>-2.6202285265257546</v>
      </c>
      <c r="S815">
        <f t="shared" si="201"/>
        <v>7.1166359515885489</v>
      </c>
      <c r="T815">
        <f t="shared" si="202"/>
        <v>803173.90860236529</v>
      </c>
      <c r="U815">
        <f t="shared" si="203"/>
        <v>822265.97541408404</v>
      </c>
      <c r="V815">
        <f t="shared" si="204"/>
        <v>793449.0451188006</v>
      </c>
      <c r="W815">
        <f t="shared" si="205"/>
        <v>-2.2065811473153345</v>
      </c>
      <c r="X815">
        <f t="shared" si="206"/>
        <v>-0.1011615935823032</v>
      </c>
      <c r="Y815">
        <f t="shared" si="207"/>
        <v>-0.31248578562811713</v>
      </c>
      <c r="Z815">
        <f t="shared" si="208"/>
        <v>6.1005226584350778</v>
      </c>
      <c r="AA815">
        <f t="shared" si="209"/>
        <v>0.24557556916969003</v>
      </c>
      <c r="AB815">
        <f t="shared" si="210"/>
        <v>0.77053772398378095</v>
      </c>
    </row>
    <row r="816" spans="12:28" x14ac:dyDescent="0.25">
      <c r="L816">
        <v>812</v>
      </c>
      <c r="M816">
        <f t="shared" si="215"/>
        <v>406</v>
      </c>
      <c r="N816">
        <f t="shared" si="211"/>
        <v>293377.67193007621</v>
      </c>
      <c r="O816">
        <f t="shared" si="212"/>
        <v>-751500.79167273978</v>
      </c>
      <c r="P816">
        <f t="shared" si="213"/>
        <v>375.8390914919944</v>
      </c>
      <c r="Q816">
        <f t="shared" si="214"/>
        <v>-2429.2290638628301</v>
      </c>
      <c r="R816">
        <f t="shared" si="200"/>
        <v>-2.6102362284802139</v>
      </c>
      <c r="S816">
        <f t="shared" si="201"/>
        <v>7.0961174985275992</v>
      </c>
      <c r="T816">
        <f t="shared" si="202"/>
        <v>804381.00382305798</v>
      </c>
      <c r="U816">
        <f t="shared" si="203"/>
        <v>823461.60868769337</v>
      </c>
      <c r="V816">
        <f t="shared" si="204"/>
        <v>794646.24282820628</v>
      </c>
      <c r="W816">
        <f t="shared" si="205"/>
        <v>-2.1981819074417834</v>
      </c>
      <c r="X816">
        <f t="shared" si="206"/>
        <v>-0.10078215729765451</v>
      </c>
      <c r="Y816">
        <f t="shared" si="207"/>
        <v>-0.31127216374077571</v>
      </c>
      <c r="Z816">
        <f t="shared" si="208"/>
        <v>6.0828901697785369</v>
      </c>
      <c r="AA816">
        <f t="shared" si="209"/>
        <v>0.24489840675622457</v>
      </c>
      <c r="AB816">
        <f t="shared" si="210"/>
        <v>0.76832892199283753</v>
      </c>
    </row>
    <row r="817" spans="12:28" x14ac:dyDescent="0.25">
      <c r="L817">
        <v>813</v>
      </c>
      <c r="M817">
        <f t="shared" si="215"/>
        <v>406.5</v>
      </c>
      <c r="N817">
        <f t="shared" si="211"/>
        <v>293565.26519629365</v>
      </c>
      <c r="O817">
        <f t="shared" si="212"/>
        <v>-752714.51918998396</v>
      </c>
      <c r="P817">
        <f t="shared" si="213"/>
        <v>374.53397337775431</v>
      </c>
      <c r="Q817">
        <f t="shared" si="214"/>
        <v>-2425.6810051135662</v>
      </c>
      <c r="R817">
        <f t="shared" si="200"/>
        <v>-2.6003098421955779</v>
      </c>
      <c r="S817">
        <f t="shared" si="201"/>
        <v>7.0757187988545649</v>
      </c>
      <c r="T817">
        <f t="shared" si="202"/>
        <v>805586.2752761041</v>
      </c>
      <c r="U817">
        <f t="shared" si="203"/>
        <v>824655.4512769744</v>
      </c>
      <c r="V817">
        <f t="shared" si="204"/>
        <v>795841.64844863606</v>
      </c>
      <c r="W817">
        <f t="shared" si="205"/>
        <v>-2.1898379971761641</v>
      </c>
      <c r="X817">
        <f t="shared" si="206"/>
        <v>-0.10040518751537515</v>
      </c>
      <c r="Y817">
        <f t="shared" si="207"/>
        <v>-0.31006665750403883</v>
      </c>
      <c r="Z817">
        <f t="shared" si="208"/>
        <v>6.0653608342554124</v>
      </c>
      <c r="AA817">
        <f t="shared" si="209"/>
        <v>0.24422505557823734</v>
      </c>
      <c r="AB817">
        <f t="shared" si="210"/>
        <v>0.76613290902091513</v>
      </c>
    </row>
    <row r="818" spans="12:28" x14ac:dyDescent="0.25">
      <c r="L818">
        <v>814</v>
      </c>
      <c r="M818">
        <f t="shared" si="215"/>
        <v>407</v>
      </c>
      <c r="N818">
        <f t="shared" si="211"/>
        <v>293752.20714425226</v>
      </c>
      <c r="O818">
        <f t="shared" si="212"/>
        <v>-753926.47522769088</v>
      </c>
      <c r="P818">
        <f t="shared" si="213"/>
        <v>373.23381845665654</v>
      </c>
      <c r="Q818">
        <f t="shared" si="214"/>
        <v>-2422.1431457141389</v>
      </c>
      <c r="R818">
        <f t="shared" si="200"/>
        <v>-2.5904487603974933</v>
      </c>
      <c r="S818">
        <f t="shared" si="201"/>
        <v>7.0554388501387404</v>
      </c>
      <c r="T818">
        <f t="shared" si="202"/>
        <v>806789.72831703583</v>
      </c>
      <c r="U818">
        <f t="shared" si="203"/>
        <v>825847.50834624039</v>
      </c>
      <c r="V818">
        <f t="shared" si="204"/>
        <v>797035.26714065892</v>
      </c>
      <c r="W818">
        <f t="shared" si="205"/>
        <v>-2.1815489071433012</v>
      </c>
      <c r="X818">
        <f t="shared" si="206"/>
        <v>-0.10003066186707135</v>
      </c>
      <c r="Y818">
        <f t="shared" si="207"/>
        <v>-0.30886919138712071</v>
      </c>
      <c r="Z818">
        <f t="shared" si="208"/>
        <v>6.0479337862019813</v>
      </c>
      <c r="AA818">
        <f t="shared" si="209"/>
        <v>0.24355548485327905</v>
      </c>
      <c r="AB818">
        <f t="shared" si="210"/>
        <v>0.76394957908348016</v>
      </c>
    </row>
    <row r="819" spans="12:28" x14ac:dyDescent="0.25">
      <c r="L819">
        <v>815</v>
      </c>
      <c r="M819">
        <f t="shared" si="215"/>
        <v>407.5</v>
      </c>
      <c r="N819">
        <f t="shared" si="211"/>
        <v>293938.50024738553</v>
      </c>
      <c r="O819">
        <f t="shared" si="212"/>
        <v>-755136.66487069172</v>
      </c>
      <c r="P819">
        <f t="shared" si="213"/>
        <v>371.93859407645778</v>
      </c>
      <c r="Q819">
        <f t="shared" si="214"/>
        <v>-2418.6154262890695</v>
      </c>
      <c r="R819">
        <f t="shared" si="200"/>
        <v>-2.5806523829784163</v>
      </c>
      <c r="S819">
        <f t="shared" si="201"/>
        <v>7.0352766609109718</v>
      </c>
      <c r="T819">
        <f t="shared" si="202"/>
        <v>807991.36826981336</v>
      </c>
      <c r="U819">
        <f t="shared" si="203"/>
        <v>827037.78502981516</v>
      </c>
      <c r="V819">
        <f t="shared" si="204"/>
        <v>798227.1040349775</v>
      </c>
      <c r="W819">
        <f t="shared" si="205"/>
        <v>-2.1733141339768354</v>
      </c>
      <c r="X819">
        <f t="shared" si="206"/>
        <v>-9.96585582440596E-2</v>
      </c>
      <c r="Y819">
        <f t="shared" si="207"/>
        <v>-0.30767969075752133</v>
      </c>
      <c r="Z819">
        <f t="shared" si="208"/>
        <v>6.0306081694453404</v>
      </c>
      <c r="AA819">
        <f t="shared" si="209"/>
        <v>0.24288966412400503</v>
      </c>
      <c r="AB819">
        <f t="shared" si="210"/>
        <v>0.76177882734162572</v>
      </c>
    </row>
    <row r="820" spans="12:28" x14ac:dyDescent="0.25">
      <c r="L820">
        <v>816</v>
      </c>
      <c r="M820">
        <f t="shared" si="215"/>
        <v>408</v>
      </c>
      <c r="N820">
        <f t="shared" si="211"/>
        <v>294124.14696287585</v>
      </c>
      <c r="O820">
        <f t="shared" si="212"/>
        <v>-756345.09317425371</v>
      </c>
      <c r="P820">
        <f t="shared" si="213"/>
        <v>370.64826788496856</v>
      </c>
      <c r="Q820">
        <f t="shared" si="214"/>
        <v>-2415.0977879586139</v>
      </c>
      <c r="R820">
        <f t="shared" si="200"/>
        <v>-2.5709201168945719</v>
      </c>
      <c r="S820">
        <f t="shared" si="201"/>
        <v>7.0152312505157566</v>
      </c>
      <c r="T820">
        <f t="shared" si="202"/>
        <v>809191.20042709156</v>
      </c>
      <c r="U820">
        <f t="shared" si="203"/>
        <v>828226.286432283</v>
      </c>
      <c r="V820">
        <f t="shared" si="204"/>
        <v>799417.16423267464</v>
      </c>
      <c r="W820">
        <f t="shared" si="205"/>
        <v>-2.165133180232838</v>
      </c>
      <c r="X820">
        <f t="shared" si="206"/>
        <v>-9.9288854793700407E-2</v>
      </c>
      <c r="Y820">
        <f t="shared" si="207"/>
        <v>-0.30649808186803373</v>
      </c>
      <c r="Z820">
        <f t="shared" si="208"/>
        <v>6.013383137174996</v>
      </c>
      <c r="AA820">
        <f t="shared" si="209"/>
        <v>0.24222756325395065</v>
      </c>
      <c r="AB820">
        <f t="shared" si="210"/>
        <v>0.75962055008680995</v>
      </c>
    </row>
    <row r="821" spans="12:28" x14ac:dyDescent="0.25">
      <c r="L821">
        <v>817</v>
      </c>
      <c r="M821">
        <f t="shared" si="215"/>
        <v>408.5</v>
      </c>
      <c r="N821">
        <f t="shared" si="211"/>
        <v>294309.14973180374</v>
      </c>
      <c r="O821">
        <f t="shared" si="212"/>
        <v>-757551.76516432664</v>
      </c>
      <c r="P821">
        <f t="shared" si="213"/>
        <v>369.36280782652125</v>
      </c>
      <c r="Q821">
        <f t="shared" si="214"/>
        <v>-2411.5901723333559</v>
      </c>
      <c r="R821">
        <f t="shared" si="200"/>
        <v>-2.5612513760647788</v>
      </c>
      <c r="S821">
        <f t="shared" si="201"/>
        <v>6.9953016489661008</v>
      </c>
      <c r="T821">
        <f t="shared" si="202"/>
        <v>810389.23005048349</v>
      </c>
      <c r="U821">
        <f t="shared" si="203"/>
        <v>829413.01762873423</v>
      </c>
      <c r="V821">
        <f t="shared" si="204"/>
        <v>800605.4528054581</v>
      </c>
      <c r="W821">
        <f t="shared" si="205"/>
        <v>-2.1570055543050053</v>
      </c>
      <c r="X821">
        <f t="shared" si="206"/>
        <v>-9.8921529915790701E-2</v>
      </c>
      <c r="Y821">
        <f t="shared" si="207"/>
        <v>-0.30532429184398285</v>
      </c>
      <c r="Z821">
        <f t="shared" si="208"/>
        <v>5.9962578518168739</v>
      </c>
      <c r="AA821">
        <f t="shared" si="209"/>
        <v>0.24156915242336677</v>
      </c>
      <c r="AB821">
        <f t="shared" si="210"/>
        <v>0.75747464472586079</v>
      </c>
    </row>
    <row r="822" spans="12:28" x14ac:dyDescent="0.25">
      <c r="L822">
        <v>818</v>
      </c>
      <c r="M822">
        <f t="shared" si="215"/>
        <v>409</v>
      </c>
      <c r="N822">
        <f t="shared" si="211"/>
        <v>294493.51097929495</v>
      </c>
      <c r="O822">
        <f t="shared" si="212"/>
        <v>-758756.68583778723</v>
      </c>
      <c r="P822">
        <f t="shared" si="213"/>
        <v>368.08218213848886</v>
      </c>
      <c r="Q822">
        <f t="shared" si="214"/>
        <v>-2408.0925215088728</v>
      </c>
      <c r="R822">
        <f t="shared" si="200"/>
        <v>-2.5516455812709604</v>
      </c>
      <c r="S822">
        <f t="shared" si="201"/>
        <v>6.9754868968006019</v>
      </c>
      <c r="T822">
        <f t="shared" si="202"/>
        <v>811585.46237082186</v>
      </c>
      <c r="U822">
        <f t="shared" si="203"/>
        <v>830597.98366501124</v>
      </c>
      <c r="V822">
        <f t="shared" si="204"/>
        <v>801791.97479590308</v>
      </c>
      <c r="W822">
        <f t="shared" si="205"/>
        <v>-2.1489307703412588</v>
      </c>
      <c r="X822">
        <f t="shared" si="206"/>
        <v>-9.8556562259011105E-2</v>
      </c>
      <c r="Y822">
        <f t="shared" si="207"/>
        <v>-0.30415824867069047</v>
      </c>
      <c r="Z822">
        <f t="shared" si="208"/>
        <v>5.9792314849092492</v>
      </c>
      <c r="AA822">
        <f t="shared" si="209"/>
        <v>0.24091440212510798</v>
      </c>
      <c r="AB822">
        <f t="shared" si="210"/>
        <v>0.75534100976624385</v>
      </c>
    </row>
    <row r="823" spans="12:28" x14ac:dyDescent="0.25">
      <c r="L823">
        <v>819</v>
      </c>
      <c r="M823">
        <f t="shared" si="215"/>
        <v>409.5</v>
      </c>
      <c r="N823">
        <f t="shared" si="211"/>
        <v>294677.23311466654</v>
      </c>
      <c r="O823">
        <f t="shared" si="212"/>
        <v>-759959.86016267957</v>
      </c>
      <c r="P823">
        <f t="shared" si="213"/>
        <v>366.8063593478534</v>
      </c>
      <c r="Q823">
        <f t="shared" si="214"/>
        <v>-2404.6047780604727</v>
      </c>
      <c r="R823">
        <f t="shared" si="200"/>
        <v>-2.5421021600602818</v>
      </c>
      <c r="S823">
        <f t="shared" si="201"/>
        <v>6.9557860449426636</v>
      </c>
      <c r="T823">
        <f t="shared" si="202"/>
        <v>812779.90258841612</v>
      </c>
      <c r="U823">
        <f t="shared" si="203"/>
        <v>831781.18955794815</v>
      </c>
      <c r="V823">
        <f t="shared" si="204"/>
        <v>802976.7352176907</v>
      </c>
      <c r="W823">
        <f t="shared" si="205"/>
        <v>-2.1409083481616977</v>
      </c>
      <c r="X823">
        <f t="shared" si="206"/>
        <v>-9.8193930717441535E-2</v>
      </c>
      <c r="Y823">
        <f t="shared" si="207"/>
        <v>-0.30299988118114241</v>
      </c>
      <c r="Z823">
        <f t="shared" si="208"/>
        <v>5.9623032169805237</v>
      </c>
      <c r="AA823">
        <f t="shared" si="209"/>
        <v>0.24026328316060594</v>
      </c>
      <c r="AB823">
        <f t="shared" si="210"/>
        <v>0.7532195448015343</v>
      </c>
    </row>
    <row r="824" spans="12:28" x14ac:dyDescent="0.25">
      <c r="L824">
        <v>820</v>
      </c>
      <c r="M824">
        <f t="shared" si="215"/>
        <v>410</v>
      </c>
      <c r="N824">
        <f t="shared" si="211"/>
        <v>294860.31853157049</v>
      </c>
      <c r="O824">
        <f t="shared" si="212"/>
        <v>-761161.29307845421</v>
      </c>
      <c r="P824">
        <f t="shared" si="213"/>
        <v>365.53530826782327</v>
      </c>
      <c r="Q824">
        <f t="shared" si="214"/>
        <v>-2401.1268850380015</v>
      </c>
      <c r="R824">
        <f t="shared" si="200"/>
        <v>-2.5326205466489586</v>
      </c>
      <c r="S824">
        <f t="shared" si="201"/>
        <v>6.936198154562077</v>
      </c>
      <c r="T824">
        <f t="shared" si="202"/>
        <v>813972.55587330798</v>
      </c>
      <c r="U824">
        <f t="shared" si="203"/>
        <v>832962.64029561111</v>
      </c>
      <c r="V824">
        <f t="shared" si="204"/>
        <v>804159.73905584565</v>
      </c>
      <c r="W824">
        <f t="shared" si="205"/>
        <v>-2.1329378131779846</v>
      </c>
      <c r="X824">
        <f t="shared" si="206"/>
        <v>-9.7833614427122947E-2</v>
      </c>
      <c r="Y824">
        <f t="shared" si="207"/>
        <v>-0.30184911904385114</v>
      </c>
      <c r="Z824">
        <f t="shared" si="208"/>
        <v>5.9454722374291125</v>
      </c>
      <c r="AA824">
        <f t="shared" si="209"/>
        <v>0.23961576663587808</v>
      </c>
      <c r="AB824">
        <f t="shared" si="210"/>
        <v>0.75111015049708663</v>
      </c>
    </row>
    <row r="825" spans="12:28" x14ac:dyDescent="0.25">
      <c r="L825">
        <v>821</v>
      </c>
      <c r="M825">
        <f t="shared" si="215"/>
        <v>410.5</v>
      </c>
      <c r="N825">
        <f t="shared" si="211"/>
        <v>295042.76960813603</v>
      </c>
      <c r="O825">
        <f t="shared" si="212"/>
        <v>-762360.98949620395</v>
      </c>
      <c r="P825">
        <f t="shared" si="213"/>
        <v>364.26899799449876</v>
      </c>
      <c r="Q825">
        <f t="shared" si="214"/>
        <v>-2397.6587859607207</v>
      </c>
      <c r="R825">
        <f t="shared" si="200"/>
        <v>-2.5232001818277165</v>
      </c>
      <c r="S825">
        <f t="shared" si="201"/>
        <v>6.9167222969388416</v>
      </c>
      <c r="T825">
        <f t="shared" si="202"/>
        <v>815163.42736552376</v>
      </c>
      <c r="U825">
        <f t="shared" si="203"/>
        <v>834142.34083753382</v>
      </c>
      <c r="V825">
        <f t="shared" si="204"/>
        <v>805340.99126697017</v>
      </c>
      <c r="W825">
        <f t="shared" si="205"/>
        <v>-2.125018696314076</v>
      </c>
      <c r="X825">
        <f t="shared" si="206"/>
        <v>-9.7475592762687996E-2</v>
      </c>
      <c r="Y825">
        <f t="shared" si="207"/>
        <v>-0.30070589275095233</v>
      </c>
      <c r="Z825">
        <f t="shared" si="208"/>
        <v>5.9287377444052112</v>
      </c>
      <c r="AA825">
        <f t="shared" si="209"/>
        <v>0.23897182395762695</v>
      </c>
      <c r="AB825">
        <f t="shared" si="210"/>
        <v>0.74901272857600332</v>
      </c>
    </row>
    <row r="826" spans="12:28" x14ac:dyDescent="0.25">
      <c r="L826">
        <v>822</v>
      </c>
      <c r="M826">
        <f t="shared" si="215"/>
        <v>411</v>
      </c>
      <c r="N826">
        <f t="shared" si="211"/>
        <v>295224.58870711055</v>
      </c>
      <c r="O826">
        <f t="shared" si="212"/>
        <v>-763558.95429889718</v>
      </c>
      <c r="P826">
        <f t="shared" si="213"/>
        <v>363.00739790358489</v>
      </c>
      <c r="Q826">
        <f t="shared" si="214"/>
        <v>-2394.2004248122512</v>
      </c>
      <c r="R826">
        <f t="shared" si="200"/>
        <v>-2.5138405128687453</v>
      </c>
      <c r="S826">
        <f t="shared" si="201"/>
        <v>6.8973575533289422</v>
      </c>
      <c r="T826">
        <f t="shared" si="202"/>
        <v>816352.5221753238</v>
      </c>
      <c r="U826">
        <f t="shared" si="203"/>
        <v>835320.29611495149</v>
      </c>
      <c r="V826">
        <f t="shared" si="204"/>
        <v>806520.49677947559</v>
      </c>
      <c r="W826">
        <f t="shared" si="205"/>
        <v>-2.1171505339282319</v>
      </c>
      <c r="X826">
        <f t="shared" si="206"/>
        <v>-9.7119845334037808E-2</v>
      </c>
      <c r="Y826">
        <f t="shared" si="207"/>
        <v>-0.29957013360647589</v>
      </c>
      <c r="Z826">
        <f t="shared" si="208"/>
        <v>5.9120989446943089</v>
      </c>
      <c r="AA826">
        <f t="shared" si="209"/>
        <v>0.23833142682937614</v>
      </c>
      <c r="AB826">
        <f t="shared" si="210"/>
        <v>0.74692718180525719</v>
      </c>
    </row>
    <row r="827" spans="12:28" x14ac:dyDescent="0.25">
      <c r="L827">
        <v>823</v>
      </c>
      <c r="M827">
        <f t="shared" si="215"/>
        <v>411.5</v>
      </c>
      <c r="N827">
        <f t="shared" si="211"/>
        <v>295405.77817599825</v>
      </c>
      <c r="O827">
        <f t="shared" si="212"/>
        <v>-764755.19234160916</v>
      </c>
      <c r="P827">
        <f t="shared" si="213"/>
        <v>361.75047764715049</v>
      </c>
      <c r="Q827">
        <f t="shared" si="214"/>
        <v>-2390.7517460355866</v>
      </c>
      <c r="R827">
        <f t="shared" si="200"/>
        <v>-2.5045409934343024</v>
      </c>
      <c r="S827">
        <f t="shared" si="201"/>
        <v>6.8781030148325097</v>
      </c>
      <c r="T827">
        <f t="shared" si="202"/>
        <v>817539.84538344969</v>
      </c>
      <c r="U827">
        <f t="shared" si="203"/>
        <v>836496.51103103277</v>
      </c>
      <c r="V827">
        <f t="shared" si="204"/>
        <v>807698.26049381238</v>
      </c>
      <c r="W827">
        <f t="shared" si="205"/>
        <v>-2.1093328677364056</v>
      </c>
      <c r="X827">
        <f t="shared" si="206"/>
        <v>-9.6766351983074164E-2</v>
      </c>
      <c r="Y827">
        <f t="shared" si="207"/>
        <v>-0.29844177371482244</v>
      </c>
      <c r="Z827">
        <f t="shared" si="208"/>
        <v>5.8955550536027879</v>
      </c>
      <c r="AA827">
        <f t="shared" si="209"/>
        <v>0.2376945472476685</v>
      </c>
      <c r="AB827">
        <f t="shared" si="210"/>
        <v>0.74485341398205318</v>
      </c>
    </row>
    <row r="828" spans="12:28" x14ac:dyDescent="0.25">
      <c r="L828">
        <v>824</v>
      </c>
      <c r="M828">
        <f t="shared" si="215"/>
        <v>412</v>
      </c>
      <c r="N828">
        <f t="shared" si="211"/>
        <v>295586.34034719766</v>
      </c>
      <c r="O828">
        <f t="shared" si="212"/>
        <v>-765949.70845175011</v>
      </c>
      <c r="P828">
        <f t="shared" si="213"/>
        <v>360.49820715043336</v>
      </c>
      <c r="Q828">
        <f t="shared" si="214"/>
        <v>-2387.3126945281701</v>
      </c>
      <c r="R828">
        <f t="shared" si="200"/>
        <v>-2.4953010834866789</v>
      </c>
      <c r="S828">
        <f t="shared" si="201"/>
        <v>6.8589577822636167</v>
      </c>
      <c r="T828">
        <f t="shared" si="202"/>
        <v>818725.40204136819</v>
      </c>
      <c r="U828">
        <f t="shared" si="203"/>
        <v>837670.99046110769</v>
      </c>
      <c r="V828">
        <f t="shared" si="204"/>
        <v>808874.28728269623</v>
      </c>
      <c r="W828">
        <f t="shared" si="205"/>
        <v>-2.1015652447367548</v>
      </c>
      <c r="X828">
        <f t="shared" si="206"/>
        <v>-9.641509278049043E-2</v>
      </c>
      <c r="Y828">
        <f t="shared" si="207"/>
        <v>-0.29732074596943375</v>
      </c>
      <c r="Z828">
        <f t="shared" si="208"/>
        <v>5.8791052948448757</v>
      </c>
      <c r="AA828">
        <f t="shared" si="209"/>
        <v>0.23706115749833437</v>
      </c>
      <c r="AB828">
        <f t="shared" si="210"/>
        <v>0.7427913299204072</v>
      </c>
    </row>
    <row r="829" spans="12:28" x14ac:dyDescent="0.25">
      <c r="L829">
        <v>825</v>
      </c>
      <c r="M829">
        <f t="shared" si="215"/>
        <v>412.5</v>
      </c>
      <c r="N829">
        <f t="shared" si="211"/>
        <v>295766.27753813739</v>
      </c>
      <c r="O829">
        <f t="shared" si="212"/>
        <v>-767142.50742929138</v>
      </c>
      <c r="P829">
        <f t="shared" si="213"/>
        <v>359.25055660869003</v>
      </c>
      <c r="Q829">
        <f t="shared" si="214"/>
        <v>-2383.8832156370381</v>
      </c>
      <c r="R829">
        <f t="shared" si="200"/>
        <v>-2.4861202491998879</v>
      </c>
      <c r="S829">
        <f t="shared" si="201"/>
        <v>6.8399209660227562</v>
      </c>
      <c r="T829">
        <f t="shared" si="202"/>
        <v>819909.19717151264</v>
      </c>
      <c r="U829">
        <f t="shared" si="203"/>
        <v>838843.73925289453</v>
      </c>
      <c r="V829">
        <f t="shared" si="204"/>
        <v>810048.58199133305</v>
      </c>
      <c r="W829">
        <f t="shared" si="205"/>
        <v>-2.0938472171356319</v>
      </c>
      <c r="X829">
        <f t="shared" si="206"/>
        <v>-9.6066048022610179E-2</v>
      </c>
      <c r="Y829">
        <f t="shared" si="207"/>
        <v>-0.29620698404164564</v>
      </c>
      <c r="Z829">
        <f t="shared" si="208"/>
        <v>5.8627489004320363</v>
      </c>
      <c r="AA829">
        <f t="shared" si="209"/>
        <v>0.2364312301528054</v>
      </c>
      <c r="AB829">
        <f t="shared" si="210"/>
        <v>0.74074083543791425</v>
      </c>
    </row>
    <row r="830" spans="12:28" x14ac:dyDescent="0.25">
      <c r="L830">
        <v>826</v>
      </c>
      <c r="M830">
        <f t="shared" si="215"/>
        <v>413</v>
      </c>
      <c r="N830">
        <f t="shared" si="211"/>
        <v>295945.59205141058</v>
      </c>
      <c r="O830">
        <f t="shared" si="212"/>
        <v>-768333.59404698911</v>
      </c>
      <c r="P830">
        <f t="shared" si="213"/>
        <v>358.0074964840901</v>
      </c>
      <c r="Q830">
        <f t="shared" si="214"/>
        <v>-2380.4632551540267</v>
      </c>
      <c r="R830">
        <f t="shared" si="200"/>
        <v>-2.4769979628725514</v>
      </c>
      <c r="S830">
        <f t="shared" si="201"/>
        <v>6.8209916859705748</v>
      </c>
      <c r="T830">
        <f t="shared" si="202"/>
        <v>821091.23576752224</v>
      </c>
      <c r="U830">
        <f t="shared" si="203"/>
        <v>840014.76222672395</v>
      </c>
      <c r="V830">
        <f t="shared" si="204"/>
        <v>811221.14943764126</v>
      </c>
      <c r="W830">
        <f t="shared" si="205"/>
        <v>-2.0861783422745406</v>
      </c>
      <c r="X830">
        <f t="shared" si="206"/>
        <v>-9.5719198228277666E-2</v>
      </c>
      <c r="Y830">
        <f t="shared" si="207"/>
        <v>-0.29510042236973288</v>
      </c>
      <c r="Z830">
        <f t="shared" si="208"/>
        <v>5.8464851105633509</v>
      </c>
      <c r="AA830">
        <f t="shared" si="209"/>
        <v>0.23580473806448513</v>
      </c>
      <c r="AB830">
        <f t="shared" si="210"/>
        <v>0.73870183734273909</v>
      </c>
    </row>
    <row r="831" spans="12:28" x14ac:dyDescent="0.25">
      <c r="L831">
        <v>827</v>
      </c>
      <c r="M831">
        <f t="shared" si="215"/>
        <v>413.5</v>
      </c>
      <c r="N831">
        <f t="shared" si="211"/>
        <v>296124.28617490729</v>
      </c>
      <c r="O831">
        <f t="shared" si="212"/>
        <v>-769522.97305060539</v>
      </c>
      <c r="P831">
        <f t="shared" si="213"/>
        <v>356.7689975026538</v>
      </c>
      <c r="Q831">
        <f t="shared" si="214"/>
        <v>-2377.0527593110414</v>
      </c>
      <c r="R831">
        <f t="shared" si="200"/>
        <v>-2.4679337028424935</v>
      </c>
      <c r="S831">
        <f t="shared" si="201"/>
        <v>6.8021690713043528</v>
      </c>
      <c r="T831">
        <f t="shared" si="202"/>
        <v>822271.52279447869</v>
      </c>
      <c r="U831">
        <f t="shared" si="203"/>
        <v>841184.06417576026</v>
      </c>
      <c r="V831">
        <f t="shared" si="204"/>
        <v>812391.99441247084</v>
      </c>
      <c r="W831">
        <f t="shared" si="205"/>
        <v>-2.0785581825585631</v>
      </c>
      <c r="X831">
        <f t="shared" si="206"/>
        <v>-9.5374524135799069E-2</v>
      </c>
      <c r="Y831">
        <f t="shared" si="207"/>
        <v>-0.29400099614813119</v>
      </c>
      <c r="Z831">
        <f t="shared" si="208"/>
        <v>5.8303131735183804</v>
      </c>
      <c r="AA831">
        <f t="shared" si="209"/>
        <v>0.23518165436517527</v>
      </c>
      <c r="AB831">
        <f t="shared" si="210"/>
        <v>0.73667424342079735</v>
      </c>
    </row>
    <row r="832" spans="12:28" x14ac:dyDescent="0.25">
      <c r="L832">
        <v>828</v>
      </c>
      <c r="M832">
        <f t="shared" si="215"/>
        <v>414</v>
      </c>
      <c r="N832">
        <f t="shared" si="211"/>
        <v>296302.36218194576</v>
      </c>
      <c r="O832">
        <f t="shared" si="212"/>
        <v>-770710.64915912692</v>
      </c>
      <c r="P832">
        <f t="shared" si="213"/>
        <v>355.53503065123255</v>
      </c>
      <c r="Q832">
        <f t="shared" si="214"/>
        <v>-2373.6516747753894</v>
      </c>
      <c r="R832">
        <f t="shared" si="200"/>
        <v>-2.45892695340246</v>
      </c>
      <c r="S832">
        <f t="shared" si="201"/>
        <v>6.7834522604356096</v>
      </c>
      <c r="T832">
        <f t="shared" si="202"/>
        <v>823450.06318913912</v>
      </c>
      <c r="U832">
        <f t="shared" si="203"/>
        <v>842351.64986622077</v>
      </c>
      <c r="V832">
        <f t="shared" si="204"/>
        <v>813561.12167982152</v>
      </c>
      <c r="W832">
        <f t="shared" si="205"/>
        <v>-2.070986305385683</v>
      </c>
      <c r="X832">
        <f t="shared" si="206"/>
        <v>-9.503200669993718E-2</v>
      </c>
      <c r="Y832">
        <f t="shared" si="207"/>
        <v>-0.29290864131683991</v>
      </c>
      <c r="Z832">
        <f t="shared" si="208"/>
        <v>5.8142323455509048</v>
      </c>
      <c r="AA832">
        <f t="shared" si="209"/>
        <v>0.23456195246156555</v>
      </c>
      <c r="AB832">
        <f t="shared" si="210"/>
        <v>0.73465796242313908</v>
      </c>
    </row>
    <row r="833" spans="12:28" x14ac:dyDescent="0.25">
      <c r="L833">
        <v>829</v>
      </c>
      <c r="M833">
        <f t="shared" si="215"/>
        <v>414.5</v>
      </c>
      <c r="N833">
        <f t="shared" si="211"/>
        <v>296479.82233140222</v>
      </c>
      <c r="O833">
        <f t="shared" si="212"/>
        <v>-771896.62706498208</v>
      </c>
      <c r="P833">
        <f t="shared" si="213"/>
        <v>354.30556717453129</v>
      </c>
      <c r="Q833">
        <f t="shared" si="214"/>
        <v>-2370.2599486451718</v>
      </c>
      <c r="R833">
        <f t="shared" si="200"/>
        <v>-2.4499772047174333</v>
      </c>
      <c r="S833">
        <f t="shared" si="201"/>
        <v>6.764840400870197</v>
      </c>
      <c r="T833">
        <f t="shared" si="202"/>
        <v>824626.86186016852</v>
      </c>
      <c r="U833">
        <f t="shared" si="203"/>
        <v>843517.52403759316</v>
      </c>
      <c r="V833">
        <f t="shared" si="204"/>
        <v>814728.53597705811</v>
      </c>
      <c r="W833">
        <f t="shared" si="205"/>
        <v>-2.0634622830774911</v>
      </c>
      <c r="X833">
        <f t="shared" si="206"/>
        <v>-9.4691627088946476E-2</v>
      </c>
      <c r="Y833">
        <f t="shared" si="207"/>
        <v>-0.29182329455099559</v>
      </c>
      <c r="Z833">
        <f t="shared" si="208"/>
        <v>5.7982418907849267</v>
      </c>
      <c r="AA833">
        <f t="shared" si="209"/>
        <v>0.23394560603175593</v>
      </c>
      <c r="AB833">
        <f t="shared" si="210"/>
        <v>0.73265290405351413</v>
      </c>
    </row>
    <row r="834" spans="12:28" x14ac:dyDescent="0.25">
      <c r="L834">
        <v>830</v>
      </c>
      <c r="M834">
        <f t="shared" si="215"/>
        <v>415</v>
      </c>
      <c r="N834">
        <f t="shared" si="211"/>
        <v>296656.66886783892</v>
      </c>
      <c r="O834">
        <f t="shared" si="212"/>
        <v>-773080.91143425461</v>
      </c>
      <c r="P834">
        <f t="shared" si="213"/>
        <v>353.08057857217256</v>
      </c>
      <c r="Q834">
        <f t="shared" si="214"/>
        <v>-2366.8775284447365</v>
      </c>
      <c r="R834">
        <f t="shared" si="200"/>
        <v>-2.4410839527432651</v>
      </c>
      <c r="S834">
        <f t="shared" si="201"/>
        <v>6.7463326490901752</v>
      </c>
      <c r="T834">
        <f t="shared" si="202"/>
        <v>825801.92368836817</v>
      </c>
      <c r="U834">
        <f t="shared" si="203"/>
        <v>844681.69140284974</v>
      </c>
      <c r="V834">
        <f t="shared" si="204"/>
        <v>815894.24201512244</v>
      </c>
      <c r="W834">
        <f t="shared" si="205"/>
        <v>-2.0559856928109852</v>
      </c>
      <c r="X834">
        <f t="shared" si="206"/>
        <v>-9.4353366681663345E-2</v>
      </c>
      <c r="Y834">
        <f t="shared" si="207"/>
        <v>-0.29074489325061664</v>
      </c>
      <c r="Z834">
        <f t="shared" si="208"/>
        <v>5.7823410811121958</v>
      </c>
      <c r="AA834">
        <f t="shared" si="209"/>
        <v>0.23333258902184956</v>
      </c>
      <c r="AB834">
        <f t="shared" si="210"/>
        <v>0.73065897895612975</v>
      </c>
    </row>
    <row r="835" spans="12:28" x14ac:dyDescent="0.25">
      <c r="L835">
        <v>831</v>
      </c>
      <c r="M835">
        <f t="shared" si="215"/>
        <v>415.5</v>
      </c>
      <c r="N835">
        <f t="shared" si="211"/>
        <v>296832.90402163088</v>
      </c>
      <c r="O835">
        <f t="shared" si="212"/>
        <v>-774263.50690689578</v>
      </c>
      <c r="P835">
        <f t="shared" si="213"/>
        <v>351.86003659580092</v>
      </c>
      <c r="Q835">
        <f t="shared" si="214"/>
        <v>-2363.5043621201912</v>
      </c>
      <c r="R835">
        <f t="shared" si="200"/>
        <v>-2.4322466991464635</v>
      </c>
      <c r="S835">
        <f t="shared" si="201"/>
        <v>6.7279281704370026</v>
      </c>
      <c r="T835">
        <f t="shared" si="202"/>
        <v>826975.25352690148</v>
      </c>
      <c r="U835">
        <f t="shared" si="203"/>
        <v>845844.15664865985</v>
      </c>
      <c r="V835">
        <f t="shared" si="204"/>
        <v>817058.24447874504</v>
      </c>
      <c r="W835">
        <f t="shared" si="205"/>
        <v>-2.048556116551298</v>
      </c>
      <c r="X835">
        <f t="shared" si="206"/>
        <v>-9.4017207064638814E-2</v>
      </c>
      <c r="Y835">
        <f t="shared" si="207"/>
        <v>-0.2896733755305268</v>
      </c>
      <c r="Z835">
        <f t="shared" si="208"/>
        <v>5.7665291960907972</v>
      </c>
      <c r="AA835">
        <f t="shared" si="209"/>
        <v>0.23272287564258604</v>
      </c>
      <c r="AB835">
        <f t="shared" si="210"/>
        <v>0.72867609870361927</v>
      </c>
    </row>
    <row r="836" spans="12:28" x14ac:dyDescent="0.25">
      <c r="L836">
        <v>832</v>
      </c>
      <c r="M836">
        <f t="shared" si="215"/>
        <v>416</v>
      </c>
      <c r="N836">
        <f t="shared" si="211"/>
        <v>297008.53000909142</v>
      </c>
      <c r="O836">
        <f t="shared" si="212"/>
        <v>-775444.41809693468</v>
      </c>
      <c r="P836">
        <f t="shared" si="213"/>
        <v>350.64391324622767</v>
      </c>
      <c r="Q836">
        <f t="shared" si="214"/>
        <v>-2360.1403980349728</v>
      </c>
      <c r="R836">
        <f t="shared" si="200"/>
        <v>-2.4234649512255682</v>
      </c>
      <c r="S836">
        <f t="shared" si="201"/>
        <v>6.7096261389973177</v>
      </c>
      <c r="T836">
        <f t="shared" si="202"/>
        <v>828146.85620151984</v>
      </c>
      <c r="U836">
        <f t="shared" si="203"/>
        <v>847004.92443560052</v>
      </c>
      <c r="V836">
        <f t="shared" si="204"/>
        <v>818220.54802665394</v>
      </c>
      <c r="W836">
        <f t="shared" si="205"/>
        <v>-2.04117314098582</v>
      </c>
      <c r="X836">
        <f t="shared" si="206"/>
        <v>-9.3683130029319286E-2</v>
      </c>
      <c r="Y836">
        <f t="shared" si="207"/>
        <v>-0.28860868021042896</v>
      </c>
      <c r="Z836">
        <f t="shared" si="208"/>
        <v>5.7508055228461297</v>
      </c>
      <c r="AA836">
        <f t="shared" si="209"/>
        <v>0.23211644036603019</v>
      </c>
      <c r="AB836">
        <f t="shared" si="210"/>
        <v>0.726704175785158</v>
      </c>
    </row>
    <row r="837" spans="12:28" x14ac:dyDescent="0.25">
      <c r="L837">
        <v>833</v>
      </c>
      <c r="M837">
        <f t="shared" si="215"/>
        <v>416.5</v>
      </c>
      <c r="N837">
        <f t="shared" si="211"/>
        <v>297183.54903259565</v>
      </c>
      <c r="O837">
        <f t="shared" si="212"/>
        <v>-776623.64959268481</v>
      </c>
      <c r="P837">
        <f t="shared" si="213"/>
        <v>349.43218077061488</v>
      </c>
      <c r="Q837">
        <f t="shared" si="214"/>
        <v>-2356.7855849654743</v>
      </c>
      <c r="R837">
        <f t="shared" ref="R837:R900" si="216">SUM(W837:Y837)</f>
        <v>-2.4147382218335607</v>
      </c>
      <c r="S837">
        <f t="shared" ref="S837:S900" si="217">SUM(Z837:AB837)</f>
        <v>6.6914257374898103</v>
      </c>
      <c r="T837">
        <f t="shared" ref="T837:T900" si="218">SQRT(($D$18-N837)^2 + ($E$18 - O837) ^2)</f>
        <v>829316.7365107818</v>
      </c>
      <c r="U837">
        <f t="shared" ref="U837:U900" si="219">SQRT(($D$26-N837)^2 + ($E$26- O837) ^2)</f>
        <v>848163.99939836399</v>
      </c>
      <c r="V837">
        <f t="shared" ref="V837:V900" si="220">SQRT(($D$34-N837)^2 + ($E$34 - O837) ^2)</f>
        <v>819381.15729177953</v>
      </c>
      <c r="W837">
        <f t="shared" ref="W837:W900" si="221">$D$22*(($D$18-N837)/(T837^2+($D$23^2))^(3/2))</f>
        <v>-2.0338363574591409</v>
      </c>
      <c r="X837">
        <f t="shared" ref="X837:X900" si="222">$D$30*(($D$26-N837)/(U837^2+($D$31^2))^(3/2))</f>
        <v>-9.3351117569271169E-2</v>
      </c>
      <c r="Y837">
        <f t="shared" ref="Y837:Y900" si="223">$D$38*(($D$34-N837)/(V837^2+($D$39^2))^(3/2))</f>
        <v>-0.28755074680514831</v>
      </c>
      <c r="Z837">
        <f t="shared" ref="Z837:Z900" si="224">$D$22*(($E$18-O837)/(T837^2+($D$23^2))^(3/2))</f>
        <v>5.7351693559727259</v>
      </c>
      <c r="AA837">
        <f t="shared" ref="AA837:AA900" si="225">$D$30*(($E$26-O837)/(U837^2+($D$31^2))^(3/2))</f>
        <v>0.23151325792230659</v>
      </c>
      <c r="AB837">
        <f t="shared" ref="AB837:AB900" si="226">$D$38*(($E$34-O837)/(V837^2+($D$39^2))^(3/2))</f>
        <v>0.72474312359477788</v>
      </c>
    </row>
    <row r="838" spans="12:28" x14ac:dyDescent="0.25">
      <c r="L838">
        <v>834</v>
      </c>
      <c r="M838">
        <f t="shared" si="215"/>
        <v>417</v>
      </c>
      <c r="N838">
        <f t="shared" ref="N838:N901" si="227">(N837)+(P837)*(M838-M837)+((1/2*(R837))*((M838-M837)^2))</f>
        <v>297357.96328070323</v>
      </c>
      <c r="O838">
        <f t="shared" ref="O838:O901" si="228">(O837)+(Q837)*(M838-M837)+((1/2*(S837))*((M838-M837)^2))</f>
        <v>-777801.20595695032</v>
      </c>
      <c r="P838">
        <f t="shared" ref="P838:P901" si="229">P837+(R837*(M838-M837))</f>
        <v>348.2248116596981</v>
      </c>
      <c r="Q838">
        <f t="shared" ref="Q838:Q901" si="230">Q837+(S837*(M838-M837))</f>
        <v>-2353.4398720967292</v>
      </c>
      <c r="R838">
        <f t="shared" si="216"/>
        <v>-2.4060660293016589</v>
      </c>
      <c r="S838">
        <f t="shared" si="217"/>
        <v>6.6733261571541735</v>
      </c>
      <c r="T838">
        <f t="shared" si="218"/>
        <v>830484.89922627481</v>
      </c>
      <c r="U838">
        <f t="shared" si="219"/>
        <v>849321.3861459638</v>
      </c>
      <c r="V838">
        <f t="shared" si="220"/>
        <v>820540.07688146026</v>
      </c>
      <c r="W838">
        <f t="shared" si="221"/>
        <v>-2.0265453619091716</v>
      </c>
      <c r="X838">
        <f t="shared" si="222"/>
        <v>-9.3021151877451982E-2</v>
      </c>
      <c r="Y838">
        <f t="shared" si="223"/>
        <v>-0.28649951551503516</v>
      </c>
      <c r="Z838">
        <f t="shared" si="224"/>
        <v>5.719619997437924</v>
      </c>
      <c r="AA838">
        <f t="shared" si="225"/>
        <v>0.23091330329638898</v>
      </c>
      <c r="AB838">
        <f t="shared" si="226"/>
        <v>0.72279285641986057</v>
      </c>
    </row>
    <row r="839" spans="12:28" x14ac:dyDescent="0.25">
      <c r="L839">
        <v>835</v>
      </c>
      <c r="M839">
        <f t="shared" si="215"/>
        <v>417.5</v>
      </c>
      <c r="N839">
        <f t="shared" si="227"/>
        <v>297531.7749282794</v>
      </c>
      <c r="O839">
        <f t="shared" si="228"/>
        <v>-778977.09172722907</v>
      </c>
      <c r="P839">
        <f t="shared" si="229"/>
        <v>347.02177864504728</v>
      </c>
      <c r="Q839">
        <f t="shared" si="230"/>
        <v>-2350.103209018152</v>
      </c>
      <c r="R839">
        <f t="shared" si="216"/>
        <v>-2.3974478973643341</v>
      </c>
      <c r="S839">
        <f t="shared" si="217"/>
        <v>6.6553265976417304</v>
      </c>
      <c r="T839">
        <f t="shared" si="218"/>
        <v>831651.34909283067</v>
      </c>
      <c r="U839">
        <f t="shared" si="219"/>
        <v>850477.08926193893</v>
      </c>
      <c r="V839">
        <f t="shared" si="220"/>
        <v>821697.31137764477</v>
      </c>
      <c r="W839">
        <f t="shared" si="221"/>
        <v>-2.0192997548042944</v>
      </c>
      <c r="X839">
        <f t="shared" si="222"/>
        <v>-9.2693215343517571E-2</v>
      </c>
      <c r="Y839">
        <f t="shared" si="223"/>
        <v>-0.28545492721652233</v>
      </c>
      <c r="Z839">
        <f t="shared" si="224"/>
        <v>5.704156756487011</v>
      </c>
      <c r="AA839">
        <f t="shared" si="225"/>
        <v>0.23031655172491858</v>
      </c>
      <c r="AB839">
        <f t="shared" si="226"/>
        <v>0.72085328942980142</v>
      </c>
    </row>
    <row r="840" spans="12:28" x14ac:dyDescent="0.25">
      <c r="L840">
        <v>836</v>
      </c>
      <c r="M840">
        <f t="shared" si="215"/>
        <v>418</v>
      </c>
      <c r="N840">
        <f t="shared" si="227"/>
        <v>297704.98613661469</v>
      </c>
      <c r="O840">
        <f t="shared" si="228"/>
        <v>-780151.31141591351</v>
      </c>
      <c r="P840">
        <f t="shared" si="229"/>
        <v>345.82305469636509</v>
      </c>
      <c r="Q840">
        <f t="shared" si="230"/>
        <v>-2346.7755457193311</v>
      </c>
      <c r="R840">
        <f t="shared" si="216"/>
        <v>-2.3888833550854258</v>
      </c>
      <c r="S840">
        <f t="shared" si="217"/>
        <v>6.6374262669074096</v>
      </c>
      <c r="T840">
        <f t="shared" si="218"/>
        <v>832816.0908287412</v>
      </c>
      <c r="U840">
        <f t="shared" si="219"/>
        <v>851631.11330455425</v>
      </c>
      <c r="V840">
        <f t="shared" si="220"/>
        <v>822852.8653370908</v>
      </c>
      <c r="W840">
        <f t="shared" si="221"/>
        <v>-2.0120991410814164</v>
      </c>
      <c r="X840">
        <f t="shared" si="222"/>
        <v>-9.2367290551186504E-2</v>
      </c>
      <c r="Y840">
        <f t="shared" si="223"/>
        <v>-0.28441692345282282</v>
      </c>
      <c r="Z840">
        <f t="shared" si="224"/>
        <v>5.6887789495494925</v>
      </c>
      <c r="AA840">
        <f t="shared" si="225"/>
        <v>0.22972297869310493</v>
      </c>
      <c r="AB840">
        <f t="shared" si="226"/>
        <v>0.71892433866481231</v>
      </c>
    </row>
    <row r="841" spans="12:28" x14ac:dyDescent="0.25">
      <c r="L841">
        <v>837</v>
      </c>
      <c r="M841">
        <f t="shared" si="215"/>
        <v>418.5</v>
      </c>
      <c r="N841">
        <f t="shared" si="227"/>
        <v>297877.59905354347</v>
      </c>
      <c r="O841">
        <f t="shared" si="228"/>
        <v>-781323.86951048987</v>
      </c>
      <c r="P841">
        <f t="shared" si="229"/>
        <v>344.62861301882236</v>
      </c>
      <c r="Q841">
        <f t="shared" si="230"/>
        <v>-2343.4568325858772</v>
      </c>
      <c r="R841">
        <f t="shared" si="216"/>
        <v>-2.3803719367856213</v>
      </c>
      <c r="S841">
        <f t="shared" si="217"/>
        <v>6.6196243811038666</v>
      </c>
      <c r="T841">
        <f t="shared" si="218"/>
        <v>833979.1291259703</v>
      </c>
      <c r="U841">
        <f t="shared" si="219"/>
        <v>852783.46280700131</v>
      </c>
      <c r="V841">
        <f t="shared" si="220"/>
        <v>824006.74329156394</v>
      </c>
      <c r="W841">
        <f t="shared" si="221"/>
        <v>-2.0049431300851803</v>
      </c>
      <c r="X841">
        <f t="shared" si="222"/>
        <v>-9.2043360275628108E-2</v>
      </c>
      <c r="Y841">
        <f t="shared" si="223"/>
        <v>-0.28338544642481278</v>
      </c>
      <c r="Z841">
        <f t="shared" si="224"/>
        <v>5.6734859001472602</v>
      </c>
      <c r="AA841">
        <f t="shared" si="225"/>
        <v>0.22913255993162829</v>
      </c>
      <c r="AB841">
        <f t="shared" si="226"/>
        <v>0.71700592102497873</v>
      </c>
    </row>
    <row r="842" spans="12:28" x14ac:dyDescent="0.25">
      <c r="L842">
        <v>838</v>
      </c>
      <c r="M842">
        <f t="shared" si="215"/>
        <v>419</v>
      </c>
      <c r="N842">
        <f t="shared" si="227"/>
        <v>298049.61581356078</v>
      </c>
      <c r="O842">
        <f t="shared" si="228"/>
        <v>-782494.77047373517</v>
      </c>
      <c r="P842">
        <f t="shared" si="229"/>
        <v>343.43842705042954</v>
      </c>
      <c r="Q842">
        <f t="shared" si="230"/>
        <v>-2340.1470203953254</v>
      </c>
      <c r="R842">
        <f t="shared" si="216"/>
        <v>-2.3719131819709776</v>
      </c>
      <c r="S842">
        <f t="shared" si="217"/>
        <v>6.6019201644768799</v>
      </c>
      <c r="T842">
        <f t="shared" si="218"/>
        <v>835140.46865036397</v>
      </c>
      <c r="U842">
        <f t="shared" si="219"/>
        <v>853934.14227759489</v>
      </c>
      <c r="V842">
        <f t="shared" si="220"/>
        <v>825158.94974803389</v>
      </c>
      <c r="W842">
        <f t="shared" si="221"/>
        <v>-1.9978313355080515</v>
      </c>
      <c r="X842">
        <f t="shared" si="222"/>
        <v>-9.1721407480907582E-2</v>
      </c>
      <c r="Y842">
        <f t="shared" si="223"/>
        <v>-0.28236043898201829</v>
      </c>
      <c r="Z842">
        <f t="shared" si="224"/>
        <v>5.6582769388038772</v>
      </c>
      <c r="AA842">
        <f t="shared" si="225"/>
        <v>0.22854527141362621</v>
      </c>
      <c r="AB842">
        <f t="shared" si="226"/>
        <v>0.71509795425937628</v>
      </c>
    </row>
    <row r="843" spans="12:28" x14ac:dyDescent="0.25">
      <c r="L843">
        <v>839</v>
      </c>
      <c r="M843">
        <f t="shared" si="215"/>
        <v>419.5</v>
      </c>
      <c r="N843">
        <f t="shared" si="227"/>
        <v>298221.03853793826</v>
      </c>
      <c r="O843">
        <f t="shared" si="228"/>
        <v>-783664.01874391234</v>
      </c>
      <c r="P843">
        <f t="shared" si="229"/>
        <v>342.25247045944405</v>
      </c>
      <c r="Q843">
        <f t="shared" si="230"/>
        <v>-2336.846060313087</v>
      </c>
      <c r="R843">
        <f t="shared" si="216"/>
        <v>-2.3635066352626013</v>
      </c>
      <c r="S843">
        <f t="shared" si="217"/>
        <v>6.5843128492623553</v>
      </c>
      <c r="T843">
        <f t="shared" si="218"/>
        <v>836300.1140418594</v>
      </c>
      <c r="U843">
        <f t="shared" si="219"/>
        <v>855083.15619996935</v>
      </c>
      <c r="V843">
        <f t="shared" si="220"/>
        <v>826309.48918886774</v>
      </c>
      <c r="W843">
        <f t="shared" si="221"/>
        <v>-1.9907633753313667</v>
      </c>
      <c r="X843">
        <f t="shared" si="222"/>
        <v>-9.1401415317460516E-2</v>
      </c>
      <c r="Y843">
        <f t="shared" si="223"/>
        <v>-0.28134184461377404</v>
      </c>
      <c r="Z843">
        <f t="shared" si="224"/>
        <v>5.643151402955243</v>
      </c>
      <c r="AA843">
        <f t="shared" si="225"/>
        <v>0.22796108935169807</v>
      </c>
      <c r="AB843">
        <f t="shared" si="226"/>
        <v>0.71320035695541395</v>
      </c>
    </row>
    <row r="844" spans="12:28" x14ac:dyDescent="0.25">
      <c r="L844">
        <v>840</v>
      </c>
      <c r="M844">
        <f t="shared" si="215"/>
        <v>420</v>
      </c>
      <c r="N844">
        <f t="shared" si="227"/>
        <v>298391.86933483859</v>
      </c>
      <c r="O844">
        <f t="shared" si="228"/>
        <v>-784831.61873496266</v>
      </c>
      <c r="P844">
        <f t="shared" si="229"/>
        <v>341.07071714181274</v>
      </c>
      <c r="Q844">
        <f t="shared" si="230"/>
        <v>-2333.5539038884558</v>
      </c>
      <c r="R844">
        <f t="shared" si="216"/>
        <v>-2.3551518463275012</v>
      </c>
      <c r="S844">
        <f t="shared" si="217"/>
        <v>6.5668016755850314</v>
      </c>
      <c r="T844">
        <f t="shared" si="218"/>
        <v>837458.06991468975</v>
      </c>
      <c r="U844">
        <f t="shared" si="219"/>
        <v>856230.50903327076</v>
      </c>
      <c r="V844">
        <f t="shared" si="220"/>
        <v>827458.36607202224</v>
      </c>
      <c r="W844">
        <f t="shared" si="221"/>
        <v>-1.9837388717673654</v>
      </c>
      <c r="X844">
        <f t="shared" si="222"/>
        <v>-9.1083367119612804E-2</v>
      </c>
      <c r="Y844">
        <f t="shared" si="223"/>
        <v>-0.28032960744052293</v>
      </c>
      <c r="Z844">
        <f t="shared" si="224"/>
        <v>5.6281086368617288</v>
      </c>
      <c r="AA844">
        <f t="shared" si="225"/>
        <v>0.22737999019496669</v>
      </c>
      <c r="AB844">
        <f t="shared" si="226"/>
        <v>0.71131304852833532</v>
      </c>
    </row>
    <row r="845" spans="12:28" x14ac:dyDescent="0.25">
      <c r="L845">
        <v>841</v>
      </c>
      <c r="M845">
        <f t="shared" si="215"/>
        <v>420.5</v>
      </c>
      <c r="N845">
        <f t="shared" si="227"/>
        <v>298562.11029942869</v>
      </c>
      <c r="O845">
        <f t="shared" si="228"/>
        <v>-785997.57483669743</v>
      </c>
      <c r="P845">
        <f t="shared" si="229"/>
        <v>339.89314121864896</v>
      </c>
      <c r="Q845">
        <f t="shared" si="230"/>
        <v>-2330.2705030506631</v>
      </c>
      <c r="R845">
        <f t="shared" si="216"/>
        <v>-2.3468483698104654</v>
      </c>
      <c r="S845">
        <f t="shared" si="217"/>
        <v>6.549385891358499</v>
      </c>
      <c r="T845">
        <f t="shared" si="218"/>
        <v>838614.34085758857</v>
      </c>
      <c r="U845">
        <f t="shared" si="219"/>
        <v>857376.20521234965</v>
      </c>
      <c r="V845">
        <f t="shared" si="220"/>
        <v>828605.58483123407</v>
      </c>
      <c r="W845">
        <f t="shared" si="221"/>
        <v>-1.9767574512020911</v>
      </c>
      <c r="X845">
        <f t="shared" si="222"/>
        <v>-9.0767246403138352E-2</v>
      </c>
      <c r="Y845">
        <f t="shared" si="223"/>
        <v>-0.2793236722052363</v>
      </c>
      <c r="Z845">
        <f t="shared" si="224"/>
        <v>5.6131479915214877</v>
      </c>
      <c r="AA845">
        <f t="shared" si="225"/>
        <v>0.22680195062618105</v>
      </c>
      <c r="AB845">
        <f t="shared" si="226"/>
        <v>0.70943594921082997</v>
      </c>
    </row>
    <row r="846" spans="12:28" x14ac:dyDescent="0.25">
      <c r="L846">
        <v>842</v>
      </c>
      <c r="M846">
        <f t="shared" si="215"/>
        <v>421</v>
      </c>
      <c r="N846">
        <f t="shared" si="227"/>
        <v>298731.76351399178</v>
      </c>
      <c r="O846">
        <f t="shared" si="228"/>
        <v>-787161.89141498634</v>
      </c>
      <c r="P846">
        <f t="shared" si="229"/>
        <v>338.71971703374373</v>
      </c>
      <c r="Q846">
        <f t="shared" si="230"/>
        <v>-2326.9958101049838</v>
      </c>
      <c r="R846">
        <f t="shared" si="216"/>
        <v>-2.3385957652670992</v>
      </c>
      <c r="S846">
        <f t="shared" si="217"/>
        <v>6.5320647521869395</v>
      </c>
      <c r="T846">
        <f t="shared" si="218"/>
        <v>839768.93143399176</v>
      </c>
      <c r="U846">
        <f t="shared" si="219"/>
        <v>858520.24914794974</v>
      </c>
      <c r="V846">
        <f t="shared" si="220"/>
        <v>829751.14987620758</v>
      </c>
      <c r="W846">
        <f t="shared" si="221"/>
        <v>-1.9698187441392501</v>
      </c>
      <c r="X846">
        <f t="shared" si="222"/>
        <v>-9.0453036862853636E-2</v>
      </c>
      <c r="Y846">
        <f t="shared" si="223"/>
        <v>-0.27832398426499572</v>
      </c>
      <c r="Z846">
        <f t="shared" si="224"/>
        <v>5.5982688245852241</v>
      </c>
      <c r="AA846">
        <f t="shared" si="225"/>
        <v>0.22622694755885719</v>
      </c>
      <c r="AB846">
        <f t="shared" si="226"/>
        <v>0.70756898004285884</v>
      </c>
    </row>
    <row r="847" spans="12:28" x14ac:dyDescent="0.25">
      <c r="L847">
        <v>843</v>
      </c>
      <c r="M847">
        <f t="shared" si="215"/>
        <v>421.5</v>
      </c>
      <c r="N847">
        <f t="shared" si="227"/>
        <v>298900.83104803803</v>
      </c>
      <c r="O847">
        <f t="shared" si="228"/>
        <v>-788324.57281194488</v>
      </c>
      <c r="P847">
        <f t="shared" si="229"/>
        <v>337.55041915111019</v>
      </c>
      <c r="Q847">
        <f t="shared" si="230"/>
        <v>-2323.7297777288904</v>
      </c>
      <c r="R847">
        <f t="shared" si="216"/>
        <v>-2.3303935970978822</v>
      </c>
      <c r="S847">
        <f t="shared" si="217"/>
        <v>6.5148375212682259</v>
      </c>
      <c r="T847">
        <f t="shared" si="218"/>
        <v>840921.84618223656</v>
      </c>
      <c r="U847">
        <f t="shared" si="219"/>
        <v>859662.64522689569</v>
      </c>
      <c r="V847">
        <f t="shared" si="220"/>
        <v>830895.06559280097</v>
      </c>
      <c r="W847">
        <f t="shared" si="221"/>
        <v>-1.9629223851449467</v>
      </c>
      <c r="X847">
        <f t="shared" si="222"/>
        <v>-9.0140722370248921E-2</v>
      </c>
      <c r="Y847">
        <f t="shared" si="223"/>
        <v>-0.2773304895826863</v>
      </c>
      <c r="Z847">
        <f t="shared" si="224"/>
        <v>5.5834705002721909</v>
      </c>
      <c r="AA847">
        <f t="shared" si="225"/>
        <v>0.22565495813445866</v>
      </c>
      <c r="AB847">
        <f t="shared" si="226"/>
        <v>0.70571206286157673</v>
      </c>
    </row>
    <row r="848" spans="12:28" x14ac:dyDescent="0.25">
      <c r="L848">
        <v>844</v>
      </c>
      <c r="M848">
        <f t="shared" si="215"/>
        <v>422</v>
      </c>
      <c r="N848">
        <f t="shared" si="227"/>
        <v>299069.31495841395</v>
      </c>
      <c r="O848">
        <f t="shared" si="228"/>
        <v>-789485.62334611919</v>
      </c>
      <c r="P848">
        <f t="shared" si="229"/>
        <v>336.38522235256124</v>
      </c>
      <c r="Q848">
        <f t="shared" si="230"/>
        <v>-2320.4723589682562</v>
      </c>
      <c r="R848">
        <f t="shared" si="216"/>
        <v>-2.3222414344832676</v>
      </c>
      <c r="S848">
        <f t="shared" si="217"/>
        <v>6.4977034692984654</v>
      </c>
      <c r="T848">
        <f t="shared" si="218"/>
        <v>842073.08961575886</v>
      </c>
      <c r="U848">
        <f t="shared" si="219"/>
        <v>860803.39781227882</v>
      </c>
      <c r="V848">
        <f t="shared" si="220"/>
        <v>832037.33634321124</v>
      </c>
      <c r="W848">
        <f t="shared" si="221"/>
        <v>-1.9560680127932619</v>
      </c>
      <c r="X848">
        <f t="shared" si="222"/>
        <v>-8.9830286971162784E-2</v>
      </c>
      <c r="Y848">
        <f t="shared" si="223"/>
        <v>-0.27634313471884292</v>
      </c>
      <c r="Z848">
        <f t="shared" si="224"/>
        <v>5.5687523892873783</v>
      </c>
      <c r="AA848">
        <f t="shared" si="225"/>
        <v>0.22508595971963419</v>
      </c>
      <c r="AB848">
        <f t="shared" si="226"/>
        <v>0.70386512029145276</v>
      </c>
    </row>
    <row r="849" spans="12:28" x14ac:dyDescent="0.25">
      <c r="L849">
        <v>845</v>
      </c>
      <c r="M849">
        <f t="shared" ref="M849:M912" si="231">L849*$D$5</f>
        <v>422.5</v>
      </c>
      <c r="N849">
        <f t="shared" si="227"/>
        <v>299237.21728941094</v>
      </c>
      <c r="O849">
        <f t="shared" si="228"/>
        <v>-790645.04731266969</v>
      </c>
      <c r="P849">
        <f t="shared" si="229"/>
        <v>335.22410163531958</v>
      </c>
      <c r="Q849">
        <f t="shared" si="230"/>
        <v>-2317.2235072336071</v>
      </c>
      <c r="R849">
        <f t="shared" si="216"/>
        <v>-2.3141388513197789</v>
      </c>
      <c r="S849">
        <f t="shared" si="217"/>
        <v>6.4806618743778772</v>
      </c>
      <c r="T849">
        <f t="shared" si="218"/>
        <v>843222.66622329014</v>
      </c>
      <c r="U849">
        <f t="shared" si="219"/>
        <v>861942.51124364068</v>
      </c>
      <c r="V849">
        <f t="shared" si="220"/>
        <v>833177.96646615537</v>
      </c>
      <c r="W849">
        <f t="shared" si="221"/>
        <v>-1.9492552696126866</v>
      </c>
      <c r="X849">
        <f t="shared" si="222"/>
        <v>-8.9521714883482401E-2</v>
      </c>
      <c r="Y849">
        <f t="shared" si="223"/>
        <v>-0.27536186682361008</v>
      </c>
      <c r="Z849">
        <f t="shared" si="224"/>
        <v>5.5541138687399085</v>
      </c>
      <c r="AA849">
        <f t="shared" si="225"/>
        <v>0.22451992990346914</v>
      </c>
      <c r="AB849">
        <f t="shared" si="226"/>
        <v>0.70202807573449977</v>
      </c>
    </row>
    <row r="850" spans="12:28" x14ac:dyDescent="0.25">
      <c r="L850">
        <v>846</v>
      </c>
      <c r="M850">
        <f t="shared" si="231"/>
        <v>423</v>
      </c>
      <c r="N850">
        <f t="shared" si="227"/>
        <v>299404.54007287219</v>
      </c>
      <c r="O850">
        <f t="shared" si="228"/>
        <v>-791802.84898355219</v>
      </c>
      <c r="P850">
        <f t="shared" si="229"/>
        <v>334.06703220965971</v>
      </c>
      <c r="Q850">
        <f t="shared" si="230"/>
        <v>-2313.9831762964182</v>
      </c>
      <c r="R850">
        <f t="shared" si="216"/>
        <v>-2.3060854261572348</v>
      </c>
      <c r="S850">
        <f t="shared" si="217"/>
        <v>6.4637120219184645</v>
      </c>
      <c r="T850">
        <f t="shared" si="218"/>
        <v>844370.58046904893</v>
      </c>
      <c r="U850">
        <f t="shared" si="219"/>
        <v>863079.98983715521</v>
      </c>
      <c r="V850">
        <f t="shared" si="220"/>
        <v>834316.96027705213</v>
      </c>
      <c r="W850">
        <f t="shared" si="221"/>
        <v>-1.9424838020335138</v>
      </c>
      <c r="X850">
        <f t="shared" si="222"/>
        <v>-8.921499049488979E-2</v>
      </c>
      <c r="Y850">
        <f t="shared" si="223"/>
        <v>-0.27438663362883137</v>
      </c>
      <c r="Z850">
        <f t="shared" si="224"/>
        <v>5.5395543220630081</v>
      </c>
      <c r="AA850">
        <f t="shared" si="225"/>
        <v>0.2239568464948023</v>
      </c>
      <c r="AB850">
        <f t="shared" si="226"/>
        <v>0.70020085336065363</v>
      </c>
    </row>
    <row r="851" spans="12:28" x14ac:dyDescent="0.25">
      <c r="L851">
        <v>847</v>
      </c>
      <c r="M851">
        <f t="shared" si="231"/>
        <v>423.5</v>
      </c>
      <c r="N851">
        <f t="shared" si="227"/>
        <v>299571.28532829875</v>
      </c>
      <c r="O851">
        <f t="shared" si="228"/>
        <v>-792959.03260769765</v>
      </c>
      <c r="P851">
        <f t="shared" si="229"/>
        <v>332.91398949658111</v>
      </c>
      <c r="Q851">
        <f t="shared" si="230"/>
        <v>-2310.7513202854589</v>
      </c>
      <c r="R851">
        <f t="shared" si="216"/>
        <v>-2.2980807421367975</v>
      </c>
      <c r="S851">
        <f t="shared" si="217"/>
        <v>6.4468532045525446</v>
      </c>
      <c r="T851">
        <f t="shared" si="218"/>
        <v>845516.83679293445</v>
      </c>
      <c r="U851">
        <f t="shared" si="219"/>
        <v>864215.8378858089</v>
      </c>
      <c r="V851">
        <f t="shared" si="220"/>
        <v>835454.32206820068</v>
      </c>
      <c r="W851">
        <f t="shared" si="221"/>
        <v>-1.9357532603358922</v>
      </c>
      <c r="X851">
        <f t="shared" si="222"/>
        <v>-8.8910098360634057E-2</v>
      </c>
      <c r="Y851">
        <f t="shared" si="223"/>
        <v>-0.27341738344027128</v>
      </c>
      <c r="Z851">
        <f t="shared" si="224"/>
        <v>5.5250731389346752</v>
      </c>
      <c r="AA851">
        <f t="shared" si="225"/>
        <v>0.22339668751955954</v>
      </c>
      <c r="AB851">
        <f t="shared" si="226"/>
        <v>0.69838337809830953</v>
      </c>
    </row>
    <row r="852" spans="12:28" x14ac:dyDescent="0.25">
      <c r="L852">
        <v>848</v>
      </c>
      <c r="M852">
        <f t="shared" si="231"/>
        <v>424</v>
      </c>
      <c r="N852">
        <f t="shared" si="227"/>
        <v>299737.45506295422</v>
      </c>
      <c r="O852">
        <f t="shared" si="228"/>
        <v>-794113.60241118982</v>
      </c>
      <c r="P852">
        <f t="shared" si="229"/>
        <v>331.76494912551271</v>
      </c>
      <c r="Q852">
        <f t="shared" si="230"/>
        <v>-2307.5278936831828</v>
      </c>
      <c r="R852">
        <f t="shared" si="216"/>
        <v>-2.2901243869300143</v>
      </c>
      <c r="S852">
        <f t="shared" si="217"/>
        <v>6.4300847220427393</v>
      </c>
      <c r="T852">
        <f t="shared" si="218"/>
        <v>846661.43961071444</v>
      </c>
      <c r="U852">
        <f t="shared" si="219"/>
        <v>865350.05965957826</v>
      </c>
      <c r="V852">
        <f t="shared" si="220"/>
        <v>836590.05610895692</v>
      </c>
      <c r="W852">
        <f t="shared" si="221"/>
        <v>-1.9290632985987215</v>
      </c>
      <c r="X852">
        <f t="shared" si="222"/>
        <v>-8.8607023201345045E-2</v>
      </c>
      <c r="Y852">
        <f t="shared" si="223"/>
        <v>-0.2724540651299478</v>
      </c>
      <c r="Z852">
        <f t="shared" si="224"/>
        <v>5.5106697151996231</v>
      </c>
      <c r="AA852">
        <f t="shared" si="225"/>
        <v>0.22283943121814351</v>
      </c>
      <c r="AB852">
        <f t="shared" si="226"/>
        <v>0.69657557562497252</v>
      </c>
    </row>
    <row r="853" spans="12:28" x14ac:dyDescent="0.25">
      <c r="L853">
        <v>849</v>
      </c>
      <c r="M853">
        <f t="shared" si="231"/>
        <v>424.5</v>
      </c>
      <c r="N853">
        <f t="shared" si="227"/>
        <v>299903.05127196858</v>
      </c>
      <c r="O853">
        <f t="shared" si="228"/>
        <v>-795266.56259744114</v>
      </c>
      <c r="P853">
        <f t="shared" si="229"/>
        <v>330.61988693204773</v>
      </c>
      <c r="Q853">
        <f t="shared" si="230"/>
        <v>-2304.3128513221614</v>
      </c>
      <c r="R853">
        <f t="shared" si="216"/>
        <v>-2.2822159526790302</v>
      </c>
      <c r="S853">
        <f t="shared" si="217"/>
        <v>6.4134058811938885</v>
      </c>
      <c r="T853">
        <f t="shared" si="218"/>
        <v>847804.39331421396</v>
      </c>
      <c r="U853">
        <f t="shared" si="219"/>
        <v>866482.65940560761</v>
      </c>
      <c r="V853">
        <f t="shared" si="220"/>
        <v>837724.16664590931</v>
      </c>
      <c r="W853">
        <f t="shared" si="221"/>
        <v>-1.9224135746495479</v>
      </c>
      <c r="X853">
        <f t="shared" si="222"/>
        <v>-8.830574990087714E-2</v>
      </c>
      <c r="Y853">
        <f t="shared" si="223"/>
        <v>-0.27149662812860492</v>
      </c>
      <c r="Z853">
        <f t="shared" si="224"/>
        <v>5.4963434527929467</v>
      </c>
      <c r="AA853">
        <f t="shared" si="225"/>
        <v>0.22228505604285129</v>
      </c>
      <c r="AB853">
        <f t="shared" si="226"/>
        <v>0.69477737235809001</v>
      </c>
    </row>
    <row r="854" spans="12:28" x14ac:dyDescent="0.25">
      <c r="L854">
        <v>850</v>
      </c>
      <c r="M854">
        <f t="shared" si="231"/>
        <v>425</v>
      </c>
      <c r="N854">
        <f t="shared" si="227"/>
        <v>300068.07593844051</v>
      </c>
      <c r="O854">
        <f t="shared" si="228"/>
        <v>-796417.91734736704</v>
      </c>
      <c r="P854">
        <f t="shared" si="229"/>
        <v>329.47877895570821</v>
      </c>
      <c r="Q854">
        <f t="shared" si="230"/>
        <v>-2301.1061483815643</v>
      </c>
      <c r="R854">
        <f t="shared" si="216"/>
        <v>-2.2743550359374001</v>
      </c>
      <c r="S854">
        <f t="shared" si="217"/>
        <v>6.3968159957653521</v>
      </c>
      <c r="T854">
        <f t="shared" si="218"/>
        <v>848945.7022715006</v>
      </c>
      <c r="U854">
        <f t="shared" si="219"/>
        <v>867613.64134838281</v>
      </c>
      <c r="V854">
        <f t="shared" si="220"/>
        <v>838856.6579030524</v>
      </c>
      <c r="W854">
        <f t="shared" si="221"/>
        <v>-1.9158037500149436</v>
      </c>
      <c r="X854">
        <f t="shared" si="222"/>
        <v>-8.8006263504184987E-2</v>
      </c>
      <c r="Y854">
        <f t="shared" si="223"/>
        <v>-0.27054502241827144</v>
      </c>
      <c r="Z854">
        <f t="shared" si="224"/>
        <v>5.4820937596640862</v>
      </c>
      <c r="AA854">
        <f t="shared" si="225"/>
        <v>0.22173354065532686</v>
      </c>
      <c r="AB854">
        <f t="shared" si="226"/>
        <v>0.69298869544593855</v>
      </c>
    </row>
    <row r="855" spans="12:28" x14ac:dyDescent="0.25">
      <c r="L855">
        <v>851</v>
      </c>
      <c r="M855">
        <f t="shared" si="231"/>
        <v>425.5</v>
      </c>
      <c r="N855">
        <f t="shared" si="227"/>
        <v>300232.53103353892</v>
      </c>
      <c r="O855">
        <f t="shared" si="228"/>
        <v>-797567.67081955832</v>
      </c>
      <c r="P855">
        <f t="shared" si="229"/>
        <v>328.34160143773948</v>
      </c>
      <c r="Q855">
        <f t="shared" si="230"/>
        <v>-2297.9077403836814</v>
      </c>
      <c r="R855">
        <f t="shared" si="216"/>
        <v>-2.2665412376120213</v>
      </c>
      <c r="S855">
        <f t="shared" si="217"/>
        <v>6.3803143863851268</v>
      </c>
      <c r="T855">
        <f t="shared" si="218"/>
        <v>850085.37082706834</v>
      </c>
      <c r="U855">
        <f t="shared" si="219"/>
        <v>868743.00968990417</v>
      </c>
      <c r="V855">
        <f t="shared" si="220"/>
        <v>839987.53408195823</v>
      </c>
      <c r="W855">
        <f t="shared" si="221"/>
        <v>-1.9092334898718128</v>
      </c>
      <c r="X855">
        <f t="shared" si="222"/>
        <v>-8.7708549215234674E-2</v>
      </c>
      <c r="Y855">
        <f t="shared" si="223"/>
        <v>-0.26959919852497383</v>
      </c>
      <c r="Z855">
        <f t="shared" si="224"/>
        <v>5.4679200497023288</v>
      </c>
      <c r="AA855">
        <f t="shared" si="225"/>
        <v>0.22118486392405701</v>
      </c>
      <c r="AB855">
        <f t="shared" si="226"/>
        <v>0.69120947275874089</v>
      </c>
    </row>
    <row r="856" spans="12:28" x14ac:dyDescent="0.25">
      <c r="L856">
        <v>852</v>
      </c>
      <c r="M856">
        <f t="shared" si="231"/>
        <v>426</v>
      </c>
      <c r="N856">
        <f t="shared" si="227"/>
        <v>300396.41851660312</v>
      </c>
      <c r="O856">
        <f t="shared" si="228"/>
        <v>-798715.82715045183</v>
      </c>
      <c r="P856">
        <f t="shared" si="229"/>
        <v>327.20833081893346</v>
      </c>
      <c r="Q856">
        <f t="shared" si="230"/>
        <v>-2294.7175831904888</v>
      </c>
      <c r="R856">
        <f t="shared" si="216"/>
        <v>-2.2587741629059925</v>
      </c>
      <c r="S856">
        <f t="shared" si="217"/>
        <v>6.3639003804653482</v>
      </c>
      <c r="T856">
        <f t="shared" si="218"/>
        <v>851223.40330201981</v>
      </c>
      <c r="U856">
        <f t="shared" si="219"/>
        <v>869870.76860985847</v>
      </c>
      <c r="V856">
        <f t="shared" si="220"/>
        <v>841116.79936194664</v>
      </c>
      <c r="W856">
        <f t="shared" si="221"/>
        <v>-1.9027024629995182</v>
      </c>
      <c r="X856">
        <f t="shared" si="222"/>
        <v>-8.7412592394945948E-2</v>
      </c>
      <c r="Y856">
        <f t="shared" si="223"/>
        <v>-0.26865910751152827</v>
      </c>
      <c r="Z856">
        <f t="shared" si="224"/>
        <v>5.4538217426636253</v>
      </c>
      <c r="AA856">
        <f t="shared" si="225"/>
        <v>0.22063900492190025</v>
      </c>
      <c r="AB856">
        <f t="shared" si="226"/>
        <v>0.68943963287982268</v>
      </c>
    </row>
    <row r="857" spans="12:28" x14ac:dyDescent="0.25">
      <c r="L857">
        <v>853</v>
      </c>
      <c r="M857">
        <f t="shared" si="231"/>
        <v>426.5</v>
      </c>
      <c r="N857">
        <f t="shared" si="227"/>
        <v>300559.74033524224</v>
      </c>
      <c r="O857">
        <f t="shared" si="228"/>
        <v>-799862.39045449952</v>
      </c>
      <c r="P857">
        <f t="shared" si="229"/>
        <v>326.07894373748047</v>
      </c>
      <c r="Q857">
        <f t="shared" si="230"/>
        <v>-2291.535633000256</v>
      </c>
      <c r="R857">
        <f t="shared" si="216"/>
        <v>-2.2510534212622484</v>
      </c>
      <c r="S857">
        <f t="shared" si="217"/>
        <v>6.3475733121186746</v>
      </c>
      <c r="T857">
        <f t="shared" si="218"/>
        <v>852359.80399424618</v>
      </c>
      <c r="U857">
        <f t="shared" si="219"/>
        <v>870996.92226578749</v>
      </c>
      <c r="V857">
        <f t="shared" si="220"/>
        <v>842244.45790025347</v>
      </c>
      <c r="W857">
        <f t="shared" si="221"/>
        <v>-1.8962103417326135</v>
      </c>
      <c r="X857">
        <f t="shared" si="222"/>
        <v>-8.7118378559164628E-2</v>
      </c>
      <c r="Y857">
        <f t="shared" si="223"/>
        <v>-0.26772470097047002</v>
      </c>
      <c r="Z857">
        <f t="shared" si="224"/>
        <v>5.4397982640980658</v>
      </c>
      <c r="AA857">
        <f t="shared" si="225"/>
        <v>0.22009594292364859</v>
      </c>
      <c r="AB857">
        <f t="shared" si="226"/>
        <v>0.68767910509696095</v>
      </c>
    </row>
    <row r="858" spans="12:28" x14ac:dyDescent="0.25">
      <c r="L858">
        <v>854</v>
      </c>
      <c r="M858">
        <f t="shared" si="231"/>
        <v>427</v>
      </c>
      <c r="N858">
        <f t="shared" si="227"/>
        <v>300722.4984254333</v>
      </c>
      <c r="O858">
        <f t="shared" si="228"/>
        <v>-801007.36482433567</v>
      </c>
      <c r="P858">
        <f t="shared" si="229"/>
        <v>324.95341702684937</v>
      </c>
      <c r="Q858">
        <f t="shared" si="230"/>
        <v>-2288.3618463441967</v>
      </c>
      <c r="R858">
        <f t="shared" si="216"/>
        <v>-2.2433786263080662</v>
      </c>
      <c r="S858">
        <f t="shared" si="217"/>
        <v>6.3313325220759253</v>
      </c>
      <c r="T858">
        <f t="shared" si="218"/>
        <v>853494.57717860583</v>
      </c>
      <c r="U858">
        <f t="shared" si="219"/>
        <v>872121.47479325673</v>
      </c>
      <c r="V858">
        <f t="shared" si="220"/>
        <v>843370.51383219776</v>
      </c>
      <c r="W858">
        <f t="shared" si="221"/>
        <v>-1.8897568019143207</v>
      </c>
      <c r="X858">
        <f t="shared" si="222"/>
        <v>-8.6825893376666727E-2</v>
      </c>
      <c r="Y858">
        <f t="shared" si="223"/>
        <v>-0.26679593101707855</v>
      </c>
      <c r="Z858">
        <f t="shared" si="224"/>
        <v>5.4258490452784764</v>
      </c>
      <c r="AA858">
        <f t="shared" si="225"/>
        <v>0.21955565740362543</v>
      </c>
      <c r="AB858">
        <f t="shared" si="226"/>
        <v>0.68592781939382375</v>
      </c>
    </row>
    <row r="859" spans="12:28" x14ac:dyDescent="0.25">
      <c r="L859">
        <v>855</v>
      </c>
      <c r="M859">
        <f t="shared" si="231"/>
        <v>427.5</v>
      </c>
      <c r="N859">
        <f t="shared" si="227"/>
        <v>300884.69471161847</v>
      </c>
      <c r="O859">
        <f t="shared" si="228"/>
        <v>-802150.75433094252</v>
      </c>
      <c r="P859">
        <f t="shared" si="229"/>
        <v>323.83172771369533</v>
      </c>
      <c r="Q859">
        <f t="shared" si="230"/>
        <v>-2285.1961800831587</v>
      </c>
      <c r="R859">
        <f t="shared" si="216"/>
        <v>-2.2357493958005512</v>
      </c>
      <c r="S859">
        <f t="shared" si="217"/>
        <v>6.3151773576052594</v>
      </c>
      <c r="T859">
        <f t="shared" si="218"/>
        <v>854627.72710710054</v>
      </c>
      <c r="U859">
        <f t="shared" si="219"/>
        <v>873244.43030602124</v>
      </c>
      <c r="V859">
        <f t="shared" si="220"/>
        <v>844494.97127134621</v>
      </c>
      <c r="W859">
        <f t="shared" si="221"/>
        <v>-1.8833415228508512</v>
      </c>
      <c r="X859">
        <f t="shared" si="222"/>
        <v>-8.6535122667191822E-2</v>
      </c>
      <c r="Y859">
        <f t="shared" si="223"/>
        <v>-0.26587275028250823</v>
      </c>
      <c r="Z859">
        <f t="shared" si="224"/>
        <v>5.4119735231304205</v>
      </c>
      <c r="AA859">
        <f t="shared" si="225"/>
        <v>0.21901812803331511</v>
      </c>
      <c r="AB859">
        <f t="shared" si="226"/>
        <v>0.68418570644152421</v>
      </c>
    </row>
    <row r="860" spans="12:28" x14ac:dyDescent="0.25">
      <c r="L860">
        <v>856</v>
      </c>
      <c r="M860">
        <f t="shared" si="231"/>
        <v>428</v>
      </c>
      <c r="N860">
        <f t="shared" si="227"/>
        <v>301046.33110680082</v>
      </c>
      <c r="O860">
        <f t="shared" si="228"/>
        <v>-803292.56302381435</v>
      </c>
      <c r="P860">
        <f t="shared" si="229"/>
        <v>322.71385301579505</v>
      </c>
      <c r="Q860">
        <f t="shared" si="230"/>
        <v>-2282.0385914043559</v>
      </c>
      <c r="R860">
        <f t="shared" si="216"/>
        <v>-2.2281653515728239</v>
      </c>
      <c r="S860">
        <f t="shared" si="217"/>
        <v>6.2991071724321586</v>
      </c>
      <c r="T860">
        <f t="shared" si="218"/>
        <v>855759.25800905039</v>
      </c>
      <c r="U860">
        <f t="shared" si="219"/>
        <v>874365.79289618984</v>
      </c>
      <c r="V860">
        <f t="shared" si="220"/>
        <v>845617.83430967678</v>
      </c>
      <c r="W860">
        <f t="shared" si="221"/>
        <v>-1.8769641872662655</v>
      </c>
      <c r="X860">
        <f t="shared" si="222"/>
        <v>-8.6246052399509665E-2</v>
      </c>
      <c r="Y860">
        <f t="shared" si="223"/>
        <v>-0.26495511190704862</v>
      </c>
      <c r="Z860">
        <f t="shared" si="224"/>
        <v>5.3981711401627637</v>
      </c>
      <c r="AA860">
        <f t="shared" si="225"/>
        <v>0.21848333467903486</v>
      </c>
      <c r="AB860">
        <f t="shared" si="226"/>
        <v>0.68245269759036065</v>
      </c>
    </row>
    <row r="861" spans="12:28" x14ac:dyDescent="0.25">
      <c r="L861">
        <v>857</v>
      </c>
      <c r="M861">
        <f t="shared" si="231"/>
        <v>428.5</v>
      </c>
      <c r="N861">
        <f t="shared" si="227"/>
        <v>301207.40951263974</v>
      </c>
      <c r="O861">
        <f t="shared" si="228"/>
        <v>-804432.79493112001</v>
      </c>
      <c r="P861">
        <f t="shared" si="229"/>
        <v>321.59977034000866</v>
      </c>
      <c r="Q861">
        <f t="shared" si="230"/>
        <v>-2278.88903781814</v>
      </c>
      <c r="R861">
        <f t="shared" si="216"/>
        <v>-2.220626119481119</v>
      </c>
      <c r="S861">
        <f t="shared" si="217"/>
        <v>6.2831213266607984</v>
      </c>
      <c r="T861">
        <f t="shared" si="218"/>
        <v>856889.17409126717</v>
      </c>
      <c r="U861">
        <f t="shared" si="219"/>
        <v>875485.56663438864</v>
      </c>
      <c r="V861">
        <f t="shared" si="220"/>
        <v>846739.10701774084</v>
      </c>
      <c r="W861">
        <f t="shared" si="221"/>
        <v>-1.8706244812581574</v>
      </c>
      <c r="X861">
        <f t="shared" si="222"/>
        <v>-8.5958668689511991E-2</v>
      </c>
      <c r="Y861">
        <f t="shared" si="223"/>
        <v>-0.26404296953344947</v>
      </c>
      <c r="Z861">
        <f t="shared" si="224"/>
        <v>5.3844413443996002</v>
      </c>
      <c r="AA861">
        <f t="shared" si="225"/>
        <v>0.21795125739962909</v>
      </c>
      <c r="AB861">
        <f t="shared" si="226"/>
        <v>0.68072872486156921</v>
      </c>
    </row>
    <row r="862" spans="12:28" x14ac:dyDescent="0.25">
      <c r="L862">
        <v>858</v>
      </c>
      <c r="M862">
        <f t="shared" si="231"/>
        <v>429</v>
      </c>
      <c r="N862">
        <f t="shared" si="227"/>
        <v>301367.93181954481</v>
      </c>
      <c r="O862">
        <f t="shared" si="228"/>
        <v>-805571.45405986323</v>
      </c>
      <c r="P862">
        <f t="shared" si="229"/>
        <v>320.48945728026808</v>
      </c>
      <c r="Q862">
        <f t="shared" si="230"/>
        <v>-2275.7474771548095</v>
      </c>
      <c r="R862">
        <f t="shared" si="216"/>
        <v>-2.2131313293526489</v>
      </c>
      <c r="S862">
        <f t="shared" si="217"/>
        <v>6.267219186696444</v>
      </c>
      <c r="T862">
        <f t="shared" si="218"/>
        <v>858017.47953822534</v>
      </c>
      <c r="U862">
        <f t="shared" si="219"/>
        <v>876603.75556992181</v>
      </c>
      <c r="V862">
        <f t="shared" si="220"/>
        <v>847858.79344482336</v>
      </c>
      <c r="W862">
        <f t="shared" si="221"/>
        <v>-1.8643220942539263</v>
      </c>
      <c r="X862">
        <f t="shared" si="222"/>
        <v>-8.5672957798331562E-2</v>
      </c>
      <c r="Y862">
        <f t="shared" si="223"/>
        <v>-0.26313627730039113</v>
      </c>
      <c r="Z862">
        <f t="shared" si="224"/>
        <v>5.3707835893129436</v>
      </c>
      <c r="AA862">
        <f t="shared" si="225"/>
        <v>0.21742187644419195</v>
      </c>
      <c r="AB862">
        <f t="shared" si="226"/>
        <v>0.6790137209393089</v>
      </c>
    </row>
    <row r="863" spans="12:28" x14ac:dyDescent="0.25">
      <c r="L863">
        <v>859</v>
      </c>
      <c r="M863">
        <f t="shared" si="231"/>
        <v>429.5</v>
      </c>
      <c r="N863">
        <f t="shared" si="227"/>
        <v>301527.89990676875</v>
      </c>
      <c r="O863">
        <f t="shared" si="228"/>
        <v>-806708.54439604224</v>
      </c>
      <c r="P863">
        <f t="shared" si="229"/>
        <v>319.38289161559175</v>
      </c>
      <c r="Q863">
        <f t="shared" si="230"/>
        <v>-2272.6138675614611</v>
      </c>
      <c r="R863">
        <f t="shared" si="216"/>
        <v>-2.2056806149342241</v>
      </c>
      <c r="S863">
        <f t="shared" si="217"/>
        <v>6.2514001251688525</v>
      </c>
      <c r="T863">
        <f t="shared" si="218"/>
        <v>859144.17851223156</v>
      </c>
      <c r="U863">
        <f t="shared" si="219"/>
        <v>877720.36373093177</v>
      </c>
      <c r="V863">
        <f t="shared" si="220"/>
        <v>848976.89761910134</v>
      </c>
      <c r="W863">
        <f t="shared" si="221"/>
        <v>-1.8580567189677089</v>
      </c>
      <c r="X863">
        <f t="shared" si="222"/>
        <v>-8.5388906130498127E-2</v>
      </c>
      <c r="Y863">
        <f t="shared" si="223"/>
        <v>-0.26223498983601712</v>
      </c>
      <c r="Z863">
        <f t="shared" si="224"/>
        <v>5.3571973337563463</v>
      </c>
      <c r="AA863">
        <f t="shared" si="225"/>
        <v>0.21689517224984461</v>
      </c>
      <c r="AB863">
        <f t="shared" si="226"/>
        <v>0.67730761916266113</v>
      </c>
    </row>
    <row r="864" spans="12:28" x14ac:dyDescent="0.25">
      <c r="L864">
        <v>860</v>
      </c>
      <c r="M864">
        <f t="shared" si="231"/>
        <v>430</v>
      </c>
      <c r="N864">
        <f t="shared" si="227"/>
        <v>301687.31564249971</v>
      </c>
      <c r="O864">
        <f t="shared" si="228"/>
        <v>-807844.06990480737</v>
      </c>
      <c r="P864">
        <f t="shared" si="229"/>
        <v>318.28005130812465</v>
      </c>
      <c r="Q864">
        <f t="shared" si="230"/>
        <v>-2269.4881674988769</v>
      </c>
      <c r="R864">
        <f t="shared" si="216"/>
        <v>-2.1982736138418115</v>
      </c>
      <c r="S864">
        <f t="shared" si="217"/>
        <v>6.2356635208572238</v>
      </c>
      <c r="T864">
        <f t="shared" si="218"/>
        <v>860269.27515359316</v>
      </c>
      <c r="U864">
        <f t="shared" si="219"/>
        <v>878835.39512455731</v>
      </c>
      <c r="V864">
        <f t="shared" si="220"/>
        <v>850093.42354780121</v>
      </c>
      <c r="W864">
        <f t="shared" si="221"/>
        <v>-1.8518280513581094</v>
      </c>
      <c r="X864">
        <f t="shared" si="222"/>
        <v>-8.5106500232111207E-2</v>
      </c>
      <c r="Y864">
        <f t="shared" si="223"/>
        <v>-0.26133906225159087</v>
      </c>
      <c r="Z864">
        <f t="shared" si="224"/>
        <v>5.3436820418998998</v>
      </c>
      <c r="AA864">
        <f t="shared" si="225"/>
        <v>0.21637112543951534</v>
      </c>
      <c r="AB864">
        <f t="shared" si="226"/>
        <v>0.67561035351780896</v>
      </c>
    </row>
    <row r="865" spans="12:28" x14ac:dyDescent="0.25">
      <c r="L865">
        <v>861</v>
      </c>
      <c r="M865">
        <f t="shared" si="231"/>
        <v>430.5</v>
      </c>
      <c r="N865">
        <f t="shared" si="227"/>
        <v>301846.18088395201</v>
      </c>
      <c r="O865">
        <f t="shared" si="228"/>
        <v>-808978.03453061671</v>
      </c>
      <c r="P865">
        <f t="shared" si="229"/>
        <v>317.18091450120374</v>
      </c>
      <c r="Q865">
        <f t="shared" si="230"/>
        <v>-2266.3703357384484</v>
      </c>
      <c r="R865">
        <f t="shared" si="216"/>
        <v>-2.1909099675106782</v>
      </c>
      <c r="S865">
        <f t="shared" si="217"/>
        <v>6.220008758615716</v>
      </c>
      <c r="T865">
        <f t="shared" si="218"/>
        <v>861392.77358078363</v>
      </c>
      <c r="U865">
        <f t="shared" si="219"/>
        <v>879948.85373708943</v>
      </c>
      <c r="V865">
        <f t="shared" si="220"/>
        <v>851208.37521735427</v>
      </c>
      <c r="W865">
        <f t="shared" si="221"/>
        <v>-1.8456357905863841</v>
      </c>
      <c r="X865">
        <f t="shared" si="222"/>
        <v>-8.4825726789049358E-2</v>
      </c>
      <c r="Y865">
        <f t="shared" si="223"/>
        <v>-0.26044845013524492</v>
      </c>
      <c r="Z865">
        <f t="shared" si="224"/>
        <v>5.3302371831656261</v>
      </c>
      <c r="AA865">
        <f t="shared" si="225"/>
        <v>0.21584971681977375</v>
      </c>
      <c r="AB865">
        <f t="shared" si="226"/>
        <v>0.67392185863031606</v>
      </c>
    </row>
    <row r="866" spans="12:28" x14ac:dyDescent="0.25">
      <c r="L866">
        <v>862</v>
      </c>
      <c r="M866">
        <f t="shared" si="231"/>
        <v>431</v>
      </c>
      <c r="N866">
        <f t="shared" si="227"/>
        <v>302004.49747745669</v>
      </c>
      <c r="O866">
        <f t="shared" si="228"/>
        <v>-810110.44219739106</v>
      </c>
      <c r="P866">
        <f t="shared" si="229"/>
        <v>316.08545951744838</v>
      </c>
      <c r="Q866">
        <f t="shared" si="230"/>
        <v>-2263.2603313591403</v>
      </c>
      <c r="R866">
        <f t="shared" si="216"/>
        <v>-2.1835893211463779</v>
      </c>
      <c r="S866">
        <f t="shared" si="217"/>
        <v>6.2044352293002696</v>
      </c>
      <c r="T866">
        <f t="shared" si="218"/>
        <v>862514.67789060797</v>
      </c>
      <c r="U866">
        <f t="shared" si="219"/>
        <v>881060.7435341276</v>
      </c>
      <c r="V866">
        <f t="shared" si="220"/>
        <v>852321.75659355114</v>
      </c>
      <c r="W866">
        <f t="shared" si="221"/>
        <v>-1.8394796389753736</v>
      </c>
      <c r="X866">
        <f t="shared" si="222"/>
        <v>-8.454657262519788E-2</v>
      </c>
      <c r="Y866">
        <f t="shared" si="223"/>
        <v>-0.25956310954580653</v>
      </c>
      <c r="Z866">
        <f t="shared" si="224"/>
        <v>5.3168622321641292</v>
      </c>
      <c r="AA866">
        <f t="shared" si="225"/>
        <v>0.21533092737867468</v>
      </c>
      <c r="AB866">
        <f t="shared" si="226"/>
        <v>0.67224206975746548</v>
      </c>
    </row>
    <row r="867" spans="12:28" x14ac:dyDescent="0.25">
      <c r="L867">
        <v>863</v>
      </c>
      <c r="M867">
        <f t="shared" si="231"/>
        <v>431.5</v>
      </c>
      <c r="N867">
        <f t="shared" si="227"/>
        <v>302162.26725855027</v>
      </c>
      <c r="O867">
        <f t="shared" si="228"/>
        <v>-811241.29680866702</v>
      </c>
      <c r="P867">
        <f t="shared" si="229"/>
        <v>314.99366485687517</v>
      </c>
      <c r="Q867">
        <f t="shared" si="230"/>
        <v>-2260.15811374449</v>
      </c>
      <c r="R867">
        <f t="shared" si="216"/>
        <v>-2.1763113236764875</v>
      </c>
      <c r="S867">
        <f t="shared" si="217"/>
        <v>6.1889423296965225</v>
      </c>
      <c r="T867">
        <f t="shared" si="218"/>
        <v>863634.99215836544</v>
      </c>
      <c r="U867">
        <f t="shared" si="219"/>
        <v>882171.0684607327</v>
      </c>
      <c r="V867">
        <f t="shared" si="220"/>
        <v>853433.57162169379</v>
      </c>
      <c r="W867">
        <f t="shared" si="221"/>
        <v>-1.8333593019690237</v>
      </c>
      <c r="X867">
        <f t="shared" si="222"/>
        <v>-8.4269024700710446E-2</v>
      </c>
      <c r="Y867">
        <f t="shared" si="223"/>
        <v>-0.25868299700675301</v>
      </c>
      <c r="Z867">
        <f t="shared" si="224"/>
        <v>5.3035566686320692</v>
      </c>
      <c r="AA867">
        <f t="shared" si="225"/>
        <v>0.2148147382836508</v>
      </c>
      <c r="AB867">
        <f t="shared" si="226"/>
        <v>0.67057092278080266</v>
      </c>
    </row>
    <row r="868" spans="12:28" x14ac:dyDescent="0.25">
      <c r="L868">
        <v>864</v>
      </c>
      <c r="M868">
        <f t="shared" si="231"/>
        <v>432</v>
      </c>
      <c r="N868">
        <f t="shared" si="227"/>
        <v>302319.49205206323</v>
      </c>
      <c r="O868">
        <f t="shared" si="228"/>
        <v>-812370.60224774806</v>
      </c>
      <c r="P868">
        <f t="shared" si="229"/>
        <v>313.90550919503693</v>
      </c>
      <c r="Q868">
        <f t="shared" si="230"/>
        <v>-2257.063642579642</v>
      </c>
      <c r="R868">
        <f t="shared" si="216"/>
        <v>-2.1690756277030094</v>
      </c>
      <c r="S868">
        <f t="shared" si="217"/>
        <v>6.1735294624485597</v>
      </c>
      <c r="T868">
        <f t="shared" si="218"/>
        <v>864753.72043801076</v>
      </c>
      <c r="U868">
        <f t="shared" si="219"/>
        <v>883279.83244157908</v>
      </c>
      <c r="V868">
        <f t="shared" si="220"/>
        <v>854543.82422674762</v>
      </c>
      <c r="W868">
        <f t="shared" si="221"/>
        <v>-1.8272744880925027</v>
      </c>
      <c r="X868">
        <f t="shared" si="222"/>
        <v>-8.3993070110293583E-2</v>
      </c>
      <c r="Y868">
        <f t="shared" si="223"/>
        <v>-0.25780806950021318</v>
      </c>
      <c r="Z868">
        <f t="shared" si="224"/>
        <v>5.2903199773704719</v>
      </c>
      <c r="AA868">
        <f t="shared" si="225"/>
        <v>0.21430113087942645</v>
      </c>
      <c r="AB868">
        <f t="shared" si="226"/>
        <v>0.66890835419866157</v>
      </c>
    </row>
    <row r="869" spans="12:28" x14ac:dyDescent="0.25">
      <c r="L869">
        <v>865</v>
      </c>
      <c r="M869">
        <f t="shared" si="231"/>
        <v>432.5</v>
      </c>
      <c r="N869">
        <f t="shared" si="227"/>
        <v>302476.17367220728</v>
      </c>
      <c r="O869">
        <f t="shared" si="228"/>
        <v>-813498.362377855</v>
      </c>
      <c r="P869">
        <f t="shared" si="229"/>
        <v>312.82097138118542</v>
      </c>
      <c r="Q869">
        <f t="shared" si="230"/>
        <v>-2253.9768778484176</v>
      </c>
      <c r="R869">
        <f t="shared" si="216"/>
        <v>-2.1618818894555805</v>
      </c>
      <c r="S869">
        <f t="shared" si="217"/>
        <v>6.1581960359889365</v>
      </c>
      <c r="T869">
        <f t="shared" si="218"/>
        <v>865870.86676231434</v>
      </c>
      <c r="U869">
        <f t="shared" si="219"/>
        <v>884387.03938110522</v>
      </c>
      <c r="V869">
        <f t="shared" si="220"/>
        <v>855652.51831349009</v>
      </c>
      <c r="W869">
        <f t="shared" si="221"/>
        <v>-1.821224908912954</v>
      </c>
      <c r="X869">
        <f t="shared" si="222"/>
        <v>-8.3718696081512847E-2</v>
      </c>
      <c r="Y869">
        <f t="shared" si="223"/>
        <v>-0.25693828446111366</v>
      </c>
      <c r="Z869">
        <f t="shared" si="224"/>
        <v>5.2771516481840441</v>
      </c>
      <c r="AA869">
        <f t="shared" si="225"/>
        <v>0.21379008668595162</v>
      </c>
      <c r="AB869">
        <f t="shared" si="226"/>
        <v>0.6672543011189408</v>
      </c>
    </row>
    <row r="870" spans="12:28" x14ac:dyDescent="0.25">
      <c r="L870">
        <v>866</v>
      </c>
      <c r="M870">
        <f t="shared" si="231"/>
        <v>433</v>
      </c>
      <c r="N870">
        <f t="shared" si="227"/>
        <v>302632.31392266165</v>
      </c>
      <c r="O870">
        <f t="shared" si="228"/>
        <v>-814624.58104227472</v>
      </c>
      <c r="P870">
        <f t="shared" si="229"/>
        <v>311.74003043645763</v>
      </c>
      <c r="Q870">
        <f t="shared" si="230"/>
        <v>-2250.8977798304231</v>
      </c>
      <c r="R870">
        <f t="shared" si="216"/>
        <v>-2.1547297687453177</v>
      </c>
      <c r="S870">
        <f t="shared" si="217"/>
        <v>6.1429414644695282</v>
      </c>
      <c r="T870">
        <f t="shared" si="218"/>
        <v>866986.43514302012</v>
      </c>
      <c r="U870">
        <f t="shared" si="219"/>
        <v>885492.69316366361</v>
      </c>
      <c r="V870">
        <f t="shared" si="220"/>
        <v>856759.65776665998</v>
      </c>
      <c r="W870">
        <f t="shared" si="221"/>
        <v>-1.8152102790008384</v>
      </c>
      <c r="X870">
        <f t="shared" si="222"/>
        <v>-8.344588997313078E-2</v>
      </c>
      <c r="Y870">
        <f t="shared" si="223"/>
        <v>-0.25607359977134853</v>
      </c>
      <c r="Z870">
        <f t="shared" si="224"/>
        <v>5.2640511758213382</v>
      </c>
      <c r="AA870">
        <f t="shared" si="225"/>
        <v>0.21328158739638078</v>
      </c>
      <c r="AB870">
        <f t="shared" si="226"/>
        <v>0.66560870125180926</v>
      </c>
    </row>
    <row r="871" spans="12:28" x14ac:dyDescent="0.25">
      <c r="L871">
        <v>867</v>
      </c>
      <c r="M871">
        <f t="shared" si="231"/>
        <v>433.5</v>
      </c>
      <c r="N871">
        <f t="shared" si="227"/>
        <v>302787.91459665878</v>
      </c>
      <c r="O871">
        <f t="shared" si="228"/>
        <v>-815749.26206450688</v>
      </c>
      <c r="P871">
        <f t="shared" si="229"/>
        <v>310.66266555208495</v>
      </c>
      <c r="Q871">
        <f t="shared" si="230"/>
        <v>-2247.8263090981882</v>
      </c>
      <c r="R871">
        <f t="shared" si="216"/>
        <v>-2.1476189289193353</v>
      </c>
      <c r="S871">
        <f t="shared" si="217"/>
        <v>6.1277651676932754</v>
      </c>
      <c r="T871">
        <f t="shared" si="218"/>
        <v>868100.42957100295</v>
      </c>
      <c r="U871">
        <f t="shared" si="219"/>
        <v>886596.79765366716</v>
      </c>
      <c r="V871">
        <f t="shared" si="220"/>
        <v>857865.24645110348</v>
      </c>
      <c r="W871">
        <f t="shared" si="221"/>
        <v>-1.8092303158917638</v>
      </c>
      <c r="X871">
        <f t="shared" si="222"/>
        <v>-8.3174639273464579E-2</v>
      </c>
      <c r="Y871">
        <f t="shared" si="223"/>
        <v>-0.25521397375410715</v>
      </c>
      <c r="Z871">
        <f t="shared" si="224"/>
        <v>5.2510180599155092</v>
      </c>
      <c r="AA871">
        <f t="shared" si="225"/>
        <v>0.21277561487506777</v>
      </c>
      <c r="AB871">
        <f t="shared" si="226"/>
        <v>0.6639714929026983</v>
      </c>
    </row>
    <row r="872" spans="12:28" x14ac:dyDescent="0.25">
      <c r="L872">
        <v>868</v>
      </c>
      <c r="M872">
        <f t="shared" si="231"/>
        <v>434</v>
      </c>
      <c r="N872">
        <f t="shared" si="227"/>
        <v>302942.97747706872</v>
      </c>
      <c r="O872">
        <f t="shared" si="228"/>
        <v>-816872.40924841003</v>
      </c>
      <c r="P872">
        <f t="shared" si="229"/>
        <v>309.58885608762529</v>
      </c>
      <c r="Q872">
        <f t="shared" si="230"/>
        <v>-2244.7624265143413</v>
      </c>
      <c r="R872">
        <f t="shared" si="216"/>
        <v>-2.1405490368160587</v>
      </c>
      <c r="S872">
        <f t="shared" si="217"/>
        <v>6.1126665710472485</v>
      </c>
      <c r="T872">
        <f t="shared" si="218"/>
        <v>869212.85401642276</v>
      </c>
      <c r="U872">
        <f t="shared" si="219"/>
        <v>887699.35669573653</v>
      </c>
      <c r="V872">
        <f t="shared" si="220"/>
        <v>858969.28821191983</v>
      </c>
      <c r="W872">
        <f t="shared" si="221"/>
        <v>-1.8032847400490659</v>
      </c>
      <c r="X872">
        <f t="shared" si="222"/>
        <v>-8.2904931598769854E-2</v>
      </c>
      <c r="Y872">
        <f t="shared" si="223"/>
        <v>-0.25435936516822277</v>
      </c>
      <c r="Z872">
        <f t="shared" si="224"/>
        <v>5.2380518049264317</v>
      </c>
      <c r="AA872">
        <f t="shared" si="225"/>
        <v>0.21227215115559256</v>
      </c>
      <c r="AB872">
        <f t="shared" si="226"/>
        <v>0.6623426149652244</v>
      </c>
    </row>
    <row r="873" spans="12:28" x14ac:dyDescent="0.25">
      <c r="L873">
        <v>869</v>
      </c>
      <c r="M873">
        <f t="shared" si="231"/>
        <v>434.5</v>
      </c>
      <c r="N873">
        <f t="shared" si="227"/>
        <v>303097.50433648296</v>
      </c>
      <c r="O873">
        <f t="shared" si="228"/>
        <v>-817994.02637834591</v>
      </c>
      <c r="P873">
        <f t="shared" si="229"/>
        <v>308.51858156921725</v>
      </c>
      <c r="Q873">
        <f t="shared" si="230"/>
        <v>-2241.7060932288177</v>
      </c>
      <c r="R873">
        <f t="shared" si="216"/>
        <v>-2.1335197627210234</v>
      </c>
      <c r="S873">
        <f t="shared" si="217"/>
        <v>6.0976451054361407</v>
      </c>
      <c r="T873">
        <f t="shared" si="218"/>
        <v>870323.71242887934</v>
      </c>
      <c r="U873">
        <f t="shared" si="219"/>
        <v>888800.37411484506</v>
      </c>
      <c r="V873">
        <f t="shared" si="220"/>
        <v>860071.78687460558</v>
      </c>
      <c r="W873">
        <f t="shared" si="221"/>
        <v>-1.7973732748267195</v>
      </c>
      <c r="X873">
        <f t="shared" si="222"/>
        <v>-8.263675469164751E-2</v>
      </c>
      <c r="Y873">
        <f t="shared" si="223"/>
        <v>-0.25350973320265624</v>
      </c>
      <c r="Z873">
        <f t="shared" si="224"/>
        <v>5.2251519200829843</v>
      </c>
      <c r="AA873">
        <f t="shared" si="225"/>
        <v>0.21177117843881424</v>
      </c>
      <c r="AB873">
        <f t="shared" si="226"/>
        <v>0.66072200691434191</v>
      </c>
    </row>
    <row r="874" spans="12:28" x14ac:dyDescent="0.25">
      <c r="L874">
        <v>870</v>
      </c>
      <c r="M874">
        <f t="shared" si="231"/>
        <v>435</v>
      </c>
      <c r="N874">
        <f t="shared" si="227"/>
        <v>303251.49693729723</v>
      </c>
      <c r="O874">
        <f t="shared" si="228"/>
        <v>-819114.11721932213</v>
      </c>
      <c r="P874">
        <f t="shared" si="229"/>
        <v>307.45182168785675</v>
      </c>
      <c r="Q874">
        <f t="shared" si="230"/>
        <v>-2238.6572706760999</v>
      </c>
      <c r="R874">
        <f t="shared" si="216"/>
        <v>-2.126530780323507</v>
      </c>
      <c r="S874">
        <f t="shared" si="217"/>
        <v>6.0827002072171803</v>
      </c>
      <c r="T874">
        <f t="shared" si="218"/>
        <v>871433.0087375635</v>
      </c>
      <c r="U874">
        <f t="shared" si="219"/>
        <v>889899.85371646134</v>
      </c>
      <c r="V874">
        <f t="shared" si="220"/>
        <v>861172.7462451969</v>
      </c>
      <c r="W874">
        <f t="shared" si="221"/>
        <v>-1.7914956464330034</v>
      </c>
      <c r="X874">
        <f t="shared" si="222"/>
        <v>-8.2370096419475E-2</v>
      </c>
      <c r="Y874">
        <f t="shared" si="223"/>
        <v>-0.25266503747102875</v>
      </c>
      <c r="Z874">
        <f t="shared" si="224"/>
        <v>5.2123179193267255</v>
      </c>
      <c r="AA874">
        <f t="shared" si="225"/>
        <v>0.21127267909095201</v>
      </c>
      <c r="AB874">
        <f t="shared" si="226"/>
        <v>0.6591096087995032</v>
      </c>
    </row>
    <row r="875" spans="12:28" x14ac:dyDescent="0.25">
      <c r="L875">
        <v>871</v>
      </c>
      <c r="M875">
        <f t="shared" si="231"/>
        <v>435.5</v>
      </c>
      <c r="N875">
        <f t="shared" si="227"/>
        <v>303404.9570317936</v>
      </c>
      <c r="O875">
        <f t="shared" si="228"/>
        <v>-820232.68551713426</v>
      </c>
      <c r="P875">
        <f t="shared" si="229"/>
        <v>306.388556297695</v>
      </c>
      <c r="Q875">
        <f t="shared" si="230"/>
        <v>-2235.6159205724912</v>
      </c>
      <c r="R875">
        <f t="shared" si="216"/>
        <v>-2.1195817666736985</v>
      </c>
      <c r="S875">
        <f t="shared" si="217"/>
        <v>6.0678313181356698</v>
      </c>
      <c r="T875">
        <f t="shared" si="218"/>
        <v>872540.74685140874</v>
      </c>
      <c r="U875">
        <f t="shared" si="219"/>
        <v>890997.7992866924</v>
      </c>
      <c r="V875">
        <f t="shared" si="220"/>
        <v>862272.17011041148</v>
      </c>
      <c r="W875">
        <f t="shared" si="221"/>
        <v>-1.7856515838945886</v>
      </c>
      <c r="X875">
        <f t="shared" si="222"/>
        <v>-8.2104944772858582E-2</v>
      </c>
      <c r="Y875">
        <f t="shared" si="223"/>
        <v>-0.25182523800625134</v>
      </c>
      <c r="Z875">
        <f t="shared" si="224"/>
        <v>5.1995493212560264</v>
      </c>
      <c r="AA875">
        <f t="shared" si="225"/>
        <v>0.2107766356416888</v>
      </c>
      <c r="AB875">
        <f t="shared" si="226"/>
        <v>0.65750536123795444</v>
      </c>
    </row>
    <row r="876" spans="12:28" x14ac:dyDescent="0.25">
      <c r="L876">
        <v>872</v>
      </c>
      <c r="M876">
        <f t="shared" si="231"/>
        <v>436</v>
      </c>
      <c r="N876">
        <f t="shared" si="227"/>
        <v>303557.88636222162</v>
      </c>
      <c r="O876">
        <f t="shared" si="228"/>
        <v>-821349.7349985058</v>
      </c>
      <c r="P876">
        <f t="shared" si="229"/>
        <v>305.32876541435814</v>
      </c>
      <c r="Q876">
        <f t="shared" si="230"/>
        <v>-2232.5820049134231</v>
      </c>
      <c r="R876">
        <f t="shared" si="216"/>
        <v>-2.1126724021405776</v>
      </c>
      <c r="S876">
        <f t="shared" si="217"/>
        <v>6.0530378852616451</v>
      </c>
      <c r="T876">
        <f t="shared" si="218"/>
        <v>873646.93065924023</v>
      </c>
      <c r="U876">
        <f t="shared" si="219"/>
        <v>892094.21459242422</v>
      </c>
      <c r="V876">
        <f t="shared" si="220"/>
        <v>863370.06223778811</v>
      </c>
      <c r="W876">
        <f t="shared" si="221"/>
        <v>-1.7798408190212316</v>
      </c>
      <c r="X876">
        <f t="shared" si="222"/>
        <v>-8.1841287864110018E-2</v>
      </c>
      <c r="Y876">
        <f t="shared" si="223"/>
        <v>-0.25099029525523625</v>
      </c>
      <c r="Z876">
        <f t="shared" si="224"/>
        <v>5.1868456490712118</v>
      </c>
      <c r="AA876">
        <f t="shared" si="225"/>
        <v>0.21028303078230409</v>
      </c>
      <c r="AB876">
        <f t="shared" si="226"/>
        <v>0.6559092054081288</v>
      </c>
    </row>
    <row r="877" spans="12:28" x14ac:dyDescent="0.25">
      <c r="L877">
        <v>873</v>
      </c>
      <c r="M877">
        <f t="shared" si="231"/>
        <v>436.5</v>
      </c>
      <c r="N877">
        <f t="shared" si="227"/>
        <v>303710.28666087851</v>
      </c>
      <c r="O877">
        <f t="shared" si="228"/>
        <v>-822465.26937122678</v>
      </c>
      <c r="P877">
        <f t="shared" si="229"/>
        <v>304.27242921328786</v>
      </c>
      <c r="Q877">
        <f t="shared" si="230"/>
        <v>-2229.5554859707922</v>
      </c>
      <c r="R877">
        <f t="shared" si="216"/>
        <v>-2.1058023703702866</v>
      </c>
      <c r="S877">
        <f t="shared" si="217"/>
        <v>6.0383193609270336</v>
      </c>
      <c r="T877">
        <f t="shared" si="218"/>
        <v>874751.56402992201</v>
      </c>
      <c r="U877">
        <f t="shared" si="219"/>
        <v>893189.10338146053</v>
      </c>
      <c r="V877">
        <f t="shared" si="220"/>
        <v>864466.42637582496</v>
      </c>
      <c r="W877">
        <f t="shared" si="221"/>
        <v>-1.774063086370868</v>
      </c>
      <c r="X877">
        <f t="shared" si="222"/>
        <v>-8.157911392574449E-2</v>
      </c>
      <c r="Y877">
        <f t="shared" si="223"/>
        <v>-0.25016017007367403</v>
      </c>
      <c r="Z877">
        <f t="shared" si="224"/>
        <v>5.1742064305201056</v>
      </c>
      <c r="AA877">
        <f t="shared" si="225"/>
        <v>0.20979184736383058</v>
      </c>
      <c r="AB877">
        <f t="shared" si="226"/>
        <v>0.65432108304309744</v>
      </c>
    </row>
    <row r="878" spans="12:28" x14ac:dyDescent="0.25">
      <c r="L878">
        <v>874</v>
      </c>
      <c r="M878">
        <f t="shared" si="231"/>
        <v>437</v>
      </c>
      <c r="N878">
        <f t="shared" si="227"/>
        <v>303862.15965018887</v>
      </c>
      <c r="O878">
        <f t="shared" si="228"/>
        <v>-823579.29232429212</v>
      </c>
      <c r="P878">
        <f t="shared" si="229"/>
        <v>303.21952802810273</v>
      </c>
      <c r="Q878">
        <f t="shared" si="230"/>
        <v>-2226.5363262903288</v>
      </c>
      <c r="R878">
        <f t="shared" si="216"/>
        <v>-2.0989713582452612</v>
      </c>
      <c r="S878">
        <f t="shared" si="217"/>
        <v>6.0236752026641343</v>
      </c>
      <c r="T878">
        <f t="shared" si="218"/>
        <v>875854.65081250446</v>
      </c>
      <c r="U878">
        <f t="shared" si="219"/>
        <v>894282.46938266221</v>
      </c>
      <c r="V878">
        <f t="shared" si="220"/>
        <v>865561.26625411783</v>
      </c>
      <c r="W878">
        <f t="shared" si="221"/>
        <v>-1.768318123215358</v>
      </c>
      <c r="X878">
        <f t="shared" si="222"/>
        <v>-8.1318411309002345E-2</v>
      </c>
      <c r="Y878">
        <f t="shared" si="223"/>
        <v>-0.24933482372090077</v>
      </c>
      <c r="Z878">
        <f t="shared" si="224"/>
        <v>5.1616311978447484</v>
      </c>
      <c r="AA878">
        <f t="shared" si="225"/>
        <v>0.20930306839524085</v>
      </c>
      <c r="AB878">
        <f t="shared" si="226"/>
        <v>0.6527409364241451</v>
      </c>
    </row>
    <row r="879" spans="12:28" x14ac:dyDescent="0.25">
      <c r="L879">
        <v>875</v>
      </c>
      <c r="M879">
        <f t="shared" si="231"/>
        <v>437.5</v>
      </c>
      <c r="N879">
        <f t="shared" si="227"/>
        <v>304013.5070427832</v>
      </c>
      <c r="O879">
        <f t="shared" si="228"/>
        <v>-824691.807528037</v>
      </c>
      <c r="P879">
        <f t="shared" si="229"/>
        <v>302.17004234898008</v>
      </c>
      <c r="Q879">
        <f t="shared" si="230"/>
        <v>-2223.5244886889968</v>
      </c>
      <c r="R879">
        <f t="shared" si="216"/>
        <v>-2.0921790558439204</v>
      </c>
      <c r="S879">
        <f t="shared" si="217"/>
        <v>6.0091048731447989</v>
      </c>
      <c r="T879">
        <f t="shared" si="218"/>
        <v>876956.19483636832</v>
      </c>
      <c r="U879">
        <f t="shared" si="219"/>
        <v>895374.31630608276</v>
      </c>
      <c r="V879">
        <f t="shared" si="220"/>
        <v>866654.58558349521</v>
      </c>
      <c r="W879">
        <f t="shared" si="221"/>
        <v>-1.7626056695066981</v>
      </c>
      <c r="X879">
        <f t="shared" si="222"/>
        <v>-8.1059168482386521E-2</v>
      </c>
      <c r="Y879">
        <f t="shared" si="223"/>
        <v>-0.24851421785483566</v>
      </c>
      <c r="Z879">
        <f t="shared" si="224"/>
        <v>5.1491194877287381</v>
      </c>
      <c r="AA879">
        <f t="shared" si="225"/>
        <v>0.20881667704164275</v>
      </c>
      <c r="AB879">
        <f t="shared" si="226"/>
        <v>0.65116870837441798</v>
      </c>
    </row>
    <row r="880" spans="12:28" x14ac:dyDescent="0.25">
      <c r="L880">
        <v>876</v>
      </c>
      <c r="M880">
        <f t="shared" si="231"/>
        <v>438</v>
      </c>
      <c r="N880">
        <f t="shared" si="227"/>
        <v>304164.33054157573</v>
      </c>
      <c r="O880">
        <f t="shared" si="228"/>
        <v>-825802.81863427232</v>
      </c>
      <c r="P880">
        <f t="shared" si="229"/>
        <v>301.12395282105814</v>
      </c>
      <c r="Q880">
        <f t="shared" si="230"/>
        <v>-2220.5199362524245</v>
      </c>
      <c r="R880">
        <f t="shared" si="216"/>
        <v>-2.0854251564008752</v>
      </c>
      <c r="S880">
        <f t="shared" si="217"/>
        <v>5.9946078401202749</v>
      </c>
      <c r="T880">
        <f t="shared" si="218"/>
        <v>878056.19991136866</v>
      </c>
      <c r="U880">
        <f t="shared" si="219"/>
        <v>896464.64784310502</v>
      </c>
      <c r="V880">
        <f t="shared" si="220"/>
        <v>867746.38805615401</v>
      </c>
      <c r="W880">
        <f t="shared" si="221"/>
        <v>-1.7569254678436508</v>
      </c>
      <c r="X880">
        <f t="shared" si="222"/>
        <v>-8.080137403022894E-2</v>
      </c>
      <c r="Y880">
        <f t="shared" si="223"/>
        <v>-0.24769831452699576</v>
      </c>
      <c r="Z880">
        <f t="shared" si="224"/>
        <v>5.1366708412450857</v>
      </c>
      <c r="AA880">
        <f t="shared" si="225"/>
        <v>0.20833265662252085</v>
      </c>
      <c r="AB880">
        <f t="shared" si="226"/>
        <v>0.64960434225266783</v>
      </c>
    </row>
    <row r="881" spans="12:28" x14ac:dyDescent="0.25">
      <c r="L881">
        <v>877</v>
      </c>
      <c r="M881">
        <f t="shared" si="231"/>
        <v>438.5</v>
      </c>
      <c r="N881">
        <f t="shared" si="227"/>
        <v>304314.63183984172</v>
      </c>
      <c r="O881">
        <f t="shared" si="228"/>
        <v>-826912.32927641855</v>
      </c>
      <c r="P881">
        <f t="shared" si="229"/>
        <v>300.08124024285769</v>
      </c>
      <c r="Q881">
        <f t="shared" si="230"/>
        <v>-2217.5226323323645</v>
      </c>
      <c r="R881">
        <f t="shared" si="216"/>
        <v>-2.0787093562678236</v>
      </c>
      <c r="S881">
        <f t="shared" si="217"/>
        <v>5.9801835763621689</v>
      </c>
      <c r="T881">
        <f t="shared" si="218"/>
        <v>879154.66982797801</v>
      </c>
      <c r="U881">
        <f t="shared" si="219"/>
        <v>897553.4676665744</v>
      </c>
      <c r="V881">
        <f t="shared" si="220"/>
        <v>868836.67734579218</v>
      </c>
      <c r="W881">
        <f t="shared" si="221"/>
        <v>-1.7512772634389713</v>
      </c>
      <c r="X881">
        <f t="shared" si="222"/>
        <v>-8.0545016651273421E-2</v>
      </c>
      <c r="Y881">
        <f t="shared" si="223"/>
        <v>-0.2468870761775788</v>
      </c>
      <c r="Z881">
        <f t="shared" si="224"/>
        <v>5.1242848038051143</v>
      </c>
      <c r="AA881">
        <f t="shared" si="225"/>
        <v>0.20785099060998952</v>
      </c>
      <c r="AB881">
        <f t="shared" si="226"/>
        <v>0.64804778194706547</v>
      </c>
    </row>
    <row r="882" spans="12:28" x14ac:dyDescent="0.25">
      <c r="L882">
        <v>878</v>
      </c>
      <c r="M882">
        <f t="shared" si="231"/>
        <v>439</v>
      </c>
      <c r="N882">
        <f t="shared" si="227"/>
        <v>304464.41262129357</v>
      </c>
      <c r="O882">
        <f t="shared" si="228"/>
        <v>-828020.34306963766</v>
      </c>
      <c r="P882">
        <f t="shared" si="229"/>
        <v>299.04188556472377</v>
      </c>
      <c r="Q882">
        <f t="shared" si="230"/>
        <v>-2214.5325405441836</v>
      </c>
      <c r="R882">
        <f t="shared" si="216"/>
        <v>-2.0720313548749298</v>
      </c>
      <c r="S882">
        <f t="shared" si="217"/>
        <v>5.9658315596039877</v>
      </c>
      <c r="T882">
        <f t="shared" si="218"/>
        <v>880251.60835742543</v>
      </c>
      <c r="U882">
        <f t="shared" si="219"/>
        <v>898640.77943093271</v>
      </c>
      <c r="V882">
        <f t="shared" si="220"/>
        <v>869925.45710774185</v>
      </c>
      <c r="W882">
        <f t="shared" si="221"/>
        <v>-1.7456608040870327</v>
      </c>
      <c r="X882">
        <f t="shared" si="222"/>
        <v>-8.029008515727655E-2</v>
      </c>
      <c r="Y882">
        <f t="shared" si="223"/>
        <v>-0.24608046563062061</v>
      </c>
      <c r="Z882">
        <f t="shared" si="224"/>
        <v>5.1119609251078169</v>
      </c>
      <c r="AA882">
        <f t="shared" si="225"/>
        <v>0.2073716626270638</v>
      </c>
      <c r="AB882">
        <f t="shared" si="226"/>
        <v>0.64649897186910676</v>
      </c>
    </row>
    <row r="883" spans="12:28" x14ac:dyDescent="0.25">
      <c r="L883">
        <v>879</v>
      </c>
      <c r="M883">
        <f t="shared" si="231"/>
        <v>439.5</v>
      </c>
      <c r="N883">
        <f t="shared" si="227"/>
        <v>304613.67456015653</v>
      </c>
      <c r="O883">
        <f t="shared" si="228"/>
        <v>-829126.86361096485</v>
      </c>
      <c r="P883">
        <f t="shared" si="229"/>
        <v>298.00586988728628</v>
      </c>
      <c r="Q883">
        <f t="shared" si="230"/>
        <v>-2211.5496247643814</v>
      </c>
      <c r="R883">
        <f t="shared" si="216"/>
        <v>-2.065390854692827</v>
      </c>
      <c r="S883">
        <f t="shared" si="217"/>
        <v>5.9515512724836324</v>
      </c>
      <c r="T883">
        <f t="shared" si="218"/>
        <v>881347.01925183809</v>
      </c>
      <c r="U883">
        <f t="shared" si="219"/>
        <v>899726.58677234943</v>
      </c>
      <c r="V883">
        <f t="shared" si="220"/>
        <v>871012.73097909952</v>
      </c>
      <c r="W883">
        <f t="shared" si="221"/>
        <v>-1.7400758401319596</v>
      </c>
      <c r="X883">
        <f t="shared" si="222"/>
        <v>-8.0036568471634748E-2</v>
      </c>
      <c r="Y883">
        <f t="shared" si="223"/>
        <v>-0.24527844608923269</v>
      </c>
      <c r="Z883">
        <f t="shared" si="224"/>
        <v>5.099698759090038</v>
      </c>
      <c r="AA883">
        <f t="shared" si="225"/>
        <v>0.20689465644596877</v>
      </c>
      <c r="AB883">
        <f t="shared" si="226"/>
        <v>0.64495785694762553</v>
      </c>
    </row>
    <row r="884" spans="12:28" x14ac:dyDescent="0.25">
      <c r="L884">
        <v>880</v>
      </c>
      <c r="M884">
        <f t="shared" si="231"/>
        <v>440</v>
      </c>
      <c r="N884">
        <f t="shared" si="227"/>
        <v>304762.41932124336</v>
      </c>
      <c r="O884">
        <f t="shared" si="228"/>
        <v>-830231.89447943796</v>
      </c>
      <c r="P884">
        <f t="shared" si="229"/>
        <v>296.97317445993986</v>
      </c>
      <c r="Q884">
        <f t="shared" si="230"/>
        <v>-2208.5738491281395</v>
      </c>
      <c r="R884">
        <f t="shared" si="216"/>
        <v>-2.0587875611951629</v>
      </c>
      <c r="S884">
        <f t="shared" si="217"/>
        <v>5.9373422024866942</v>
      </c>
      <c r="T884">
        <f t="shared" si="218"/>
        <v>882440.90624437772</v>
      </c>
      <c r="U884">
        <f t="shared" si="219"/>
        <v>900810.89330885233</v>
      </c>
      <c r="V884">
        <f t="shared" si="220"/>
        <v>872098.50257885619</v>
      </c>
      <c r="W884">
        <f t="shared" si="221"/>
        <v>-1.7345221244362439</v>
      </c>
      <c r="X884">
        <f t="shared" si="222"/>
        <v>-7.978445562802633E-2</v>
      </c>
      <c r="Y884">
        <f t="shared" si="223"/>
        <v>-0.24448098113089289</v>
      </c>
      <c r="Z884">
        <f t="shared" si="224"/>
        <v>5.0874978638773909</v>
      </c>
      <c r="AA884">
        <f t="shared" si="225"/>
        <v>0.20641995598645968</v>
      </c>
      <c r="AB884">
        <f t="shared" si="226"/>
        <v>0.64342438262284407</v>
      </c>
    </row>
    <row r="885" spans="12:28" x14ac:dyDescent="0.25">
      <c r="L885">
        <v>881</v>
      </c>
      <c r="M885">
        <f t="shared" si="231"/>
        <v>440.5</v>
      </c>
      <c r="N885">
        <f t="shared" si="227"/>
        <v>304910.64856002817</v>
      </c>
      <c r="O885">
        <f t="shared" si="228"/>
        <v>-831335.43923622672</v>
      </c>
      <c r="P885">
        <f t="shared" si="229"/>
        <v>295.9437806793423</v>
      </c>
      <c r="Q885">
        <f t="shared" si="230"/>
        <v>-2205.6051780268963</v>
      </c>
      <c r="R885">
        <f t="shared" si="216"/>
        <v>-2.0522211828216443</v>
      </c>
      <c r="S885">
        <f t="shared" si="217"/>
        <v>5.923203841890377</v>
      </c>
      <c r="T885">
        <f t="shared" si="218"/>
        <v>883533.27304937877</v>
      </c>
      <c r="U885">
        <f t="shared" si="219"/>
        <v>901893.70264045685</v>
      </c>
      <c r="V885">
        <f t="shared" si="220"/>
        <v>873182.77550802648</v>
      </c>
      <c r="W885">
        <f t="shared" si="221"/>
        <v>-1.7289994123497536</v>
      </c>
      <c r="X885">
        <f t="shared" si="222"/>
        <v>-7.9533735769073993E-2</v>
      </c>
      <c r="Y885">
        <f t="shared" si="223"/>
        <v>-0.24368803470281694</v>
      </c>
      <c r="Z885">
        <f t="shared" si="224"/>
        <v>5.075357801735672</v>
      </c>
      <c r="AA885">
        <f t="shared" si="225"/>
        <v>0.2059475453141672</v>
      </c>
      <c r="AB885">
        <f t="shared" si="226"/>
        <v>0.64189849484053751</v>
      </c>
    </row>
    <row r="886" spans="12:28" x14ac:dyDescent="0.25">
      <c r="L886">
        <v>882</v>
      </c>
      <c r="M886">
        <f t="shared" si="231"/>
        <v>441</v>
      </c>
      <c r="N886">
        <f t="shared" si="227"/>
        <v>305058.36392272002</v>
      </c>
      <c r="O886">
        <f t="shared" si="228"/>
        <v>-832437.50142475998</v>
      </c>
      <c r="P886">
        <f t="shared" si="229"/>
        <v>294.91767008793147</v>
      </c>
      <c r="Q886">
        <f t="shared" si="230"/>
        <v>-2202.6435761059511</v>
      </c>
      <c r="R886">
        <f t="shared" si="216"/>
        <v>-2.0456914309416874</v>
      </c>
      <c r="S886">
        <f t="shared" si="217"/>
        <v>5.9091356877083889</v>
      </c>
      <c r="T886">
        <f t="shared" si="218"/>
        <v>884624.12336248369</v>
      </c>
      <c r="U886">
        <f t="shared" si="219"/>
        <v>902975.01834929409</v>
      </c>
      <c r="V886">
        <f t="shared" si="220"/>
        <v>874265.55334977503</v>
      </c>
      <c r="W886">
        <f t="shared" si="221"/>
        <v>-1.7235074616792685</v>
      </c>
      <c r="X886">
        <f t="shared" si="222"/>
        <v>-7.928439814502819E-2</v>
      </c>
      <c r="Y886">
        <f t="shared" si="223"/>
        <v>-0.24289957111739063</v>
      </c>
      <c r="Z886">
        <f t="shared" si="224"/>
        <v>5.0632781390231605</v>
      </c>
      <c r="AA886">
        <f t="shared" si="225"/>
        <v>0.20547740863896896</v>
      </c>
      <c r="AB886">
        <f t="shared" si="226"/>
        <v>0.64038014004625965</v>
      </c>
    </row>
    <row r="887" spans="12:28" x14ac:dyDescent="0.25">
      <c r="L887">
        <v>883</v>
      </c>
      <c r="M887">
        <f t="shared" si="231"/>
        <v>441.5</v>
      </c>
      <c r="N887">
        <f t="shared" si="227"/>
        <v>305205.56704633508</v>
      </c>
      <c r="O887">
        <f t="shared" si="228"/>
        <v>-833538.08457085199</v>
      </c>
      <c r="P887">
        <f t="shared" si="229"/>
        <v>293.89482437246062</v>
      </c>
      <c r="Q887">
        <f t="shared" si="230"/>
        <v>-2199.6890082620966</v>
      </c>
      <c r="R887">
        <f t="shared" si="216"/>
        <v>-2.0391980198185053</v>
      </c>
      <c r="S887">
        <f t="shared" si="217"/>
        <v>5.8951372416363599</v>
      </c>
      <c r="T887">
        <f t="shared" si="218"/>
        <v>885713.46086077683</v>
      </c>
      <c r="U887">
        <f t="shared" si="219"/>
        <v>904054.84399973776</v>
      </c>
      <c r="V887">
        <f t="shared" si="220"/>
        <v>875346.83966954355</v>
      </c>
      <c r="W887">
        <f t="shared" si="221"/>
        <v>-1.7180460326583591</v>
      </c>
      <c r="X887">
        <f t="shared" si="222"/>
        <v>-7.9036432112466123E-2</v>
      </c>
      <c r="Y887">
        <f t="shared" si="223"/>
        <v>-0.24211555504768018</v>
      </c>
      <c r="Z887">
        <f t="shared" si="224"/>
        <v>5.0512584461433088</v>
      </c>
      <c r="AA887">
        <f t="shared" si="225"/>
        <v>0.20500953031337474</v>
      </c>
      <c r="AB887">
        <f t="shared" si="226"/>
        <v>0.63886926517967602</v>
      </c>
    </row>
    <row r="888" spans="12:28" x14ac:dyDescent="0.25">
      <c r="L888">
        <v>884</v>
      </c>
      <c r="M888">
        <f t="shared" si="231"/>
        <v>442</v>
      </c>
      <c r="N888">
        <f t="shared" si="227"/>
        <v>305352.25955876883</v>
      </c>
      <c r="O888">
        <f t="shared" si="228"/>
        <v>-834637.19218282774</v>
      </c>
      <c r="P888">
        <f t="shared" si="229"/>
        <v>292.87522536255136</v>
      </c>
      <c r="Q888">
        <f t="shared" si="230"/>
        <v>-2196.7414396412782</v>
      </c>
      <c r="R888">
        <f t="shared" si="216"/>
        <v>-2.0327406665738192</v>
      </c>
      <c r="S888">
        <f t="shared" si="217"/>
        <v>5.8812080099982671</v>
      </c>
      <c r="T888">
        <f t="shared" si="218"/>
        <v>886801.28920291818</v>
      </c>
      <c r="U888">
        <f t="shared" si="219"/>
        <v>905133.18313852989</v>
      </c>
      <c r="V888">
        <f t="shared" si="220"/>
        <v>876426.63801517535</v>
      </c>
      <c r="W888">
        <f t="shared" si="221"/>
        <v>-1.712614887917822</v>
      </c>
      <c r="X888">
        <f t="shared" si="222"/>
        <v>-7.8789827133012968E-2</v>
      </c>
      <c r="Y888">
        <f t="shared" si="223"/>
        <v>-0.24133595152298412</v>
      </c>
      <c r="Z888">
        <f t="shared" si="224"/>
        <v>5.0392982974984104</v>
      </c>
      <c r="AA888">
        <f t="shared" si="225"/>
        <v>0.2045438948309429</v>
      </c>
      <c r="AB888">
        <f t="shared" si="226"/>
        <v>0.63736581766891409</v>
      </c>
    </row>
    <row r="889" spans="12:28" x14ac:dyDescent="0.25">
      <c r="L889">
        <v>885</v>
      </c>
      <c r="M889">
        <f t="shared" si="231"/>
        <v>442.5</v>
      </c>
      <c r="N889">
        <f t="shared" si="227"/>
        <v>305498.44307886681</v>
      </c>
      <c r="O889">
        <f t="shared" si="228"/>
        <v>-835734.8277516471</v>
      </c>
      <c r="P889">
        <f t="shared" si="229"/>
        <v>291.85885502926448</v>
      </c>
      <c r="Q889">
        <f t="shared" si="230"/>
        <v>-2193.8008356362793</v>
      </c>
      <c r="R889">
        <f t="shared" si="216"/>
        <v>-2.0263190911530153</v>
      </c>
      <c r="S889">
        <f t="shared" si="217"/>
        <v>5.8673475036934652</v>
      </c>
      <c r="T889">
        <f t="shared" si="218"/>
        <v>887887.61202927516</v>
      </c>
      <c r="U889">
        <f t="shared" si="219"/>
        <v>906210.03929490573</v>
      </c>
      <c r="V889">
        <f t="shared" si="220"/>
        <v>877504.9519170397</v>
      </c>
      <c r="W889">
        <f t="shared" si="221"/>
        <v>-1.7072137924564583</v>
      </c>
      <c r="X889">
        <f t="shared" si="222"/>
        <v>-7.8544572772078505E-2</v>
      </c>
      <c r="Y889">
        <f t="shared" si="223"/>
        <v>-0.24056072592447839</v>
      </c>
      <c r="Z889">
        <f t="shared" si="224"/>
        <v>5.0273972714436903</v>
      </c>
      <c r="AA889">
        <f t="shared" si="225"/>
        <v>0.20408048682471069</v>
      </c>
      <c r="AB889">
        <f t="shared" si="226"/>
        <v>0.63586974542506469</v>
      </c>
    </row>
    <row r="890" spans="12:28" x14ac:dyDescent="0.25">
      <c r="L890">
        <v>886</v>
      </c>
      <c r="M890">
        <f t="shared" si="231"/>
        <v>443</v>
      </c>
      <c r="N890">
        <f t="shared" si="227"/>
        <v>305644.11921649502</v>
      </c>
      <c r="O890">
        <f t="shared" si="228"/>
        <v>-836830.9947510272</v>
      </c>
      <c r="P890">
        <f t="shared" si="229"/>
        <v>290.84569548368796</v>
      </c>
      <c r="Q890">
        <f t="shared" si="230"/>
        <v>-2190.8671618844328</v>
      </c>
      <c r="R890">
        <f t="shared" si="216"/>
        <v>-2.0199330162907319</v>
      </c>
      <c r="S890">
        <f t="shared" si="217"/>
        <v>5.8535552381441844</v>
      </c>
      <c r="T890">
        <f t="shared" si="218"/>
        <v>888972.43296205264</v>
      </c>
      <c r="U890">
        <f t="shared" si="219"/>
        <v>907285.41598071612</v>
      </c>
      <c r="V890">
        <f t="shared" si="220"/>
        <v>878581.78488815424</v>
      </c>
      <c r="W890">
        <f t="shared" si="221"/>
        <v>-1.7018425136122177</v>
      </c>
      <c r="X890">
        <f t="shared" si="222"/>
        <v>-7.8300658697611658E-2</v>
      </c>
      <c r="Y890">
        <f t="shared" si="223"/>
        <v>-0.23978984398090245</v>
      </c>
      <c r="Z890">
        <f t="shared" si="224"/>
        <v>5.0155549502418397</v>
      </c>
      <c r="AA890">
        <f t="shared" si="225"/>
        <v>0.20361929106564514</v>
      </c>
      <c r="AB890">
        <f t="shared" si="226"/>
        <v>0.63438099683669957</v>
      </c>
    </row>
    <row r="891" spans="12:28" x14ac:dyDescent="0.25">
      <c r="L891">
        <v>887</v>
      </c>
      <c r="M891">
        <f t="shared" si="231"/>
        <v>443.5</v>
      </c>
      <c r="N891">
        <f t="shared" si="227"/>
        <v>305789.28957260982</v>
      </c>
      <c r="O891">
        <f t="shared" si="228"/>
        <v>-837925.69663756469</v>
      </c>
      <c r="P891">
        <f t="shared" si="229"/>
        <v>289.83572897554262</v>
      </c>
      <c r="Q891">
        <f t="shared" si="230"/>
        <v>-2187.9403842653605</v>
      </c>
      <c r="R891">
        <f t="shared" si="216"/>
        <v>-2.0135821674771339</v>
      </c>
      <c r="S891">
        <f t="shared" si="217"/>
        <v>5.8398307332443347</v>
      </c>
      <c r="T891">
        <f t="shared" si="218"/>
        <v>890055.75560542312</v>
      </c>
      <c r="U891">
        <f t="shared" si="219"/>
        <v>908359.31669055135</v>
      </c>
      <c r="V891">
        <f t="shared" si="220"/>
        <v>879657.14042430685</v>
      </c>
      <c r="W891">
        <f t="shared" si="221"/>
        <v>-1.6965008210339396</v>
      </c>
      <c r="X891">
        <f t="shared" si="222"/>
        <v>-7.8058074678873823E-2</v>
      </c>
      <c r="Y891">
        <f t="shared" si="223"/>
        <v>-0.23902327176432045</v>
      </c>
      <c r="Z891">
        <f t="shared" si="224"/>
        <v>5.0037709200187193</v>
      </c>
      <c r="AA891">
        <f t="shared" si="225"/>
        <v>0.20316029246111755</v>
      </c>
      <c r="AB891">
        <f t="shared" si="226"/>
        <v>0.63289952076449729</v>
      </c>
    </row>
    <row r="892" spans="12:28" x14ac:dyDescent="0.25">
      <c r="L892">
        <v>888</v>
      </c>
      <c r="M892">
        <f t="shared" si="231"/>
        <v>444</v>
      </c>
      <c r="N892">
        <f t="shared" si="227"/>
        <v>305933.95573932666</v>
      </c>
      <c r="O892">
        <f t="shared" si="228"/>
        <v>-839018.93685085571</v>
      </c>
      <c r="P892">
        <f t="shared" si="229"/>
        <v>288.82893789180406</v>
      </c>
      <c r="Q892">
        <f t="shared" si="230"/>
        <v>-2185.0204688987383</v>
      </c>
      <c r="R892">
        <f t="shared" si="216"/>
        <v>-2.0072662729244479</v>
      </c>
      <c r="S892">
        <f t="shared" si="217"/>
        <v>5.8261735133083485</v>
      </c>
      <c r="T892">
        <f t="shared" si="218"/>
        <v>891137.58354565431</v>
      </c>
      <c r="U892">
        <f t="shared" si="219"/>
        <v>909431.74490186048</v>
      </c>
      <c r="V892">
        <f t="shared" si="220"/>
        <v>880731.02200417593</v>
      </c>
      <c r="W892">
        <f t="shared" si="221"/>
        <v>-1.6911884866532911</v>
      </c>
      <c r="X892">
        <f t="shared" si="222"/>
        <v>-7.7816810585231141E-2</v>
      </c>
      <c r="Y892">
        <f t="shared" si="223"/>
        <v>-0.2382609756859258</v>
      </c>
      <c r="Z892">
        <f t="shared" si="224"/>
        <v>4.9920447707190521</v>
      </c>
      <c r="AA892">
        <f t="shared" si="225"/>
        <v>0.20270347605340253</v>
      </c>
      <c r="AB892">
        <f t="shared" si="226"/>
        <v>0.63142526653589393</v>
      </c>
    </row>
    <row r="893" spans="12:28" x14ac:dyDescent="0.25">
      <c r="L893">
        <v>889</v>
      </c>
      <c r="M893">
        <f t="shared" si="231"/>
        <v>444.5</v>
      </c>
      <c r="N893">
        <f t="shared" si="227"/>
        <v>306078.11929998844</v>
      </c>
      <c r="O893">
        <f t="shared" si="228"/>
        <v>-840110.71881361597</v>
      </c>
      <c r="P893">
        <f t="shared" si="229"/>
        <v>287.82530475534185</v>
      </c>
      <c r="Q893">
        <f t="shared" si="230"/>
        <v>-2182.1073821420841</v>
      </c>
      <c r="R893">
        <f t="shared" si="216"/>
        <v>-2.0009850635341624</v>
      </c>
      <c r="S893">
        <f t="shared" si="217"/>
        <v>5.8125831070212648</v>
      </c>
      <c r="T893">
        <f t="shared" si="218"/>
        <v>892217.92035123624</v>
      </c>
      <c r="U893">
        <f t="shared" si="219"/>
        <v>910502.70407507324</v>
      </c>
      <c r="V893">
        <f t="shared" si="220"/>
        <v>881803.43308944989</v>
      </c>
      <c r="W893">
        <f t="shared" si="221"/>
        <v>-1.6859052846572711</v>
      </c>
      <c r="X893">
        <f t="shared" si="222"/>
        <v>-7.757685638495683E-2</v>
      </c>
      <c r="Y893">
        <f t="shared" si="223"/>
        <v>-0.23750292249193453</v>
      </c>
      <c r="Z893">
        <f t="shared" si="224"/>
        <v>4.9803760960632051</v>
      </c>
      <c r="AA893">
        <f t="shared" si="225"/>
        <v>0.20224882701817842</v>
      </c>
      <c r="AB893">
        <f t="shared" si="226"/>
        <v>0.62995818393988179</v>
      </c>
    </row>
    <row r="894" spans="12:28" x14ac:dyDescent="0.25">
      <c r="L894">
        <v>890</v>
      </c>
      <c r="M894">
        <f t="shared" si="231"/>
        <v>445</v>
      </c>
      <c r="N894">
        <f t="shared" si="227"/>
        <v>306221.78182923316</v>
      </c>
      <c r="O894">
        <f t="shared" si="228"/>
        <v>-841201.04593179864</v>
      </c>
      <c r="P894">
        <f t="shared" si="229"/>
        <v>286.82481222357478</v>
      </c>
      <c r="Q894">
        <f t="shared" si="230"/>
        <v>-2179.2010905885736</v>
      </c>
      <c r="R894">
        <f t="shared" si="216"/>
        <v>-1.9947382728645295</v>
      </c>
      <c r="S894">
        <f t="shared" si="217"/>
        <v>5.7990590473890045</v>
      </c>
      <c r="T894">
        <f t="shared" si="218"/>
        <v>893296.76957300759</v>
      </c>
      <c r="U894">
        <f t="shared" si="219"/>
        <v>911572.19765371724</v>
      </c>
      <c r="V894">
        <f t="shared" si="220"/>
        <v>882874.37712494575</v>
      </c>
      <c r="W894">
        <f t="shared" si="221"/>
        <v>-1.6806509914609595</v>
      </c>
      <c r="X894">
        <f t="shared" si="222"/>
        <v>-7.7338202144060134E-2</v>
      </c>
      <c r="Y894">
        <f t="shared" si="223"/>
        <v>-0.23674907925950997</v>
      </c>
      <c r="Z894">
        <f t="shared" si="224"/>
        <v>4.9687644935041266</v>
      </c>
      <c r="AA894">
        <f t="shared" si="225"/>
        <v>0.20179633066307315</v>
      </c>
      <c r="AB894">
        <f t="shared" si="226"/>
        <v>0.62849822322180549</v>
      </c>
    </row>
    <row r="895" spans="12:28" x14ac:dyDescent="0.25">
      <c r="L895">
        <v>891</v>
      </c>
      <c r="M895">
        <f t="shared" si="231"/>
        <v>445.5</v>
      </c>
      <c r="N895">
        <f t="shared" si="227"/>
        <v>306364.94489306083</v>
      </c>
      <c r="O895">
        <f t="shared" si="228"/>
        <v>-842289.92159471195</v>
      </c>
      <c r="P895">
        <f t="shared" si="229"/>
        <v>285.82744308714251</v>
      </c>
      <c r="Q895">
        <f t="shared" si="230"/>
        <v>-2176.301561064879</v>
      </c>
      <c r="R895">
        <f t="shared" si="216"/>
        <v>-1.9885256370986806</v>
      </c>
      <c r="S895">
        <f t="shared" si="217"/>
        <v>5.7856008716897529</v>
      </c>
      <c r="T895">
        <f t="shared" si="218"/>
        <v>894374.13474427967</v>
      </c>
      <c r="U895">
        <f t="shared" si="219"/>
        <v>912640.22906453721</v>
      </c>
      <c r="V895">
        <f t="shared" si="220"/>
        <v>883943.85753872595</v>
      </c>
      <c r="W895">
        <f t="shared" si="221"/>
        <v>-1.6754253856807946</v>
      </c>
      <c r="X895">
        <f t="shared" si="222"/>
        <v>-7.7100838025124949E-2</v>
      </c>
      <c r="Y895">
        <f t="shared" si="223"/>
        <v>-0.23599941339276087</v>
      </c>
      <c r="Z895">
        <f t="shared" si="224"/>
        <v>4.9572095641852751</v>
      </c>
      <c r="AA895">
        <f t="shared" si="225"/>
        <v>0.20134597242621169</v>
      </c>
      <c r="AB895">
        <f t="shared" si="226"/>
        <v>0.62704533507826599</v>
      </c>
    </row>
    <row r="896" spans="12:28" x14ac:dyDescent="0.25">
      <c r="L896">
        <v>892</v>
      </c>
      <c r="M896">
        <f t="shared" si="231"/>
        <v>446</v>
      </c>
      <c r="N896">
        <f t="shared" si="227"/>
        <v>306507.61004889978</v>
      </c>
      <c r="O896">
        <f t="shared" si="228"/>
        <v>-843377.34917513537</v>
      </c>
      <c r="P896">
        <f t="shared" si="229"/>
        <v>284.8331802685932</v>
      </c>
      <c r="Q896">
        <f t="shared" si="230"/>
        <v>-2173.4087606290341</v>
      </c>
      <c r="R896">
        <f t="shared" si="216"/>
        <v>-1.9823468950130665</v>
      </c>
      <c r="S896">
        <f t="shared" si="217"/>
        <v>5.7722081214256322</v>
      </c>
      <c r="T896">
        <f t="shared" si="218"/>
        <v>895450.01938096015</v>
      </c>
      <c r="U896">
        <f t="shared" si="219"/>
        <v>913706.8017176108</v>
      </c>
      <c r="V896">
        <f t="shared" si="220"/>
        <v>885011.87774221518</v>
      </c>
      <c r="W896">
        <f t="shared" si="221"/>
        <v>-1.6702282481081103</v>
      </c>
      <c r="X896">
        <f t="shared" si="222"/>
        <v>-7.6864754286164683E-2</v>
      </c>
      <c r="Y896">
        <f t="shared" si="223"/>
        <v>-0.23525389261879145</v>
      </c>
      <c r="Z896">
        <f t="shared" si="224"/>
        <v>4.94571091289877</v>
      </c>
      <c r="AA896">
        <f t="shared" si="225"/>
        <v>0.20089773787478182</v>
      </c>
      <c r="AB896">
        <f t="shared" si="226"/>
        <v>0.62559947065208044</v>
      </c>
    </row>
    <row r="897" spans="12:28" x14ac:dyDescent="0.25">
      <c r="L897">
        <v>893</v>
      </c>
      <c r="M897">
        <f t="shared" si="231"/>
        <v>446.5</v>
      </c>
      <c r="N897">
        <f t="shared" si="227"/>
        <v>306649.7788456722</v>
      </c>
      <c r="O897">
        <f t="shared" si="228"/>
        <v>-844463.33202943474</v>
      </c>
      <c r="P897">
        <f t="shared" si="229"/>
        <v>283.84200682108667</v>
      </c>
      <c r="Q897">
        <f t="shared" si="230"/>
        <v>-2170.5226565683211</v>
      </c>
      <c r="R897">
        <f t="shared" si="216"/>
        <v>-1.9762017879464417</v>
      </c>
      <c r="S897">
        <f t="shared" si="217"/>
        <v>5.7588803422753028</v>
      </c>
      <c r="T897">
        <f t="shared" si="218"/>
        <v>896524.42698167602</v>
      </c>
      <c r="U897">
        <f t="shared" si="219"/>
        <v>914771.919006465</v>
      </c>
      <c r="V897">
        <f t="shared" si="220"/>
        <v>886078.44113031472</v>
      </c>
      <c r="W897">
        <f t="shared" si="221"/>
        <v>-1.6650593616831393</v>
      </c>
      <c r="X897">
        <f t="shared" si="222"/>
        <v>-7.6629941279497099E-2</v>
      </c>
      <c r="Y897">
        <f t="shared" si="223"/>
        <v>-0.23451248498380547</v>
      </c>
      <c r="Z897">
        <f t="shared" si="224"/>
        <v>4.93426814804437</v>
      </c>
      <c r="AA897">
        <f t="shared" si="225"/>
        <v>0.20045161270362979</v>
      </c>
      <c r="AB897">
        <f t="shared" si="226"/>
        <v>0.62416058152730269</v>
      </c>
    </row>
    <row r="898" spans="12:28" x14ac:dyDescent="0.25">
      <c r="L898">
        <v>894</v>
      </c>
      <c r="M898">
        <f t="shared" si="231"/>
        <v>447</v>
      </c>
      <c r="N898">
        <f t="shared" si="227"/>
        <v>306791.45282385923</v>
      </c>
      <c r="O898">
        <f t="shared" si="228"/>
        <v>-845547.8734976761</v>
      </c>
      <c r="P898">
        <f t="shared" si="229"/>
        <v>282.85390592711343</v>
      </c>
      <c r="Q898">
        <f t="shared" si="230"/>
        <v>-2167.6432163971836</v>
      </c>
      <c r="R898">
        <f t="shared" si="216"/>
        <v>-1.9700900597691957</v>
      </c>
      <c r="S898">
        <f t="shared" si="217"/>
        <v>5.7456170840469269</v>
      </c>
      <c r="T898">
        <f t="shared" si="218"/>
        <v>897597.36102789349</v>
      </c>
      <c r="U898">
        <f t="shared" si="219"/>
        <v>915835.58430819027</v>
      </c>
      <c r="V898">
        <f t="shared" si="220"/>
        <v>887143.55108151725</v>
      </c>
      <c r="W898">
        <f t="shared" si="221"/>
        <v>-1.6599185114692929</v>
      </c>
      <c r="X898">
        <f t="shared" si="222"/>
        <v>-7.6396389450631222E-2</v>
      </c>
      <c r="Y898">
        <f t="shared" si="223"/>
        <v>-0.2337751588492715</v>
      </c>
      <c r="Z898">
        <f t="shared" si="224"/>
        <v>4.9228808815887373</v>
      </c>
      <c r="AA898">
        <f t="shared" si="225"/>
        <v>0.20000758273386463</v>
      </c>
      <c r="AB898">
        <f t="shared" si="226"/>
        <v>0.62272861972432514</v>
      </c>
    </row>
    <row r="899" spans="12:28" x14ac:dyDescent="0.25">
      <c r="L899">
        <v>895</v>
      </c>
      <c r="M899">
        <f t="shared" si="231"/>
        <v>447.5</v>
      </c>
      <c r="N899">
        <f t="shared" si="227"/>
        <v>306932.63351556537</v>
      </c>
      <c r="O899">
        <f t="shared" si="228"/>
        <v>-846630.97690373915</v>
      </c>
      <c r="P899">
        <f t="shared" si="229"/>
        <v>281.86886089722884</v>
      </c>
      <c r="Q899">
        <f t="shared" si="230"/>
        <v>-2164.7704078551601</v>
      </c>
      <c r="R899">
        <f t="shared" si="216"/>
        <v>-1.9640114568532534</v>
      </c>
      <c r="S899">
        <f t="shared" si="217"/>
        <v>5.7324179006321776</v>
      </c>
      <c r="T899">
        <f t="shared" si="218"/>
        <v>898668.82498403988</v>
      </c>
      <c r="U899">
        <f t="shared" si="219"/>
        <v>916897.80098355422</v>
      </c>
      <c r="V899">
        <f t="shared" si="220"/>
        <v>888207.21095801936</v>
      </c>
      <c r="W899">
        <f t="shared" si="221"/>
        <v>-1.6548054846279385</v>
      </c>
      <c r="X899">
        <f t="shared" si="222"/>
        <v>-7.6164089337173432E-2</v>
      </c>
      <c r="Y899">
        <f t="shared" si="223"/>
        <v>-0.23304188288814162</v>
      </c>
      <c r="Z899">
        <f t="shared" si="224"/>
        <v>4.9115487290256459</v>
      </c>
      <c r="AA899">
        <f t="shared" si="225"/>
        <v>0.19956563391148965</v>
      </c>
      <c r="AB899">
        <f t="shared" si="226"/>
        <v>0.62130353769504254</v>
      </c>
    </row>
    <row r="900" spans="12:28" x14ac:dyDescent="0.25">
      <c r="L900">
        <v>896</v>
      </c>
      <c r="M900">
        <f t="shared" si="231"/>
        <v>448</v>
      </c>
      <c r="N900">
        <f t="shared" si="227"/>
        <v>307073.32244458189</v>
      </c>
      <c r="O900">
        <f t="shared" si="228"/>
        <v>-847712.64555542904</v>
      </c>
      <c r="P900">
        <f t="shared" si="229"/>
        <v>280.88685516880224</v>
      </c>
      <c r="Q900">
        <f t="shared" si="230"/>
        <v>-2161.9041989048442</v>
      </c>
      <c r="R900">
        <f t="shared" si="216"/>
        <v>-1.9579657280422074</v>
      </c>
      <c r="S900">
        <f t="shared" si="217"/>
        <v>5.7192823499602872</v>
      </c>
      <c r="T900">
        <f t="shared" si="218"/>
        <v>899738.82229762082</v>
      </c>
      <c r="U900">
        <f t="shared" si="219"/>
        <v>917958.57237711479</v>
      </c>
      <c r="V900">
        <f t="shared" si="220"/>
        <v>889269.42410583398</v>
      </c>
      <c r="W900">
        <f t="shared" si="221"/>
        <v>-1.6497200703933519</v>
      </c>
      <c r="X900">
        <f t="shared" si="222"/>
        <v>-7.5933031567740811E-2</v>
      </c>
      <c r="Y900">
        <f t="shared" si="223"/>
        <v>-0.23231262608111464</v>
      </c>
      <c r="Z900">
        <f t="shared" si="224"/>
        <v>4.9002713093361967</v>
      </c>
      <c r="AA900">
        <f t="shared" si="225"/>
        <v>0.19912575230603241</v>
      </c>
      <c r="AB900">
        <f t="shared" si="226"/>
        <v>0.61988528831805867</v>
      </c>
    </row>
    <row r="901" spans="12:28" x14ac:dyDescent="0.25">
      <c r="L901">
        <v>897</v>
      </c>
      <c r="M901">
        <f t="shared" si="231"/>
        <v>448.5</v>
      </c>
      <c r="N901">
        <f t="shared" si="227"/>
        <v>307213.52112645033</v>
      </c>
      <c r="O901">
        <f t="shared" si="228"/>
        <v>-848792.88274458773</v>
      </c>
      <c r="P901">
        <f t="shared" si="229"/>
        <v>279.90787230478116</v>
      </c>
      <c r="Q901">
        <f t="shared" si="230"/>
        <v>-2159.0445577298642</v>
      </c>
      <c r="R901">
        <f t="shared" ref="R901:R964" si="232">SUM(W901:Y901)</f>
        <v>-1.9519526246219976</v>
      </c>
      <c r="S901">
        <f t="shared" ref="S901:S964" si="233">SUM(Z901:AB901)</f>
        <v>5.7062099939530846</v>
      </c>
      <c r="T901">
        <f t="shared" ref="T901:T964" si="234">SQRT(($D$18-N901)^2 + ($E$18 - O901) ^2)</f>
        <v>900807.35639933986</v>
      </c>
      <c r="U901">
        <f t="shared" ref="U901:U964" si="235">SQRT(($D$26-N901)^2 + ($E$26- O901) ^2)</f>
        <v>919017.90181733086</v>
      </c>
      <c r="V901">
        <f t="shared" ref="V901:V964" si="236">SQRT(($D$34-N901)^2 + ($E$34 - O901) ^2)</f>
        <v>890330.19385490136</v>
      </c>
      <c r="W901">
        <f t="shared" ref="W901:W964" si="237">$D$22*(($D$18-N901)/(T901^2+($D$23^2))^(3/2))</f>
        <v>-1.6446620600481321</v>
      </c>
      <c r="X901">
        <f t="shared" ref="X901:X964" si="238">$D$30*(($D$26-N901)/(U901^2+($D$31^2))^(3/2))</f>
        <v>-7.570320686090197E-2</v>
      </c>
      <c r="Y901">
        <f t="shared" ref="Y901:Y964" si="239">$D$38*(($D$34-N901)/(V901^2+($D$39^2))^(3/2))</f>
        <v>-0.2315873577129634</v>
      </c>
      <c r="Z901">
        <f t="shared" ref="Z901:Z964" si="240">$D$22*(($E$18-O901)/(T901^2+($D$23^2))^(3/2))</f>
        <v>4.8890482449498789</v>
      </c>
      <c r="AA901">
        <f t="shared" ref="AA901:AA964" si="241">$D$30*(($E$26-O901)/(U901^2+($D$31^2))^(3/2))</f>
        <v>0.19868792410922317</v>
      </c>
      <c r="AB901">
        <f t="shared" ref="AB901:AB964" si="242">$D$38*(($E$34-O901)/(V901^2+($D$39^2))^(3/2))</f>
        <v>0.61847382489398195</v>
      </c>
    </row>
    <row r="902" spans="12:28" x14ac:dyDescent="0.25">
      <c r="L902">
        <v>898</v>
      </c>
      <c r="M902">
        <f t="shared" si="231"/>
        <v>449</v>
      </c>
      <c r="N902">
        <f t="shared" ref="N902:N965" si="243">(N901)+(P901)*(M902-M901)+((1/2*(R901))*((M902-M901)^2))</f>
        <v>307353.23106852465</v>
      </c>
      <c r="O902">
        <f t="shared" ref="O902:O965" si="244">(O901)+(Q901)*(M902-M901)+((1/2*(S901))*((M902-M901)^2))</f>
        <v>-849871.69174720347</v>
      </c>
      <c r="P902">
        <f t="shared" ref="P902:P965" si="245">P901+(R901*(M902-M901))</f>
        <v>278.93189599247017</v>
      </c>
      <c r="Q902">
        <f t="shared" ref="Q902:Q965" si="246">Q901+(S901*(M902-M901))</f>
        <v>-2156.1914527328877</v>
      </c>
      <c r="R902">
        <f t="shared" si="232"/>
        <v>-1.9459719002920222</v>
      </c>
      <c r="S902">
        <f t="shared" si="233"/>
        <v>5.6932003984806885</v>
      </c>
      <c r="T902">
        <f t="shared" si="234"/>
        <v>901874.43070321414</v>
      </c>
      <c r="U902">
        <f t="shared" si="235"/>
        <v>920075.79261667386</v>
      </c>
      <c r="V902">
        <f t="shared" si="236"/>
        <v>891389.52351919899</v>
      </c>
      <c r="W902">
        <f t="shared" si="237"/>
        <v>-1.6396312468989926</v>
      </c>
      <c r="X902">
        <f t="shared" si="238"/>
        <v>-7.5474606024119997E-2</v>
      </c>
      <c r="Y902">
        <f t="shared" si="239"/>
        <v>-0.23086604736890953</v>
      </c>
      <c r="Z902">
        <f t="shared" si="240"/>
        <v>4.8778791617062538</v>
      </c>
      <c r="AA902">
        <f t="shared" si="241"/>
        <v>0.19825213563365923</v>
      </c>
      <c r="AB902">
        <f t="shared" si="242"/>
        <v>0.61706910114077562</v>
      </c>
    </row>
    <row r="903" spans="12:28" x14ac:dyDescent="0.25">
      <c r="L903">
        <v>899</v>
      </c>
      <c r="M903">
        <f t="shared" si="231"/>
        <v>449.5</v>
      </c>
      <c r="N903">
        <f t="shared" si="243"/>
        <v>307492.45377003337</v>
      </c>
      <c r="O903">
        <f t="shared" si="244"/>
        <v>-850949.07582352008</v>
      </c>
      <c r="P903">
        <f t="shared" si="245"/>
        <v>277.95891004232419</v>
      </c>
      <c r="Q903">
        <f t="shared" si="246"/>
        <v>-2153.3448525336476</v>
      </c>
      <c r="R903">
        <f t="shared" si="232"/>
        <v>-1.9400233111365537</v>
      </c>
      <c r="S903">
        <f t="shared" si="233"/>
        <v>5.680253133317513</v>
      </c>
      <c r="T903">
        <f t="shared" si="234"/>
        <v>902940.04860669072</v>
      </c>
      <c r="U903">
        <f t="shared" si="235"/>
        <v>921132.24807173631</v>
      </c>
      <c r="V903">
        <f t="shared" si="236"/>
        <v>892447.4163968506</v>
      </c>
      <c r="W903">
        <f t="shared" si="237"/>
        <v>-1.6346274262527938</v>
      </c>
      <c r="X903">
        <f t="shared" si="238"/>
        <v>-7.5247219952719199E-2</v>
      </c>
      <c r="Y903">
        <f t="shared" si="239"/>
        <v>-0.23014866493104078</v>
      </c>
      <c r="Z903">
        <f t="shared" si="240"/>
        <v>4.8667636888168593</v>
      </c>
      <c r="AA903">
        <f t="shared" si="241"/>
        <v>0.19781837331150948</v>
      </c>
      <c r="AB903">
        <f t="shared" si="242"/>
        <v>0.61567107118914399</v>
      </c>
    </row>
    <row r="904" spans="12:28" x14ac:dyDescent="0.25">
      <c r="L904">
        <v>900</v>
      </c>
      <c r="M904">
        <f t="shared" si="231"/>
        <v>450</v>
      </c>
      <c r="N904">
        <f t="shared" si="243"/>
        <v>307631.19072214066</v>
      </c>
      <c r="O904">
        <f t="shared" si="244"/>
        <v>-852025.03821814526</v>
      </c>
      <c r="P904">
        <f t="shared" si="245"/>
        <v>276.98889838675592</v>
      </c>
      <c r="Q904">
        <f t="shared" si="246"/>
        <v>-2150.5047259669886</v>
      </c>
      <c r="R904">
        <f t="shared" si="232"/>
        <v>-1.934106615596646</v>
      </c>
      <c r="S904">
        <f t="shared" si="233"/>
        <v>5.6673677720991078</v>
      </c>
      <c r="T904">
        <f t="shared" si="234"/>
        <v>904004.21349076123</v>
      </c>
      <c r="U904">
        <f t="shared" si="235"/>
        <v>922187.27146334131</v>
      </c>
      <c r="V904">
        <f t="shared" si="236"/>
        <v>893503.87577023474</v>
      </c>
      <c r="W904">
        <f t="shared" si="237"/>
        <v>-1.6296503953929866</v>
      </c>
      <c r="X904">
        <f t="shared" si="238"/>
        <v>-7.5021039628858727E-2</v>
      </c>
      <c r="Y904">
        <f t="shared" si="239"/>
        <v>-0.22943518057480081</v>
      </c>
      <c r="Z904">
        <f t="shared" si="240"/>
        <v>4.8557014588278493</v>
      </c>
      <c r="AA904">
        <f t="shared" si="241"/>
        <v>0.19738662369321747</v>
      </c>
      <c r="AB904">
        <f t="shared" si="242"/>
        <v>0.61427968957804036</v>
      </c>
    </row>
    <row r="905" spans="12:28" x14ac:dyDescent="0.25">
      <c r="L905">
        <v>901</v>
      </c>
      <c r="M905">
        <f t="shared" si="231"/>
        <v>450.5</v>
      </c>
      <c r="N905">
        <f t="shared" si="243"/>
        <v>307769.44340800709</v>
      </c>
      <c r="O905">
        <f t="shared" si="244"/>
        <v>-853099.58216015727</v>
      </c>
      <c r="P905">
        <f t="shared" si="245"/>
        <v>276.0218450789576</v>
      </c>
      <c r="Q905">
        <f t="shared" si="246"/>
        <v>-2147.6710420809391</v>
      </c>
      <c r="R905">
        <f t="shared" si="232"/>
        <v>-1.9282215744423377</v>
      </c>
      <c r="S905">
        <f t="shared" si="233"/>
        <v>5.6545438922792997</v>
      </c>
      <c r="T905">
        <f t="shared" si="234"/>
        <v>905066.92872007575</v>
      </c>
      <c r="U905">
        <f t="shared" si="235"/>
        <v>923240.86605664983</v>
      </c>
      <c r="V905">
        <f t="shared" si="236"/>
        <v>894558.90490609093</v>
      </c>
      <c r="W905">
        <f t="shared" si="237"/>
        <v>-1.6246999535563129</v>
      </c>
      <c r="X905">
        <f t="shared" si="238"/>
        <v>-7.4796056120527546E-2</v>
      </c>
      <c r="Y905">
        <f t="shared" si="239"/>
        <v>-0.22872556476549719</v>
      </c>
      <c r="Z905">
        <f t="shared" si="240"/>
        <v>4.8446921075829108</v>
      </c>
      <c r="AA905">
        <f t="shared" si="241"/>
        <v>0.19695687344623883</v>
      </c>
      <c r="AB905">
        <f t="shared" si="242"/>
        <v>0.61289491125014961</v>
      </c>
    </row>
    <row r="906" spans="12:28" x14ac:dyDescent="0.25">
      <c r="L906">
        <v>902</v>
      </c>
      <c r="M906">
        <f t="shared" si="231"/>
        <v>451</v>
      </c>
      <c r="N906">
        <f t="shared" si="243"/>
        <v>307907.21330284973</v>
      </c>
      <c r="O906">
        <f t="shared" si="244"/>
        <v>-854172.71086321119</v>
      </c>
      <c r="P906">
        <f t="shared" si="245"/>
        <v>275.05773429173644</v>
      </c>
      <c r="Q906">
        <f t="shared" si="246"/>
        <v>-2144.8437701347993</v>
      </c>
      <c r="R906">
        <f t="shared" si="232"/>
        <v>-1.9223679507453164</v>
      </c>
      <c r="S906">
        <f t="shared" si="233"/>
        <v>5.6417810750881197</v>
      </c>
      <c r="T906">
        <f t="shared" si="234"/>
        <v>906128.19764305523</v>
      </c>
      <c r="U906">
        <f t="shared" si="235"/>
        <v>924293.03510126693</v>
      </c>
      <c r="V906">
        <f t="shared" si="236"/>
        <v>895612.50705562707</v>
      </c>
      <c r="W906">
        <f t="shared" si="237"/>
        <v>-1.6197759019098854</v>
      </c>
      <c r="X906">
        <f t="shared" si="238"/>
        <v>-7.4572260580547209E-2</v>
      </c>
      <c r="Y906">
        <f t="shared" si="239"/>
        <v>-0.22801978825488381</v>
      </c>
      <c r="Z906">
        <f t="shared" si="240"/>
        <v>4.8337352741868393</v>
      </c>
      <c r="AA906">
        <f t="shared" si="241"/>
        <v>0.19652910935378076</v>
      </c>
      <c r="AB906">
        <f t="shared" si="242"/>
        <v>0.6115166915474991</v>
      </c>
    </row>
    <row r="907" spans="12:28" x14ac:dyDescent="0.25">
      <c r="L907">
        <v>903</v>
      </c>
      <c r="M907">
        <f t="shared" si="231"/>
        <v>451.5</v>
      </c>
      <c r="N907">
        <f t="shared" si="243"/>
        <v>308044.50187400175</v>
      </c>
      <c r="O907">
        <f t="shared" si="244"/>
        <v>-855244.42752564419</v>
      </c>
      <c r="P907">
        <f t="shared" si="245"/>
        <v>274.09655031636379</v>
      </c>
      <c r="Q907">
        <f t="shared" si="246"/>
        <v>-2142.0228795972553</v>
      </c>
      <c r="R907">
        <f t="shared" si="232"/>
        <v>-1.9165455098519568</v>
      </c>
      <c r="S907">
        <f t="shared" si="233"/>
        <v>5.6290789054902586</v>
      </c>
      <c r="T907">
        <f t="shared" si="234"/>
        <v>907188.02359200327</v>
      </c>
      <c r="U907">
        <f t="shared" si="235"/>
        <v>925343.7818313482</v>
      </c>
      <c r="V907">
        <f t="shared" si="236"/>
        <v>896664.68545462377</v>
      </c>
      <c r="W907">
        <f t="shared" si="237"/>
        <v>-1.6148780435285832</v>
      </c>
      <c r="X907">
        <f t="shared" si="238"/>
        <v>-7.4349644245591276E-2</v>
      </c>
      <c r="Y907">
        <f t="shared" si="239"/>
        <v>-0.22731782207778237</v>
      </c>
      <c r="Z907">
        <f t="shared" si="240"/>
        <v>4.8228306009695912</v>
      </c>
      <c r="AA907">
        <f t="shared" si="241"/>
        <v>0.19610331831356409</v>
      </c>
      <c r="AB907">
        <f t="shared" si="242"/>
        <v>0.61014498620710378</v>
      </c>
    </row>
    <row r="908" spans="12:28" x14ac:dyDescent="0.25">
      <c r="L908">
        <v>904</v>
      </c>
      <c r="M908">
        <f t="shared" si="231"/>
        <v>452</v>
      </c>
      <c r="N908">
        <f t="shared" si="243"/>
        <v>308181.31058097119</v>
      </c>
      <c r="O908">
        <f t="shared" si="244"/>
        <v>-856314.73533057969</v>
      </c>
      <c r="P908">
        <f t="shared" si="245"/>
        <v>273.1382775614378</v>
      </c>
      <c r="Q908">
        <f t="shared" si="246"/>
        <v>-2139.2083401445102</v>
      </c>
      <c r="R908">
        <f t="shared" si="232"/>
        <v>-1.9107540193566874</v>
      </c>
      <c r="S908">
        <f t="shared" si="233"/>
        <v>5.6164369721439611</v>
      </c>
      <c r="T908">
        <f t="shared" si="234"/>
        <v>908246.40988321707</v>
      </c>
      <c r="U908">
        <f t="shared" si="235"/>
        <v>926393.10946570418</v>
      </c>
      <c r="V908">
        <f t="shared" si="236"/>
        <v>897715.44332353899</v>
      </c>
      <c r="W908">
        <f t="shared" si="237"/>
        <v>-1.6100061833727337</v>
      </c>
      <c r="X908">
        <f t="shared" si="238"/>
        <v>-7.4128198435215828E-2</v>
      </c>
      <c r="Y908">
        <f t="shared" si="239"/>
        <v>-0.22661963754873801</v>
      </c>
      <c r="Z908">
        <f t="shared" si="240"/>
        <v>4.811977733450731</v>
      </c>
      <c r="AA908">
        <f t="shared" si="241"/>
        <v>0.19567948733659618</v>
      </c>
      <c r="AB908">
        <f t="shared" si="242"/>
        <v>0.60877975135663409</v>
      </c>
    </row>
    <row r="909" spans="12:28" x14ac:dyDescent="0.25">
      <c r="L909">
        <v>905</v>
      </c>
      <c r="M909">
        <f t="shared" si="231"/>
        <v>452.5</v>
      </c>
      <c r="N909">
        <f t="shared" si="243"/>
        <v>308317.64087549946</v>
      </c>
      <c r="O909">
        <f t="shared" si="244"/>
        <v>-857383.63744603039</v>
      </c>
      <c r="P909">
        <f t="shared" si="245"/>
        <v>272.18290055175947</v>
      </c>
      <c r="Q909">
        <f t="shared" si="246"/>
        <v>-2136.4001216584384</v>
      </c>
      <c r="R909">
        <f t="shared" si="232"/>
        <v>-1.9049932490757386</v>
      </c>
      <c r="S909">
        <f t="shared" si="233"/>
        <v>5.6038548673604591</v>
      </c>
      <c r="T909">
        <f t="shared" si="234"/>
        <v>909303.35981709638</v>
      </c>
      <c r="U909">
        <f t="shared" si="235"/>
        <v>927441.02120790421</v>
      </c>
      <c r="V909">
        <f t="shared" si="236"/>
        <v>898764.78386761108</v>
      </c>
      <c r="W909">
        <f t="shared" si="237"/>
        <v>-1.6051601282660815</v>
      </c>
      <c r="X909">
        <f t="shared" si="238"/>
        <v>-7.3907914550908227E-2</v>
      </c>
      <c r="Y909">
        <f t="shared" si="239"/>
        <v>-0.2259252062587489</v>
      </c>
      <c r="Z909">
        <f t="shared" si="240"/>
        <v>4.8011763203042754</v>
      </c>
      <c r="AA909">
        <f t="shared" si="241"/>
        <v>0.19525760354597227</v>
      </c>
      <c r="AB909">
        <f t="shared" si="242"/>
        <v>0.6074209435102117</v>
      </c>
    </row>
    <row r="910" spans="12:28" x14ac:dyDescent="0.25">
      <c r="L910">
        <v>906</v>
      </c>
      <c r="M910">
        <f t="shared" si="231"/>
        <v>453</v>
      </c>
      <c r="N910">
        <f t="shared" si="243"/>
        <v>308453.49420161918</v>
      </c>
      <c r="O910">
        <f t="shared" si="244"/>
        <v>-858451.13702500111</v>
      </c>
      <c r="P910">
        <f t="shared" si="245"/>
        <v>271.23040392722163</v>
      </c>
      <c r="Q910">
        <f t="shared" si="246"/>
        <v>-2133.5981942247581</v>
      </c>
      <c r="R910">
        <f t="shared" si="232"/>
        <v>-1.8992629710213176</v>
      </c>
      <c r="S910">
        <f t="shared" si="233"/>
        <v>5.5913321870641735</v>
      </c>
      <c r="T910">
        <f t="shared" si="234"/>
        <v>910358.87667825306</v>
      </c>
      <c r="U910">
        <f t="shared" si="235"/>
        <v>928487.52024637908</v>
      </c>
      <c r="V910">
        <f t="shared" si="236"/>
        <v>899812.71027696179</v>
      </c>
      <c r="W910">
        <f t="shared" si="237"/>
        <v>-1.6003396868741622</v>
      </c>
      <c r="X910">
        <f t="shared" si="238"/>
        <v>-7.3688784075140623E-2</v>
      </c>
      <c r="Y910">
        <f t="shared" si="239"/>
        <v>-0.22523450007201479</v>
      </c>
      <c r="Z910">
        <f t="shared" si="240"/>
        <v>4.7904260133243106</v>
      </c>
      <c r="AA910">
        <f t="shared" si="241"/>
        <v>0.19483765417567048</v>
      </c>
      <c r="AB910">
        <f t="shared" si="242"/>
        <v>0.60606851956419261</v>
      </c>
    </row>
    <row r="911" spans="12:28" x14ac:dyDescent="0.25">
      <c r="L911">
        <v>907</v>
      </c>
      <c r="M911">
        <f t="shared" si="231"/>
        <v>453.5</v>
      </c>
      <c r="N911">
        <f t="shared" si="243"/>
        <v>308588.87199571141</v>
      </c>
      <c r="O911">
        <f t="shared" si="244"/>
        <v>-859517.23720559012</v>
      </c>
      <c r="P911">
        <f t="shared" si="245"/>
        <v>270.28077244171095</v>
      </c>
      <c r="Q911">
        <f t="shared" si="246"/>
        <v>-2130.8025281312262</v>
      </c>
      <c r="R911">
        <f t="shared" si="232"/>
        <v>-1.8935629593759895</v>
      </c>
      <c r="S911">
        <f t="shared" si="233"/>
        <v>5.5788685307529571</v>
      </c>
      <c r="T911">
        <f t="shared" si="234"/>
        <v>911412.9637356184</v>
      </c>
      <c r="U911">
        <f t="shared" si="235"/>
        <v>929532.60975452419</v>
      </c>
      <c r="V911">
        <f t="shared" si="236"/>
        <v>900859.22572669794</v>
      </c>
      <c r="W911">
        <f t="shared" si="237"/>
        <v>-1.5955446696828026</v>
      </c>
      <c r="X911">
        <f t="shared" si="238"/>
        <v>-7.3470798570445653E-2</v>
      </c>
      <c r="Y911">
        <f t="shared" si="239"/>
        <v>-0.22454749112274108</v>
      </c>
      <c r="Z911">
        <f t="shared" si="240"/>
        <v>4.7797264673905397</v>
      </c>
      <c r="AA911">
        <f t="shared" si="241"/>
        <v>0.19441962656938702</v>
      </c>
      <c r="AB911">
        <f t="shared" si="242"/>
        <v>0.60472243679302973</v>
      </c>
    </row>
    <row r="912" spans="12:28" x14ac:dyDescent="0.25">
      <c r="L912">
        <v>908</v>
      </c>
      <c r="M912">
        <f t="shared" si="231"/>
        <v>454</v>
      </c>
      <c r="N912">
        <f t="shared" si="243"/>
        <v>308723.77568656235</v>
      </c>
      <c r="O912">
        <f t="shared" si="244"/>
        <v>-860581.94111108943</v>
      </c>
      <c r="P912">
        <f t="shared" si="245"/>
        <v>269.33399096202294</v>
      </c>
      <c r="Q912">
        <f t="shared" si="246"/>
        <v>-2128.0130938658499</v>
      </c>
      <c r="R912">
        <f t="shared" si="232"/>
        <v>-1.8878929904675834</v>
      </c>
      <c r="S912">
        <f t="shared" si="233"/>
        <v>5.5664635014593928</v>
      </c>
      <c r="T912">
        <f t="shared" si="234"/>
        <v>912465.62424254965</v>
      </c>
      <c r="U912">
        <f t="shared" si="235"/>
        <v>930576.29289079888</v>
      </c>
      <c r="V912">
        <f t="shared" si="236"/>
        <v>901904.33337701089</v>
      </c>
      <c r="W912">
        <f t="shared" si="237"/>
        <v>-1.5907748889770963</v>
      </c>
      <c r="X912">
        <f t="shared" si="238"/>
        <v>-7.325394967849469E-2</v>
      </c>
      <c r="Y912">
        <f t="shared" si="239"/>
        <v>-0.22386415181199246</v>
      </c>
      <c r="Z912">
        <f t="shared" si="240"/>
        <v>4.7690773404348281</v>
      </c>
      <c r="AA912">
        <f t="shared" si="241"/>
        <v>0.1940035081793596</v>
      </c>
      <c r="AB912">
        <f t="shared" si="242"/>
        <v>0.60338265284520565</v>
      </c>
    </row>
    <row r="913" spans="12:28" x14ac:dyDescent="0.25">
      <c r="L913">
        <v>909</v>
      </c>
      <c r="M913">
        <f t="shared" ref="M913:M976" si="247">L913*$D$5</f>
        <v>454.5</v>
      </c>
      <c r="N913">
        <f t="shared" si="243"/>
        <v>308858.20669541956</v>
      </c>
      <c r="O913">
        <f t="shared" si="244"/>
        <v>-861645.25185008475</v>
      </c>
      <c r="P913">
        <f t="shared" si="245"/>
        <v>268.39004446678916</v>
      </c>
      <c r="Q913">
        <f t="shared" si="246"/>
        <v>-2125.2298621151203</v>
      </c>
      <c r="R913">
        <f t="shared" si="232"/>
        <v>-1.8822528427443459</v>
      </c>
      <c r="S913">
        <f t="shared" si="233"/>
        <v>5.5541167057123024</v>
      </c>
      <c r="T913">
        <f t="shared" si="234"/>
        <v>913516.86143693619</v>
      </c>
      <c r="U913">
        <f t="shared" si="235"/>
        <v>931618.5727988279</v>
      </c>
      <c r="V913">
        <f t="shared" si="236"/>
        <v>902948.03637327778</v>
      </c>
      <c r="W913">
        <f t="shared" si="237"/>
        <v>-1.586030158820569</v>
      </c>
      <c r="X913">
        <f t="shared" si="238"/>
        <v>-7.3038229119198883E-2</v>
      </c>
      <c r="Y913">
        <f t="shared" si="239"/>
        <v>-0.22318445480457802</v>
      </c>
      <c r="Z913">
        <f t="shared" si="240"/>
        <v>4.758478293407884</v>
      </c>
      <c r="AA913">
        <f t="shared" si="241"/>
        <v>0.1935892865652333</v>
      </c>
      <c r="AB913">
        <f t="shared" si="242"/>
        <v>0.60204912573918523</v>
      </c>
    </row>
    <row r="914" spans="12:28" x14ac:dyDescent="0.25">
      <c r="L914">
        <v>910</v>
      </c>
      <c r="M914">
        <f t="shared" si="247"/>
        <v>455</v>
      </c>
      <c r="N914">
        <f t="shared" si="243"/>
        <v>308992.16643604764</v>
      </c>
      <c r="O914">
        <f t="shared" si="244"/>
        <v>-862707.17251655413</v>
      </c>
      <c r="P914">
        <f t="shared" si="245"/>
        <v>267.44891804541697</v>
      </c>
      <c r="Q914">
        <f t="shared" si="246"/>
        <v>-2122.452803762264</v>
      </c>
      <c r="R914">
        <f t="shared" si="232"/>
        <v>-1.8766422967503689</v>
      </c>
      <c r="S914">
        <f t="shared" si="233"/>
        <v>5.5418277534985521</v>
      </c>
      <c r="T914">
        <f t="shared" si="234"/>
        <v>914566.67854130419</v>
      </c>
      <c r="U914">
        <f t="shared" si="235"/>
        <v>932659.4526075006</v>
      </c>
      <c r="V914">
        <f t="shared" si="236"/>
        <v>903990.33784615947</v>
      </c>
      <c r="W914">
        <f t="shared" si="237"/>
        <v>-1.581310295034571</v>
      </c>
      <c r="X914">
        <f t="shared" si="238"/>
        <v>-7.2823628689812361E-2</v>
      </c>
      <c r="Y914">
        <f t="shared" si="239"/>
        <v>-0.22250837302598556</v>
      </c>
      <c r="Z914">
        <f t="shared" si="240"/>
        <v>4.7479289902462005</v>
      </c>
      <c r="AA914">
        <f t="shared" si="241"/>
        <v>0.19317694939291416</v>
      </c>
      <c r="AB914">
        <f t="shared" si="242"/>
        <v>0.60072181385943746</v>
      </c>
    </row>
    <row r="915" spans="12:28" x14ac:dyDescent="0.25">
      <c r="L915">
        <v>911</v>
      </c>
      <c r="M915">
        <f t="shared" si="247"/>
        <v>455.5</v>
      </c>
      <c r="N915">
        <f t="shared" si="243"/>
        <v>309125.65631478326</v>
      </c>
      <c r="O915">
        <f t="shared" si="244"/>
        <v>-863767.70618996606</v>
      </c>
      <c r="P915">
        <f t="shared" si="245"/>
        <v>266.51059689704181</v>
      </c>
      <c r="Q915">
        <f t="shared" si="246"/>
        <v>-2119.6818898855149</v>
      </c>
      <c r="R915">
        <f t="shared" si="232"/>
        <v>-1.8710611351015709</v>
      </c>
      <c r="S915">
        <f t="shared" si="233"/>
        <v>5.5295962582260199</v>
      </c>
      <c r="T915">
        <f t="shared" si="234"/>
        <v>915615.07876292069</v>
      </c>
      <c r="U915">
        <f t="shared" si="235"/>
        <v>933698.93543106911</v>
      </c>
      <c r="V915">
        <f t="shared" si="236"/>
        <v>905031.24091169913</v>
      </c>
      <c r="W915">
        <f t="shared" si="237"/>
        <v>-1.5766151151781556</v>
      </c>
      <c r="X915">
        <f t="shared" si="238"/>
        <v>-7.2610140264055864E-2</v>
      </c>
      <c r="Y915">
        <f t="shared" si="239"/>
        <v>-0.22183587965935955</v>
      </c>
      <c r="Z915">
        <f t="shared" si="240"/>
        <v>4.7374290978400468</v>
      </c>
      <c r="AA915">
        <f t="shared" si="241"/>
        <v>0.19276648443345945</v>
      </c>
      <c r="AB915">
        <f t="shared" si="242"/>
        <v>0.59940067595251334</v>
      </c>
    </row>
    <row r="916" spans="12:28" x14ac:dyDescent="0.25">
      <c r="L916">
        <v>912</v>
      </c>
      <c r="M916">
        <f t="shared" si="247"/>
        <v>456</v>
      </c>
      <c r="N916">
        <f t="shared" si="243"/>
        <v>309258.67773058987</v>
      </c>
      <c r="O916">
        <f t="shared" si="244"/>
        <v>-864826.8559353766</v>
      </c>
      <c r="P916">
        <f t="shared" si="245"/>
        <v>265.57506632949099</v>
      </c>
      <c r="Q916">
        <f t="shared" si="246"/>
        <v>-2116.917091756402</v>
      </c>
      <c r="R916">
        <f t="shared" si="232"/>
        <v>-1.8655091424617307</v>
      </c>
      <c r="S916">
        <f t="shared" si="233"/>
        <v>5.5174218366862098</v>
      </c>
      <c r="T916">
        <f t="shared" si="234"/>
        <v>916662.06529389636</v>
      </c>
      <c r="U916">
        <f t="shared" si="235"/>
        <v>934737.02436924609</v>
      </c>
      <c r="V916">
        <f t="shared" si="236"/>
        <v>906070.74867141922</v>
      </c>
      <c r="W916">
        <f t="shared" si="237"/>
        <v>-1.5719444385279633</v>
      </c>
      <c r="X916">
        <f t="shared" si="238"/>
        <v>-7.2397755791247881E-2</v>
      </c>
      <c r="Y916">
        <f t="shared" si="239"/>
        <v>-0.22116694814251947</v>
      </c>
      <c r="Z916">
        <f t="shared" si="240"/>
        <v>4.726978286001069</v>
      </c>
      <c r="AA916">
        <f t="shared" si="241"/>
        <v>0.1923578795619709</v>
      </c>
      <c r="AB916">
        <f t="shared" si="242"/>
        <v>0.59808567112316979</v>
      </c>
    </row>
    <row r="917" spans="12:28" x14ac:dyDescent="0.25">
      <c r="L917">
        <v>913</v>
      </c>
      <c r="M917">
        <f t="shared" si="247"/>
        <v>456.5</v>
      </c>
      <c r="N917">
        <f t="shared" si="243"/>
        <v>309391.23207511177</v>
      </c>
      <c r="O917">
        <f t="shared" si="244"/>
        <v>-865884.62480352516</v>
      </c>
      <c r="P917">
        <f t="shared" si="245"/>
        <v>264.64231175826012</v>
      </c>
      <c r="Q917">
        <f t="shared" si="246"/>
        <v>-2114.1583808380587</v>
      </c>
      <c r="R917">
        <f t="shared" si="232"/>
        <v>-1.8599861055190405</v>
      </c>
      <c r="S917">
        <f t="shared" si="233"/>
        <v>5.5053041090179295</v>
      </c>
      <c r="T917">
        <f t="shared" si="234"/>
        <v>917707.64131128811</v>
      </c>
      <c r="U917">
        <f t="shared" si="235"/>
        <v>935773.72250730149</v>
      </c>
      <c r="V917">
        <f t="shared" si="236"/>
        <v>907108.86421241774</v>
      </c>
      <c r="W917">
        <f t="shared" si="237"/>
        <v>-1.567298086058585</v>
      </c>
      <c r="X917">
        <f t="shared" si="238"/>
        <v>-7.2186467295444506E-2</v>
      </c>
      <c r="Y917">
        <f t="shared" si="239"/>
        <v>-0.22050155216501116</v>
      </c>
      <c r="Z917">
        <f t="shared" si="240"/>
        <v>4.7165762274309113</v>
      </c>
      <c r="AA917">
        <f t="shared" si="241"/>
        <v>0.19195112275649331</v>
      </c>
      <c r="AB917">
        <f t="shared" si="242"/>
        <v>0.5967767588305245</v>
      </c>
    </row>
    <row r="918" spans="12:28" x14ac:dyDescent="0.25">
      <c r="L918">
        <v>914</v>
      </c>
      <c r="M918">
        <f t="shared" si="247"/>
        <v>457</v>
      </c>
      <c r="N918">
        <f t="shared" si="243"/>
        <v>309523.32073272771</v>
      </c>
      <c r="O918">
        <f t="shared" si="244"/>
        <v>-866941.01583093056</v>
      </c>
      <c r="P918">
        <f t="shared" si="245"/>
        <v>263.71231870550059</v>
      </c>
      <c r="Q918">
        <f t="shared" si="246"/>
        <v>-2111.4057287835499</v>
      </c>
      <c r="R918">
        <f t="shared" si="232"/>
        <v>-1.8544918129629189</v>
      </c>
      <c r="S918">
        <f t="shared" si="233"/>
        <v>5.4932426986712635</v>
      </c>
      <c r="T918">
        <f t="shared" si="234"/>
        <v>918751.8099772</v>
      </c>
      <c r="U918">
        <f t="shared" si="235"/>
        <v>936809.03291615867</v>
      </c>
      <c r="V918">
        <f t="shared" si="236"/>
        <v>908145.59060746431</v>
      </c>
      <c r="W918">
        <f t="shared" si="237"/>
        <v>-1.5626758804231129</v>
      </c>
      <c r="X918">
        <f t="shared" si="238"/>
        <v>-7.1976266874598821E-2</v>
      </c>
      <c r="Y918">
        <f t="shared" si="239"/>
        <v>-0.21983966566520702</v>
      </c>
      <c r="Z918">
        <f t="shared" si="240"/>
        <v>4.7062225976900338</v>
      </c>
      <c r="AA918">
        <f t="shared" si="241"/>
        <v>0.19154620209694914</v>
      </c>
      <c r="AB918">
        <f t="shared" si="242"/>
        <v>0.59547389888428115</v>
      </c>
    </row>
    <row r="919" spans="12:28" x14ac:dyDescent="0.25">
      <c r="L919">
        <v>915</v>
      </c>
      <c r="M919">
        <f t="shared" si="247"/>
        <v>457.5</v>
      </c>
      <c r="N919">
        <f t="shared" si="243"/>
        <v>309654.94508060382</v>
      </c>
      <c r="O919">
        <f t="shared" si="244"/>
        <v>-867996.03203998494</v>
      </c>
      <c r="P919">
        <f t="shared" si="245"/>
        <v>262.78507279901913</v>
      </c>
      <c r="Q919">
        <f t="shared" si="246"/>
        <v>-2108.6591074342141</v>
      </c>
      <c r="R919">
        <f t="shared" si="232"/>
        <v>-1.849026055461108</v>
      </c>
      <c r="S919">
        <f t="shared" si="233"/>
        <v>5.4812372323719352</v>
      </c>
      <c r="T919">
        <f t="shared" si="234"/>
        <v>919794.57443888311</v>
      </c>
      <c r="U919">
        <f t="shared" si="235"/>
        <v>937842.958652489</v>
      </c>
      <c r="V919">
        <f t="shared" si="236"/>
        <v>909180.93091509398</v>
      </c>
      <c r="W919">
        <f t="shared" si="237"/>
        <v>-1.5580776459339358</v>
      </c>
      <c r="X919">
        <f t="shared" si="238"/>
        <v>-7.1767146699725087E-2</v>
      </c>
      <c r="Y919">
        <f t="shared" si="239"/>
        <v>-0.21918126282744688</v>
      </c>
      <c r="Z919">
        <f t="shared" si="240"/>
        <v>4.6959170751668591</v>
      </c>
      <c r="AA919">
        <f t="shared" si="241"/>
        <v>0.1911431057640687</v>
      </c>
      <c r="AB919">
        <f t="shared" si="242"/>
        <v>0.59417705144100719</v>
      </c>
    </row>
    <row r="920" spans="12:28" x14ac:dyDescent="0.25">
      <c r="L920">
        <v>916</v>
      </c>
      <c r="M920">
        <f t="shared" si="247"/>
        <v>458</v>
      </c>
      <c r="N920">
        <f t="shared" si="243"/>
        <v>309786.10648874642</v>
      </c>
      <c r="O920">
        <f t="shared" si="244"/>
        <v>-869049.67643904802</v>
      </c>
      <c r="P920">
        <f t="shared" si="245"/>
        <v>261.86055977128859</v>
      </c>
      <c r="Q920">
        <f t="shared" si="246"/>
        <v>-2105.918488818028</v>
      </c>
      <c r="R920">
        <f t="shared" si="232"/>
        <v>-1.8435886256371272</v>
      </c>
      <c r="S920">
        <f t="shared" si="233"/>
        <v>5.4692873400862343</v>
      </c>
      <c r="T920">
        <f t="shared" si="234"/>
        <v>920835.93782883591</v>
      </c>
      <c r="U920">
        <f t="shared" si="235"/>
        <v>938875.50275880657</v>
      </c>
      <c r="V920">
        <f t="shared" si="236"/>
        <v>910214.88817970175</v>
      </c>
      <c r="W920">
        <f t="shared" si="237"/>
        <v>-1.5535032085438449</v>
      </c>
      <c r="X920">
        <f t="shared" si="238"/>
        <v>-7.155909901407545E-2</v>
      </c>
      <c r="Y920">
        <f t="shared" si="239"/>
        <v>-0.2185263180792068</v>
      </c>
      <c r="Z920">
        <f t="shared" si="240"/>
        <v>4.685659341047467</v>
      </c>
      <c r="AA920">
        <f t="shared" si="241"/>
        <v>0.19074182203833792</v>
      </c>
      <c r="AB920">
        <f t="shared" si="242"/>
        <v>0.59288617700042989</v>
      </c>
    </row>
    <row r="921" spans="12:28" x14ac:dyDescent="0.25">
      <c r="L921">
        <v>917</v>
      </c>
      <c r="M921">
        <f t="shared" si="247"/>
        <v>458.5</v>
      </c>
      <c r="N921">
        <f t="shared" si="243"/>
        <v>309916.80632005387</v>
      </c>
      <c r="O921">
        <f t="shared" si="244"/>
        <v>-870101.95202253945</v>
      </c>
      <c r="P921">
        <f t="shared" si="245"/>
        <v>260.93876545847002</v>
      </c>
      <c r="Q921">
        <f t="shared" si="246"/>
        <v>-2103.1838451479848</v>
      </c>
      <c r="R921">
        <f t="shared" si="232"/>
        <v>-1.8381793180479726</v>
      </c>
      <c r="S921">
        <f t="shared" si="233"/>
        <v>5.4573926549862488</v>
      </c>
      <c r="T921">
        <f t="shared" si="234"/>
        <v>921875.90326490172</v>
      </c>
      <c r="U921">
        <f t="shared" si="235"/>
        <v>939906.66826356133</v>
      </c>
      <c r="V921">
        <f t="shared" si="236"/>
        <v>911247.46543163538</v>
      </c>
      <c r="W921">
        <f t="shared" si="237"/>
        <v>-1.548952395827327</v>
      </c>
      <c r="X921">
        <f t="shared" si="238"/>
        <v>-7.1352116132327392E-2</v>
      </c>
      <c r="Y921">
        <f t="shared" si="239"/>
        <v>-0.21787480608831825</v>
      </c>
      <c r="Z921">
        <f t="shared" si="240"/>
        <v>4.6754490792854808</v>
      </c>
      <c r="AA921">
        <f t="shared" si="241"/>
        <v>0.19034233929895789</v>
      </c>
      <c r="AB921">
        <f t="shared" si="242"/>
        <v>0.59160123640180995</v>
      </c>
    </row>
    <row r="922" spans="12:28" x14ac:dyDescent="0.25">
      <c r="L922">
        <v>918</v>
      </c>
      <c r="M922">
        <f t="shared" si="247"/>
        <v>459</v>
      </c>
      <c r="N922">
        <f t="shared" si="243"/>
        <v>310047.0459303683</v>
      </c>
      <c r="O922">
        <f t="shared" si="244"/>
        <v>-871152.86177103152</v>
      </c>
      <c r="P922">
        <f t="shared" si="245"/>
        <v>260.01967579944602</v>
      </c>
      <c r="Q922">
        <f t="shared" si="246"/>
        <v>-2100.4551488204916</v>
      </c>
      <c r="R922">
        <f t="shared" si="232"/>
        <v>-1.8327979291621852</v>
      </c>
      <c r="S922">
        <f t="shared" si="233"/>
        <v>5.4455528134157403</v>
      </c>
      <c r="T922">
        <f t="shared" si="234"/>
        <v>922914.47385036794</v>
      </c>
      <c r="U922">
        <f t="shared" si="235"/>
        <v>940936.45818123198</v>
      </c>
      <c r="V922">
        <f t="shared" si="236"/>
        <v>912278.66568728804</v>
      </c>
      <c r="W922">
        <f t="shared" si="237"/>
        <v>-1.544425036962181</v>
      </c>
      <c r="X922">
        <f t="shared" si="238"/>
        <v>-7.1146190439784276E-2</v>
      </c>
      <c r="Y922">
        <f t="shared" si="239"/>
        <v>-0.21722670176021985</v>
      </c>
      <c r="Z922">
        <f t="shared" si="240"/>
        <v>4.6652859765725658</v>
      </c>
      <c r="AA922">
        <f t="shared" si="241"/>
        <v>0.18994464602282454</v>
      </c>
      <c r="AB922">
        <f t="shared" si="242"/>
        <v>0.59032219082035053</v>
      </c>
    </row>
    <row r="923" spans="12:28" x14ac:dyDescent="0.25">
      <c r="L923">
        <v>919</v>
      </c>
      <c r="M923">
        <f t="shared" si="247"/>
        <v>459.5</v>
      </c>
      <c r="N923">
        <f t="shared" si="243"/>
        <v>310176.82666852686</v>
      </c>
      <c r="O923">
        <f t="shared" si="244"/>
        <v>-872202.40865134005</v>
      </c>
      <c r="P923">
        <f t="shared" si="245"/>
        <v>259.10327683486491</v>
      </c>
      <c r="Q923">
        <f t="shared" si="246"/>
        <v>-2097.7323724137837</v>
      </c>
      <c r="R923">
        <f t="shared" si="232"/>
        <v>-1.8274442573381557</v>
      </c>
      <c r="S923">
        <f t="shared" si="233"/>
        <v>5.433767454856274</v>
      </c>
      <c r="T923">
        <f t="shared" si="234"/>
        <v>923951.65267406113</v>
      </c>
      <c r="U923">
        <f t="shared" si="235"/>
        <v>941964.87551241764</v>
      </c>
      <c r="V923">
        <f t="shared" si="236"/>
        <v>913308.49194918887</v>
      </c>
      <c r="W923">
        <f t="shared" si="237"/>
        <v>-1.5399209627113331</v>
      </c>
      <c r="X923">
        <f t="shared" si="238"/>
        <v>-7.0941314391584923E-2</v>
      </c>
      <c r="Y923">
        <f t="shared" si="239"/>
        <v>-0.21658198023523786</v>
      </c>
      <c r="Z923">
        <f t="shared" si="240"/>
        <v>4.6551697223091333</v>
      </c>
      <c r="AA923">
        <f t="shared" si="241"/>
        <v>0.18954873078351589</v>
      </c>
      <c r="AB923">
        <f t="shared" si="242"/>
        <v>0.58904900176362496</v>
      </c>
    </row>
    <row r="924" spans="12:28" x14ac:dyDescent="0.25">
      <c r="L924">
        <v>920</v>
      </c>
      <c r="M924">
        <f t="shared" si="247"/>
        <v>460</v>
      </c>
      <c r="N924">
        <f t="shared" si="243"/>
        <v>310306.14987641212</v>
      </c>
      <c r="O924">
        <f t="shared" si="244"/>
        <v>-873250.59561661514</v>
      </c>
      <c r="P924">
        <f t="shared" si="245"/>
        <v>258.18955470619585</v>
      </c>
      <c r="Q924">
        <f t="shared" si="246"/>
        <v>-2095.0154886863556</v>
      </c>
      <c r="R924">
        <f t="shared" si="232"/>
        <v>-1.8221181028027564</v>
      </c>
      <c r="S924">
        <f t="shared" si="233"/>
        <v>5.4220362218938982</v>
      </c>
      <c r="T924">
        <f t="shared" si="234"/>
        <v>924987.44281044439</v>
      </c>
      <c r="U924">
        <f t="shared" si="235"/>
        <v>942991.92324392917</v>
      </c>
      <c r="V924">
        <f t="shared" si="236"/>
        <v>914336.94720609486</v>
      </c>
      <c r="W924">
        <f t="shared" si="237"/>
        <v>-1.5354400054049171</v>
      </c>
      <c r="X924">
        <f t="shared" si="238"/>
        <v>-7.0737480511921233E-2</v>
      </c>
      <c r="Y924">
        <f t="shared" si="239"/>
        <v>-0.2159406168859182</v>
      </c>
      <c r="Z924">
        <f t="shared" si="240"/>
        <v>4.6451000085755174</v>
      </c>
      <c r="AA924">
        <f t="shared" si="241"/>
        <v>0.18915458225028617</v>
      </c>
      <c r="AB924">
        <f t="shared" si="242"/>
        <v>0.58778163106809456</v>
      </c>
    </row>
    <row r="925" spans="12:28" x14ac:dyDescent="0.25">
      <c r="L925">
        <v>921</v>
      </c>
      <c r="M925">
        <f t="shared" si="247"/>
        <v>460.5</v>
      </c>
      <c r="N925">
        <f t="shared" si="243"/>
        <v>310435.01688900241</v>
      </c>
      <c r="O925">
        <f t="shared" si="244"/>
        <v>-874297.42560643051</v>
      </c>
      <c r="P925">
        <f t="shared" si="245"/>
        <v>257.27849565479448</v>
      </c>
      <c r="Q925">
        <f t="shared" si="246"/>
        <v>-2092.3044705754087</v>
      </c>
      <c r="R925">
        <f t="shared" si="232"/>
        <v>-1.81681926763021</v>
      </c>
      <c r="S925">
        <f t="shared" si="233"/>
        <v>5.4103587601860861</v>
      </c>
      <c r="T925">
        <f t="shared" si="234"/>
        <v>926021.84731971158</v>
      </c>
      <c r="U925">
        <f t="shared" si="235"/>
        <v>944017.60434887861</v>
      </c>
      <c r="V925">
        <f t="shared" si="236"/>
        <v>915364.03443307965</v>
      </c>
      <c r="W925">
        <f t="shared" si="237"/>
        <v>-1.5309819989225495</v>
      </c>
      <c r="X925">
        <f t="shared" si="238"/>
        <v>-7.0534681393269835E-2</v>
      </c>
      <c r="Y925">
        <f t="shared" si="239"/>
        <v>-0.21530258731439056</v>
      </c>
      <c r="Z925">
        <f t="shared" si="240"/>
        <v>4.6350765301033485</v>
      </c>
      <c r="AA925">
        <f t="shared" si="241"/>
        <v>0.18876218918708143</v>
      </c>
      <c r="AB925">
        <f t="shared" si="242"/>
        <v>0.58652004089565568</v>
      </c>
    </row>
    <row r="926" spans="12:28" x14ac:dyDescent="0.25">
      <c r="L926">
        <v>922</v>
      </c>
      <c r="M926">
        <f t="shared" si="247"/>
        <v>461</v>
      </c>
      <c r="N926">
        <f t="shared" si="243"/>
        <v>310563.42903442134</v>
      </c>
      <c r="O926">
        <f t="shared" si="244"/>
        <v>-875342.90154687315</v>
      </c>
      <c r="P926">
        <f t="shared" si="245"/>
        <v>256.37008602097939</v>
      </c>
      <c r="Q926">
        <f t="shared" si="246"/>
        <v>-2089.5992911953158</v>
      </c>
      <c r="R926">
        <f t="shared" si="232"/>
        <v>-1.8115475557213245</v>
      </c>
      <c r="S926">
        <f t="shared" si="233"/>
        <v>5.3987347184293828</v>
      </c>
      <c r="T926">
        <f t="shared" si="234"/>
        <v>927054.86924788274</v>
      </c>
      <c r="U926">
        <f t="shared" si="235"/>
        <v>945041.92178676976</v>
      </c>
      <c r="V926">
        <f t="shared" si="236"/>
        <v>916389.75659162353</v>
      </c>
      <c r="W926">
        <f t="shared" si="237"/>
        <v>-1.5265467786759401</v>
      </c>
      <c r="X926">
        <f t="shared" si="238"/>
        <v>-7.0332909695630899E-2</v>
      </c>
      <c r="Y926">
        <f t="shared" si="239"/>
        <v>-0.21466786734975343</v>
      </c>
      <c r="Z926">
        <f t="shared" si="240"/>
        <v>4.6250989842476269</v>
      </c>
      <c r="AA926">
        <f t="shared" si="241"/>
        <v>0.18837154045156054</v>
      </c>
      <c r="AB926">
        <f t="shared" si="242"/>
        <v>0.58526419373019478</v>
      </c>
    </row>
    <row r="927" spans="12:28" x14ac:dyDescent="0.25">
      <c r="L927">
        <v>923</v>
      </c>
      <c r="M927">
        <f t="shared" si="247"/>
        <v>461.5</v>
      </c>
      <c r="N927">
        <f t="shared" si="243"/>
        <v>310691.38763398741</v>
      </c>
      <c r="O927">
        <f t="shared" si="244"/>
        <v>-876387.02635063103</v>
      </c>
      <c r="P927">
        <f t="shared" si="245"/>
        <v>255.46431224311871</v>
      </c>
      <c r="Q927">
        <f t="shared" si="246"/>
        <v>-2086.8999238361012</v>
      </c>
      <c r="R927">
        <f t="shared" si="232"/>
        <v>-1.8063027727828751</v>
      </c>
      <c r="S927">
        <f t="shared" si="233"/>
        <v>5.3871637483270227</v>
      </c>
      <c r="T927">
        <f t="shared" si="234"/>
        <v>928086.51162689633</v>
      </c>
      <c r="U927">
        <f t="shared" si="235"/>
        <v>946064.87850358675</v>
      </c>
      <c r="V927">
        <f t="shared" si="236"/>
        <v>917414.11662970134</v>
      </c>
      <c r="W927">
        <f t="shared" si="237"/>
        <v>-1.5221341815915821</v>
      </c>
      <c r="X927">
        <f t="shared" si="238"/>
        <v>-7.0132158145781567E-2</v>
      </c>
      <c r="Y927">
        <f t="shared" si="239"/>
        <v>-0.21403643304551137</v>
      </c>
      <c r="Z927">
        <f t="shared" si="240"/>
        <v>4.6151670709586528</v>
      </c>
      <c r="AA927">
        <f t="shared" si="241"/>
        <v>0.18798262499413962</v>
      </c>
      <c r="AB927">
        <f t="shared" si="242"/>
        <v>0.58401405237423032</v>
      </c>
    </row>
    <row r="928" spans="12:28" x14ac:dyDescent="0.25">
      <c r="L928">
        <v>924</v>
      </c>
      <c r="M928">
        <f t="shared" si="247"/>
        <v>462</v>
      </c>
      <c r="N928">
        <f t="shared" si="243"/>
        <v>310818.89400226239</v>
      </c>
      <c r="O928">
        <f t="shared" si="244"/>
        <v>-877429.80291708058</v>
      </c>
      <c r="P928">
        <f t="shared" si="245"/>
        <v>254.56116085672727</v>
      </c>
      <c r="Q928">
        <f t="shared" si="246"/>
        <v>-2084.2063419619376</v>
      </c>
      <c r="R928">
        <f t="shared" si="232"/>
        <v>-1.8010847263074055</v>
      </c>
      <c r="S928">
        <f t="shared" si="233"/>
        <v>5.3756455045574416</v>
      </c>
      <c r="T928">
        <f t="shared" si="234"/>
        <v>929116.77747470303</v>
      </c>
      <c r="U928">
        <f t="shared" si="235"/>
        <v>947086.47743188089</v>
      </c>
      <c r="V928">
        <f t="shared" si="236"/>
        <v>918437.11748187023</v>
      </c>
      <c r="W928">
        <f t="shared" si="237"/>
        <v>-1.5177440460938336</v>
      </c>
      <c r="X928">
        <f t="shared" si="238"/>
        <v>-6.9932419536531537E-2</v>
      </c>
      <c r="Y928">
        <f t="shared" si="239"/>
        <v>-0.21340826067704027</v>
      </c>
      <c r="Z928">
        <f t="shared" si="240"/>
        <v>4.6052804927548312</v>
      </c>
      <c r="AA928">
        <f t="shared" si="241"/>
        <v>0.18759543185702798</v>
      </c>
      <c r="AB928">
        <f t="shared" si="242"/>
        <v>0.58276957994558221</v>
      </c>
    </row>
    <row r="929" spans="12:28" x14ac:dyDescent="0.25">
      <c r="L929">
        <v>925</v>
      </c>
      <c r="M929">
        <f t="shared" si="247"/>
        <v>462.5</v>
      </c>
      <c r="N929">
        <f t="shared" si="243"/>
        <v>310945.94944709999</v>
      </c>
      <c r="O929">
        <f t="shared" si="244"/>
        <v>-878471.23413237347</v>
      </c>
      <c r="P929">
        <f t="shared" si="245"/>
        <v>253.66061849357357</v>
      </c>
      <c r="Q929">
        <f t="shared" si="246"/>
        <v>-2081.5185192096587</v>
      </c>
      <c r="R929">
        <f t="shared" si="232"/>
        <v>-1.7958932255531899</v>
      </c>
      <c r="S929">
        <f t="shared" si="233"/>
        <v>5.3641796447428289</v>
      </c>
      <c r="T929">
        <f t="shared" si="234"/>
        <v>930145.66979535704</v>
      </c>
      <c r="U929">
        <f t="shared" si="235"/>
        <v>948106.72149085894</v>
      </c>
      <c r="V929">
        <f t="shared" si="236"/>
        <v>919458.76206935651</v>
      </c>
      <c r="W929">
        <f t="shared" si="237"/>
        <v>-1.5133762120881076</v>
      </c>
      <c r="X929">
        <f t="shared" si="238"/>
        <v>-6.9733686725996724E-2</v>
      </c>
      <c r="Y929">
        <f t="shared" si="239"/>
        <v>-0.21278332673908543</v>
      </c>
      <c r="Z929">
        <f t="shared" si="240"/>
        <v>4.5954389546954522</v>
      </c>
      <c r="AA929">
        <f t="shared" si="241"/>
        <v>0.18720995017329869</v>
      </c>
      <c r="AB929">
        <f t="shared" si="242"/>
        <v>0.58153073987407811</v>
      </c>
    </row>
    <row r="930" spans="12:28" x14ac:dyDescent="0.25">
      <c r="L930">
        <v>926</v>
      </c>
      <c r="M930">
        <f t="shared" si="247"/>
        <v>463</v>
      </c>
      <c r="N930">
        <f t="shared" si="243"/>
        <v>311072.55526969361</v>
      </c>
      <c r="O930">
        <f t="shared" si="244"/>
        <v>-879511.32286952273</v>
      </c>
      <c r="P930">
        <f t="shared" si="245"/>
        <v>252.76267188079697</v>
      </c>
      <c r="Q930">
        <f t="shared" si="246"/>
        <v>-2078.8364293872874</v>
      </c>
      <c r="R930">
        <f t="shared" si="232"/>
        <v>-1.7907280815245092</v>
      </c>
      <c r="S930">
        <f t="shared" si="233"/>
        <v>5.3527658294182467</v>
      </c>
      <c r="T930">
        <f t="shared" si="234"/>
        <v>931173.19157910789</v>
      </c>
      <c r="U930">
        <f t="shared" si="235"/>
        <v>949125.61358646967</v>
      </c>
      <c r="V930">
        <f t="shared" si="236"/>
        <v>920479.05330014206</v>
      </c>
      <c r="W930">
        <f t="shared" si="237"/>
        <v>-1.5090305209443493</v>
      </c>
      <c r="X930">
        <f t="shared" si="238"/>
        <v>-6.9535952636873455E-2</v>
      </c>
      <c r="Y930">
        <f t="shared" si="239"/>
        <v>-0.21216160794328645</v>
      </c>
      <c r="Z930">
        <f t="shared" si="240"/>
        <v>4.5856421643540148</v>
      </c>
      <c r="AA930">
        <f t="shared" si="241"/>
        <v>0.18682616916594602</v>
      </c>
      <c r="AB930">
        <f t="shared" si="242"/>
        <v>0.5802974958982855</v>
      </c>
    </row>
    <row r="931" spans="12:28" x14ac:dyDescent="0.25">
      <c r="L931">
        <v>927</v>
      </c>
      <c r="M931">
        <f t="shared" si="247"/>
        <v>463.5</v>
      </c>
      <c r="N931">
        <f t="shared" si="243"/>
        <v>311198.71276462381</v>
      </c>
      <c r="O931">
        <f t="shared" si="244"/>
        <v>-880550.07198848773</v>
      </c>
      <c r="P931">
        <f t="shared" si="245"/>
        <v>251.86730784003473</v>
      </c>
      <c r="Q931">
        <f t="shared" si="246"/>
        <v>-2076.1600464725784</v>
      </c>
      <c r="R931">
        <f t="shared" si="232"/>
        <v>-1.7855891069521497</v>
      </c>
      <c r="S931">
        <f t="shared" si="233"/>
        <v>5.3414037220009982</v>
      </c>
      <c r="T931">
        <f t="shared" si="234"/>
        <v>932199.34580248967</v>
      </c>
      <c r="U931">
        <f t="shared" si="235"/>
        <v>950143.15661148902</v>
      </c>
      <c r="V931">
        <f t="shared" si="236"/>
        <v>921497.99406904913</v>
      </c>
      <c r="W931">
        <f t="shared" si="237"/>
        <v>-1.5047068154806569</v>
      </c>
      <c r="X931">
        <f t="shared" si="238"/>
        <v>-6.9339210255733946E-2</v>
      </c>
      <c r="Y931">
        <f t="shared" si="239"/>
        <v>-0.21154308121575879</v>
      </c>
      <c r="Z931">
        <f t="shared" si="240"/>
        <v>4.5758898317916659</v>
      </c>
      <c r="AA931">
        <f t="shared" si="241"/>
        <v>0.18644407814698619</v>
      </c>
      <c r="AB931">
        <f t="shared" si="242"/>
        <v>0.5790698120623462</v>
      </c>
    </row>
    <row r="932" spans="12:28" x14ac:dyDescent="0.25">
      <c r="L932">
        <v>928</v>
      </c>
      <c r="M932">
        <f t="shared" si="247"/>
        <v>464</v>
      </c>
      <c r="N932">
        <f t="shared" si="243"/>
        <v>311324.42321990547</v>
      </c>
      <c r="O932">
        <f t="shared" si="244"/>
        <v>-881587.48433625884</v>
      </c>
      <c r="P932">
        <f t="shared" si="245"/>
        <v>250.97451328655865</v>
      </c>
      <c r="Q932">
        <f t="shared" si="246"/>
        <v>-2073.489344611578</v>
      </c>
      <c r="R932">
        <f t="shared" si="232"/>
        <v>-1.7804761162742291</v>
      </c>
      <c r="S932">
        <f t="shared" si="233"/>
        <v>5.3300929887606179</v>
      </c>
      <c r="T932">
        <f t="shared" si="234"/>
        <v>933224.13542841177</v>
      </c>
      <c r="U932">
        <f t="shared" si="235"/>
        <v>951159.35344560514</v>
      </c>
      <c r="V932">
        <f t="shared" si="236"/>
        <v>922515.587257826</v>
      </c>
      <c r="W932">
        <f t="shared" si="237"/>
        <v>-1.5004049399472406</v>
      </c>
      <c r="X932">
        <f t="shared" si="238"/>
        <v>-6.9143452632316568E-2</v>
      </c>
      <c r="Y932">
        <f t="shared" si="239"/>
        <v>-0.21092772369467211</v>
      </c>
      <c r="Z932">
        <f t="shared" si="240"/>
        <v>4.5661816695313293</v>
      </c>
      <c r="AA932">
        <f t="shared" si="241"/>
        <v>0.18606366651653081</v>
      </c>
      <c r="AB932">
        <f t="shared" si="242"/>
        <v>0.57784765271275795</v>
      </c>
    </row>
    <row r="933" spans="12:28" x14ac:dyDescent="0.25">
      <c r="L933">
        <v>929</v>
      </c>
      <c r="M933">
        <f t="shared" si="247"/>
        <v>464.5</v>
      </c>
      <c r="N933">
        <f t="shared" si="243"/>
        <v>311449.68791703426</v>
      </c>
      <c r="O933">
        <f t="shared" si="244"/>
        <v>-882623.562746941</v>
      </c>
      <c r="P933">
        <f t="shared" si="245"/>
        <v>250.08427522842155</v>
      </c>
      <c r="Q933">
        <f t="shared" si="246"/>
        <v>-2070.8242981171975</v>
      </c>
      <c r="R933">
        <f t="shared" si="232"/>
        <v>-1.7753889256171604</v>
      </c>
      <c r="S933">
        <f t="shared" si="233"/>
        <v>5.3188332987888733</v>
      </c>
      <c r="T933">
        <f t="shared" si="234"/>
        <v>934247.56340624695</v>
      </c>
      <c r="U933">
        <f t="shared" si="235"/>
        <v>952174.20695550321</v>
      </c>
      <c r="V933">
        <f t="shared" si="236"/>
        <v>923531.83573522978</v>
      </c>
      <c r="W933">
        <f t="shared" si="237"/>
        <v>-1.49612474001044</v>
      </c>
      <c r="X933">
        <f t="shared" si="238"/>
        <v>-6.8948672878838088E-2</v>
      </c>
      <c r="Y933">
        <f t="shared" si="239"/>
        <v>-0.21031551272788249</v>
      </c>
      <c r="Z933">
        <f t="shared" si="240"/>
        <v>4.5565173925317168</v>
      </c>
      <c r="AA933">
        <f t="shared" si="241"/>
        <v>0.18568492376190537</v>
      </c>
      <c r="AB933">
        <f t="shared" si="242"/>
        <v>0.57663098249525091</v>
      </c>
    </row>
    <row r="934" spans="12:28" x14ac:dyDescent="0.25">
      <c r="L934">
        <v>930</v>
      </c>
      <c r="M934">
        <f t="shared" si="247"/>
        <v>465</v>
      </c>
      <c r="N934">
        <f t="shared" si="243"/>
        <v>311574.50813103275</v>
      </c>
      <c r="O934">
        <f t="shared" si="244"/>
        <v>-883658.31004183728</v>
      </c>
      <c r="P934">
        <f t="shared" si="245"/>
        <v>249.19658076561296</v>
      </c>
      <c r="Q934">
        <f t="shared" si="246"/>
        <v>-2068.1648814678028</v>
      </c>
      <c r="R934">
        <f t="shared" si="232"/>
        <v>-1.7703273527769814</v>
      </c>
      <c r="S934">
        <f t="shared" si="233"/>
        <v>5.3076243239704954</v>
      </c>
      <c r="T934">
        <f t="shared" si="234"/>
        <v>935269.63267191977</v>
      </c>
      <c r="U934">
        <f t="shared" si="235"/>
        <v>953187.71999494871</v>
      </c>
      <c r="V934">
        <f t="shared" si="236"/>
        <v>924546.74235711095</v>
      </c>
      <c r="W934">
        <f t="shared" si="237"/>
        <v>-1.4918660627370672</v>
      </c>
      <c r="X934">
        <f t="shared" si="238"/>
        <v>-6.8754864169307428E-2</v>
      </c>
      <c r="Y934">
        <f t="shared" si="239"/>
        <v>-0.20970642587060676</v>
      </c>
      <c r="Z934">
        <f t="shared" si="240"/>
        <v>4.5468967181619986</v>
      </c>
      <c r="AA934">
        <f t="shared" si="241"/>
        <v>0.1853078394567593</v>
      </c>
      <c r="AB934">
        <f t="shared" si="242"/>
        <v>0.57541976635173753</v>
      </c>
    </row>
    <row r="935" spans="12:28" x14ac:dyDescent="0.25">
      <c r="L935">
        <v>931</v>
      </c>
      <c r="M935">
        <f t="shared" si="247"/>
        <v>465.5</v>
      </c>
      <c r="N935">
        <f t="shared" si="243"/>
        <v>311698.88513049646</v>
      </c>
      <c r="O935">
        <f t="shared" si="244"/>
        <v>-884691.72902953066</v>
      </c>
      <c r="P935">
        <f t="shared" si="245"/>
        <v>248.31141708922448</v>
      </c>
      <c r="Q935">
        <f t="shared" si="246"/>
        <v>-2065.5110693058177</v>
      </c>
      <c r="R935">
        <f t="shared" si="232"/>
        <v>-1.7652912172008512</v>
      </c>
      <c r="S935">
        <f t="shared" si="233"/>
        <v>5.2964657389540415</v>
      </c>
      <c r="T935">
        <f t="shared" si="234"/>
        <v>936290.34614799405</v>
      </c>
      <c r="U935">
        <f t="shared" si="235"/>
        <v>954199.89540487027</v>
      </c>
      <c r="V935">
        <f t="shared" si="236"/>
        <v>925560.30996649491</v>
      </c>
      <c r="W935">
        <f t="shared" si="237"/>
        <v>-1.487628756578909</v>
      </c>
      <c r="X935">
        <f t="shared" si="238"/>
        <v>-6.8562019738850372E-2</v>
      </c>
      <c r="Y935">
        <f t="shared" si="239"/>
        <v>-0.20910044088309182</v>
      </c>
      <c r="Z935">
        <f t="shared" si="240"/>
        <v>4.5373193661766527</v>
      </c>
      <c r="AA935">
        <f t="shared" si="241"/>
        <v>0.18493240326019134</v>
      </c>
      <c r="AB935">
        <f t="shared" si="242"/>
        <v>0.57421396951719728</v>
      </c>
    </row>
    <row r="936" spans="12:28" x14ac:dyDescent="0.25">
      <c r="L936">
        <v>932</v>
      </c>
      <c r="M936">
        <f t="shared" si="247"/>
        <v>466</v>
      </c>
      <c r="N936">
        <f t="shared" si="243"/>
        <v>311822.8201776389</v>
      </c>
      <c r="O936">
        <f t="shared" si="244"/>
        <v>-885723.82250596618</v>
      </c>
      <c r="P936">
        <f t="shared" si="245"/>
        <v>247.42877148062405</v>
      </c>
      <c r="Q936">
        <f t="shared" si="246"/>
        <v>-2062.8628364363408</v>
      </c>
      <c r="R936">
        <f t="shared" si="232"/>
        <v>-1.76028033996885</v>
      </c>
      <c r="S936">
        <f t="shared" si="233"/>
        <v>5.285357221123304</v>
      </c>
      <c r="T936">
        <f t="shared" si="234"/>
        <v>937309.7067437584</v>
      </c>
      <c r="U936">
        <f t="shared" si="235"/>
        <v>955210.73601344181</v>
      </c>
      <c r="V936">
        <f t="shared" si="236"/>
        <v>926572.54139366432</v>
      </c>
      <c r="W936">
        <f t="shared" si="237"/>
        <v>-1.4834126713574596</v>
      </c>
      <c r="X936">
        <f t="shared" si="238"/>
        <v>-6.8370132883042375E-2</v>
      </c>
      <c r="Y936">
        <f t="shared" si="239"/>
        <v>-0.20849753572834803</v>
      </c>
      <c r="Z936">
        <f t="shared" si="240"/>
        <v>4.5277850586907231</v>
      </c>
      <c r="AA936">
        <f t="shared" si="241"/>
        <v>0.18455860491588486</v>
      </c>
      <c r="AB936">
        <f t="shared" si="242"/>
        <v>0.57301355751669636</v>
      </c>
    </row>
    <row r="937" spans="12:28" x14ac:dyDescent="0.25">
      <c r="L937">
        <v>933</v>
      </c>
      <c r="M937">
        <f t="shared" si="247"/>
        <v>466.5</v>
      </c>
      <c r="N937">
        <f t="shared" si="243"/>
        <v>311946.31452833669</v>
      </c>
      <c r="O937">
        <f t="shared" si="244"/>
        <v>-886754.59325453173</v>
      </c>
      <c r="P937">
        <f t="shared" si="245"/>
        <v>246.54863131063962</v>
      </c>
      <c r="Q937">
        <f t="shared" si="246"/>
        <v>-2060.2201578257791</v>
      </c>
      <c r="R937">
        <f t="shared" si="232"/>
        <v>-1.7552945437759195</v>
      </c>
      <c r="S937">
        <f t="shared" si="233"/>
        <v>5.2742984505687804</v>
      </c>
      <c r="T937">
        <f t="shared" si="234"/>
        <v>938327.71735531383</v>
      </c>
      <c r="U937">
        <f t="shared" si="235"/>
        <v>956220.2446361644</v>
      </c>
      <c r="V937">
        <f t="shared" si="236"/>
        <v>927583.43945624074</v>
      </c>
      <c r="W937">
        <f t="shared" si="237"/>
        <v>-1.4792176582487686</v>
      </c>
      <c r="X937">
        <f t="shared" si="238"/>
        <v>-6.8179196957251886E-2</v>
      </c>
      <c r="Y937">
        <f t="shared" si="239"/>
        <v>-0.20789768856989918</v>
      </c>
      <c r="Z937">
        <f t="shared" si="240"/>
        <v>4.518293520155118</v>
      </c>
      <c r="AA937">
        <f t="shared" si="241"/>
        <v>0.18418643425125841</v>
      </c>
      <c r="AB937">
        <f t="shared" si="242"/>
        <v>0.57181849616240399</v>
      </c>
    </row>
    <row r="938" spans="12:28" x14ac:dyDescent="0.25">
      <c r="L938">
        <v>934</v>
      </c>
      <c r="M938">
        <f t="shared" si="247"/>
        <v>467</v>
      </c>
      <c r="N938">
        <f t="shared" si="243"/>
        <v>312069.36943217408</v>
      </c>
      <c r="O938">
        <f t="shared" si="244"/>
        <v>-887784.0440461383</v>
      </c>
      <c r="P938">
        <f t="shared" si="245"/>
        <v>245.67098403875167</v>
      </c>
      <c r="Q938">
        <f t="shared" si="246"/>
        <v>-2057.5830086004948</v>
      </c>
      <c r="R938">
        <f t="shared" si="232"/>
        <v>-1.7503336529141651</v>
      </c>
      <c r="S938">
        <f t="shared" si="233"/>
        <v>5.2632891100598744</v>
      </c>
      <c r="T938">
        <f t="shared" si="234"/>
        <v>939344.38086565712</v>
      </c>
      <c r="U938">
        <f t="shared" si="235"/>
        <v>957228.42407594644</v>
      </c>
      <c r="V938">
        <f t="shared" si="236"/>
        <v>928593.00695926417</v>
      </c>
      <c r="W938">
        <f t="shared" si="237"/>
        <v>-1.4750435697686186</v>
      </c>
      <c r="X938">
        <f t="shared" si="238"/>
        <v>-6.7989205375989473E-2</v>
      </c>
      <c r="Y938">
        <f t="shared" si="239"/>
        <v>-0.20730087776955708</v>
      </c>
      <c r="Z938">
        <f t="shared" si="240"/>
        <v>4.5088444773326222</v>
      </c>
      <c r="AA938">
        <f t="shared" si="241"/>
        <v>0.18381588117661887</v>
      </c>
      <c r="AB938">
        <f t="shared" si="242"/>
        <v>0.57062875155063386</v>
      </c>
    </row>
    <row r="939" spans="12:28" x14ac:dyDescent="0.25">
      <c r="L939">
        <v>935</v>
      </c>
      <c r="M939">
        <f t="shared" si="247"/>
        <v>467.5</v>
      </c>
      <c r="N939">
        <f t="shared" si="243"/>
        <v>312191.98613248684</v>
      </c>
      <c r="O939">
        <f t="shared" si="244"/>
        <v>-888812.17763929977</v>
      </c>
      <c r="P939">
        <f t="shared" si="245"/>
        <v>244.79581721229459</v>
      </c>
      <c r="Q939">
        <f t="shared" si="246"/>
        <v>-2054.9513640454647</v>
      </c>
      <c r="R939">
        <f t="shared" si="232"/>
        <v>-1.7453974932552783</v>
      </c>
      <c r="S939">
        <f t="shared" si="233"/>
        <v>5.252328885017131</v>
      </c>
      <c r="T939">
        <f t="shared" si="234"/>
        <v>940359.70014476613</v>
      </c>
      <c r="U939">
        <f t="shared" si="235"/>
        <v>958235.27712318464</v>
      </c>
      <c r="V939">
        <f t="shared" si="236"/>
        <v>929601.24669527367</v>
      </c>
      <c r="W939">
        <f t="shared" si="237"/>
        <v>-1.4708902597577804</v>
      </c>
      <c r="X939">
        <f t="shared" si="238"/>
        <v>-6.7800151612265977E-2</v>
      </c>
      <c r="Y939">
        <f t="shared" si="239"/>
        <v>-0.20670708188523199</v>
      </c>
      <c r="Z939">
        <f t="shared" si="240"/>
        <v>4.4994376592738607</v>
      </c>
      <c r="AA939">
        <f t="shared" si="241"/>
        <v>0.18344693568432791</v>
      </c>
      <c r="AB939">
        <f t="shared" si="242"/>
        <v>0.5694442900589417</v>
      </c>
    </row>
    <row r="940" spans="12:28" x14ac:dyDescent="0.25">
      <c r="L940">
        <v>936</v>
      </c>
      <c r="M940">
        <f t="shared" si="247"/>
        <v>468</v>
      </c>
      <c r="N940">
        <f t="shared" si="243"/>
        <v>312314.16586640634</v>
      </c>
      <c r="O940">
        <f t="shared" si="244"/>
        <v>-889838.99678021192</v>
      </c>
      <c r="P940">
        <f t="shared" si="245"/>
        <v>243.92311846566696</v>
      </c>
      <c r="Q940">
        <f t="shared" si="246"/>
        <v>-2052.3251996029562</v>
      </c>
      <c r="R940">
        <f t="shared" si="232"/>
        <v>-1.7404858922332154</v>
      </c>
      <c r="S940">
        <f t="shared" si="233"/>
        <v>5.2414174634848543</v>
      </c>
      <c r="T940">
        <f t="shared" si="234"/>
        <v>941373.67804968345</v>
      </c>
      <c r="U940">
        <f t="shared" si="235"/>
        <v>959240.80655584275</v>
      </c>
      <c r="V940">
        <f t="shared" si="236"/>
        <v>930608.16144438623</v>
      </c>
      <c r="W940">
        <f t="shared" si="237"/>
        <v>-1.4667575833674795</v>
      </c>
      <c r="X940">
        <f t="shared" si="238"/>
        <v>-6.7612029196961645E-2</v>
      </c>
      <c r="Y940">
        <f t="shared" si="239"/>
        <v>-0.20611627966877408</v>
      </c>
      <c r="Z940">
        <f t="shared" si="240"/>
        <v>4.4900727972936094</v>
      </c>
      <c r="AA940">
        <f t="shared" si="241"/>
        <v>0.18307958784798428</v>
      </c>
      <c r="AB940">
        <f t="shared" si="242"/>
        <v>0.56826507834326101</v>
      </c>
    </row>
    <row r="941" spans="12:28" x14ac:dyDescent="0.25">
      <c r="L941">
        <v>937</v>
      </c>
      <c r="M941">
        <f t="shared" si="247"/>
        <v>468.5</v>
      </c>
      <c r="N941">
        <f t="shared" si="243"/>
        <v>312435.90986490267</v>
      </c>
      <c r="O941">
        <f t="shared" si="244"/>
        <v>-890864.50420283037</v>
      </c>
      <c r="P941">
        <f t="shared" si="245"/>
        <v>243.05287551955035</v>
      </c>
      <c r="Q941">
        <f t="shared" si="246"/>
        <v>-2049.7044908712137</v>
      </c>
      <c r="R941">
        <f t="shared" si="232"/>
        <v>-1.7355986788271833</v>
      </c>
      <c r="S941">
        <f t="shared" si="233"/>
        <v>5.2305545361043722</v>
      </c>
      <c r="T941">
        <f t="shared" si="234"/>
        <v>942386.31742459873</v>
      </c>
      <c r="U941">
        <f t="shared" si="235"/>
        <v>960245.01513953041</v>
      </c>
      <c r="V941">
        <f t="shared" si="236"/>
        <v>931613.75397437566</v>
      </c>
      <c r="W941">
        <f t="shared" si="237"/>
        <v>-1.4626453970451512</v>
      </c>
      <c r="X941">
        <f t="shared" si="238"/>
        <v>-6.7424831718199379E-2</v>
      </c>
      <c r="Y941">
        <f t="shared" si="239"/>
        <v>-0.20552845006383272</v>
      </c>
      <c r="Z941">
        <f t="shared" si="240"/>
        <v>4.4807496249477152</v>
      </c>
      <c r="AA941">
        <f t="shared" si="241"/>
        <v>0.18271382782160661</v>
      </c>
      <c r="AB941">
        <f t="shared" si="242"/>
        <v>0.56709108333505021</v>
      </c>
    </row>
    <row r="942" spans="12:28" x14ac:dyDescent="0.25">
      <c r="L942">
        <v>938</v>
      </c>
      <c r="M942">
        <f t="shared" si="247"/>
        <v>469</v>
      </c>
      <c r="N942">
        <f t="shared" si="243"/>
        <v>312557.21935282758</v>
      </c>
      <c r="O942">
        <f t="shared" si="244"/>
        <v>-891888.70262894896</v>
      </c>
      <c r="P942">
        <f t="shared" si="245"/>
        <v>242.18507618013678</v>
      </c>
      <c r="Q942">
        <f t="shared" si="246"/>
        <v>-2047.0892136031614</v>
      </c>
      <c r="R942">
        <f t="shared" si="232"/>
        <v>-1.7307356835447192</v>
      </c>
      <c r="S942">
        <f t="shared" si="233"/>
        <v>5.2197397960871879</v>
      </c>
      <c r="T942">
        <f t="shared" si="234"/>
        <v>943397.62110093201</v>
      </c>
      <c r="U942">
        <f t="shared" si="235"/>
        <v>961247.90562758234</v>
      </c>
      <c r="V942">
        <f t="shared" si="236"/>
        <v>932618.02704075002</v>
      </c>
      <c r="W942">
        <f t="shared" si="237"/>
        <v>-1.4585535585202374</v>
      </c>
      <c r="X942">
        <f t="shared" si="238"/>
        <v>-6.7238552820726993E-2</v>
      </c>
      <c r="Y942">
        <f t="shared" si="239"/>
        <v>-0.20494357220375461</v>
      </c>
      <c r="Z942">
        <f t="shared" si="240"/>
        <v>4.4714678780098573</v>
      </c>
      <c r="AA942">
        <f t="shared" si="241"/>
        <v>0.18234964583882793</v>
      </c>
      <c r="AB942">
        <f t="shared" si="242"/>
        <v>0.56592227223850244</v>
      </c>
    </row>
    <row r="943" spans="12:28" x14ac:dyDescent="0.25">
      <c r="L943">
        <v>939</v>
      </c>
      <c r="M943">
        <f t="shared" si="247"/>
        <v>469.5</v>
      </c>
      <c r="N943">
        <f t="shared" si="243"/>
        <v>312678.09554895724</v>
      </c>
      <c r="O943">
        <f t="shared" si="244"/>
        <v>-892911.59476827609</v>
      </c>
      <c r="P943">
        <f t="shared" si="245"/>
        <v>241.31970833836442</v>
      </c>
      <c r="Q943">
        <f t="shared" si="246"/>
        <v>-2044.4793437051178</v>
      </c>
      <c r="R943">
        <f t="shared" si="232"/>
        <v>-1.7258967384050101</v>
      </c>
      <c r="S943">
        <f t="shared" si="233"/>
        <v>5.2089729391885777</v>
      </c>
      <c r="T943">
        <f t="shared" si="234"/>
        <v>944407.59189741453</v>
      </c>
      <c r="U943">
        <f t="shared" si="235"/>
        <v>962249.48076113441</v>
      </c>
      <c r="V943">
        <f t="shared" si="236"/>
        <v>933620.98338682926</v>
      </c>
      <c r="W943">
        <f t="shared" si="237"/>
        <v>-1.4544819267902036</v>
      </c>
      <c r="X943">
        <f t="shared" si="238"/>
        <v>-6.7053186205308979E-2</v>
      </c>
      <c r="Y943">
        <f t="shared" si="239"/>
        <v>-0.20436162540949751</v>
      </c>
      <c r="Z943">
        <f t="shared" si="240"/>
        <v>4.4622272944487174</v>
      </c>
      <c r="AA943">
        <f t="shared" si="241"/>
        <v>0.1819870322121046</v>
      </c>
      <c r="AB943">
        <f t="shared" si="242"/>
        <v>0.56475861252775617</v>
      </c>
    </row>
    <row r="944" spans="12:28" x14ac:dyDescent="0.25">
      <c r="L944">
        <v>940</v>
      </c>
      <c r="M944">
        <f t="shared" si="247"/>
        <v>470</v>
      </c>
      <c r="N944">
        <f t="shared" si="243"/>
        <v>312798.53966603411</v>
      </c>
      <c r="O944">
        <f t="shared" si="244"/>
        <v>-893933.18331851123</v>
      </c>
      <c r="P944">
        <f t="shared" si="245"/>
        <v>240.45675996916191</v>
      </c>
      <c r="Q944">
        <f t="shared" si="246"/>
        <v>-2041.8748572355235</v>
      </c>
      <c r="R944">
        <f t="shared" si="232"/>
        <v>-1.7210816769225532</v>
      </c>
      <c r="S944">
        <f t="shared" si="233"/>
        <v>5.1982536636818564</v>
      </c>
      <c r="T944">
        <f t="shared" si="234"/>
        <v>945416.23262016941</v>
      </c>
      <c r="U944">
        <f t="shared" si="235"/>
        <v>963249.74326920125</v>
      </c>
      <c r="V944">
        <f t="shared" si="236"/>
        <v>934622.6257438215</v>
      </c>
      <c r="W944">
        <f t="shared" si="237"/>
        <v>-1.450430362106842</v>
      </c>
      <c r="X944">
        <f t="shared" si="238"/>
        <v>-6.6868725628124986E-2</v>
      </c>
      <c r="Y944">
        <f t="shared" si="239"/>
        <v>-0.20378258918758616</v>
      </c>
      <c r="Z944">
        <f t="shared" si="240"/>
        <v>4.4530276144057401</v>
      </c>
      <c r="AA944">
        <f t="shared" si="241"/>
        <v>0.18162597733193184</v>
      </c>
      <c r="AB944">
        <f t="shared" si="242"/>
        <v>0.56360007194418427</v>
      </c>
    </row>
    <row r="945" spans="12:28" x14ac:dyDescent="0.25">
      <c r="L945">
        <v>941</v>
      </c>
      <c r="M945">
        <f t="shared" si="247"/>
        <v>470.5</v>
      </c>
      <c r="N945">
        <f t="shared" si="243"/>
        <v>312918.55291080906</v>
      </c>
      <c r="O945">
        <f t="shared" si="244"/>
        <v>-894953.47096542106</v>
      </c>
      <c r="P945">
        <f t="shared" si="245"/>
        <v>239.59621913070063</v>
      </c>
      <c r="Q945">
        <f t="shared" si="246"/>
        <v>-2039.2757304036825</v>
      </c>
      <c r="R945">
        <f t="shared" si="232"/>
        <v>-1.7162903340908677</v>
      </c>
      <c r="S945">
        <f t="shared" si="233"/>
        <v>5.1875816703324995</v>
      </c>
      <c r="T945">
        <f t="shared" si="234"/>
        <v>946423.54606279288</v>
      </c>
      <c r="U945">
        <f t="shared" si="235"/>
        <v>964248.69586875266</v>
      </c>
      <c r="V945">
        <f t="shared" si="236"/>
        <v>935622.95683089946</v>
      </c>
      <c r="W945">
        <f t="shared" si="237"/>
        <v>-1.446398725962615</v>
      </c>
      <c r="X945">
        <f t="shared" si="238"/>
        <v>-6.6685164900176147E-2</v>
      </c>
      <c r="Y945">
        <f t="shared" si="239"/>
        <v>-0.20320644322807671</v>
      </c>
      <c r="Z945">
        <f t="shared" si="240"/>
        <v>4.443868580172766</v>
      </c>
      <c r="AA945">
        <f t="shared" si="241"/>
        <v>0.18126647166606905</v>
      </c>
      <c r="AB945">
        <f t="shared" si="242"/>
        <v>0.56244661849366506</v>
      </c>
    </row>
    <row r="946" spans="12:28" x14ac:dyDescent="0.25">
      <c r="L946">
        <v>942</v>
      </c>
      <c r="M946">
        <f t="shared" si="247"/>
        <v>471</v>
      </c>
      <c r="N946">
        <f t="shared" si="243"/>
        <v>313038.13648408261</v>
      </c>
      <c r="O946">
        <f t="shared" si="244"/>
        <v>-895972.46038291405</v>
      </c>
      <c r="P946">
        <f t="shared" si="245"/>
        <v>238.73807396365521</v>
      </c>
      <c r="Q946">
        <f t="shared" si="246"/>
        <v>-2036.6819395685163</v>
      </c>
      <c r="R946">
        <f t="shared" si="232"/>
        <v>-1.7115225463664983</v>
      </c>
      <c r="S946">
        <f t="shared" si="233"/>
        <v>5.1769566623728185</v>
      </c>
      <c r="T946">
        <f t="shared" si="234"/>
        <v>947429.53500643279</v>
      </c>
      <c r="U946">
        <f t="shared" si="235"/>
        <v>965246.34126478888</v>
      </c>
      <c r="V946">
        <f t="shared" si="236"/>
        <v>936621.97935527493</v>
      </c>
      <c r="W946">
        <f t="shared" si="237"/>
        <v>-1.442386881077236</v>
      </c>
      <c r="X946">
        <f t="shared" si="238"/>
        <v>-6.6502497886696627E-2</v>
      </c>
      <c r="Y946">
        <f t="shared" si="239"/>
        <v>-0.20263316740256573</v>
      </c>
      <c r="Z946">
        <f t="shared" si="240"/>
        <v>4.4347499361701148</v>
      </c>
      <c r="AA946">
        <f t="shared" si="241"/>
        <v>0.18090850575876818</v>
      </c>
      <c r="AB946">
        <f t="shared" si="242"/>
        <v>0.56129822044393607</v>
      </c>
    </row>
    <row r="947" spans="12:28" x14ac:dyDescent="0.25">
      <c r="L947">
        <v>943</v>
      </c>
      <c r="M947">
        <f t="shared" si="247"/>
        <v>471.5</v>
      </c>
      <c r="N947">
        <f t="shared" si="243"/>
        <v>313157.29158074612</v>
      </c>
      <c r="O947">
        <f t="shared" si="244"/>
        <v>-896990.15423311561</v>
      </c>
      <c r="P947">
        <f t="shared" si="245"/>
        <v>237.88231269047196</v>
      </c>
      <c r="Q947">
        <f t="shared" si="246"/>
        <v>-2034.0934612373298</v>
      </c>
      <c r="R947">
        <f t="shared" si="232"/>
        <v>-1.7067781516531926</v>
      </c>
      <c r="S947">
        <f t="shared" si="233"/>
        <v>5.1663783454768684</v>
      </c>
      <c r="T947">
        <f t="shared" si="234"/>
        <v>948434.20221986843</v>
      </c>
      <c r="U947">
        <f t="shared" si="235"/>
        <v>966242.68215041561</v>
      </c>
      <c r="V947">
        <f t="shared" si="236"/>
        <v>937619.69601227494</v>
      </c>
      <c r="W947">
        <f t="shared" si="237"/>
        <v>-1.4383946913844123</v>
      </c>
      <c r="X947">
        <f t="shared" si="238"/>
        <v>-6.632071850657692E-2</v>
      </c>
      <c r="Y947">
        <f t="shared" si="239"/>
        <v>-0.20206274176220348</v>
      </c>
      <c r="Z947">
        <f t="shared" si="240"/>
        <v>4.4256714289249226</v>
      </c>
      <c r="AA947">
        <f t="shared" si="241"/>
        <v>0.18055207023002337</v>
      </c>
      <c r="AB947">
        <f t="shared" si="242"/>
        <v>0.56015484632192292</v>
      </c>
    </row>
    <row r="948" spans="12:28" x14ac:dyDescent="0.25">
      <c r="L948">
        <v>944</v>
      </c>
      <c r="M948">
        <f t="shared" si="247"/>
        <v>472</v>
      </c>
      <c r="N948">
        <f t="shared" si="243"/>
        <v>313276.01938982244</v>
      </c>
      <c r="O948">
        <f t="shared" si="244"/>
        <v>-898006.55516644113</v>
      </c>
      <c r="P948">
        <f t="shared" si="245"/>
        <v>237.02892361464538</v>
      </c>
      <c r="Q948">
        <f t="shared" si="246"/>
        <v>-2031.5102720645914</v>
      </c>
      <c r="R948">
        <f t="shared" si="232"/>
        <v>-1.7020569892863062</v>
      </c>
      <c r="S948">
        <f t="shared" si="233"/>
        <v>5.155846427735705</v>
      </c>
      <c r="T948">
        <f t="shared" si="234"/>
        <v>949437.55045958783</v>
      </c>
      <c r="U948">
        <f t="shared" si="235"/>
        <v>967237.72120691848</v>
      </c>
      <c r="V948">
        <f t="shared" si="236"/>
        <v>938616.10948541469</v>
      </c>
      <c r="W948">
        <f t="shared" si="237"/>
        <v>-1.4344220220187578</v>
      </c>
      <c r="X948">
        <f t="shared" si="238"/>
        <v>-6.6139820731791366E-2</v>
      </c>
      <c r="Y948">
        <f t="shared" si="239"/>
        <v>-0.20149514653575715</v>
      </c>
      <c r="Z948">
        <f t="shared" si="240"/>
        <v>4.4166328070497194</v>
      </c>
      <c r="AA948">
        <f t="shared" si="241"/>
        <v>0.18019715577482026</v>
      </c>
      <c r="AB948">
        <f t="shared" si="242"/>
        <v>0.55901646491116563</v>
      </c>
    </row>
    <row r="949" spans="12:28" x14ac:dyDescent="0.25">
      <c r="L949">
        <v>945</v>
      </c>
      <c r="M949">
        <f t="shared" si="247"/>
        <v>472.5</v>
      </c>
      <c r="N949">
        <f t="shared" si="243"/>
        <v>313394.32109450613</v>
      </c>
      <c r="O949">
        <f t="shared" si="244"/>
        <v>-899021.66582166986</v>
      </c>
      <c r="P949">
        <f t="shared" si="245"/>
        <v>236.17789512000223</v>
      </c>
      <c r="Q949">
        <f t="shared" si="246"/>
        <v>-2028.9323488507234</v>
      </c>
      <c r="R949">
        <f t="shared" si="232"/>
        <v>-1.6973589000173714</v>
      </c>
      <c r="S949">
        <f t="shared" si="233"/>
        <v>5.1453606196328785</v>
      </c>
      <c r="T949">
        <f t="shared" si="234"/>
        <v>950439.58246986603</v>
      </c>
      <c r="U949">
        <f t="shared" si="235"/>
        <v>968231.46110383666</v>
      </c>
      <c r="V949">
        <f t="shared" si="236"/>
        <v>939611.22244647099</v>
      </c>
      <c r="W949">
        <f t="shared" si="237"/>
        <v>-1.430468739302863</v>
      </c>
      <c r="X949">
        <f t="shared" si="238"/>
        <v>-6.5959798586832361E-2</v>
      </c>
      <c r="Y949">
        <f t="shared" si="239"/>
        <v>-0.20093036212767607</v>
      </c>
      <c r="Z949">
        <f t="shared" si="240"/>
        <v>4.4076338212212693</v>
      </c>
      <c r="AA949">
        <f t="shared" si="241"/>
        <v>0.17984375316239368</v>
      </c>
      <c r="AB949">
        <f t="shared" si="242"/>
        <v>0.55788304524921539</v>
      </c>
    </row>
    <row r="950" spans="12:28" x14ac:dyDescent="0.25">
      <c r="L950">
        <v>946</v>
      </c>
      <c r="M950">
        <f t="shared" si="247"/>
        <v>473</v>
      </c>
      <c r="N950">
        <f t="shared" si="243"/>
        <v>313512.1978722036</v>
      </c>
      <c r="O950">
        <f t="shared" si="244"/>
        <v>-900035.48882601771</v>
      </c>
      <c r="P950">
        <f t="shared" si="245"/>
        <v>235.32921566999354</v>
      </c>
      <c r="Q950">
        <f t="shared" si="246"/>
        <v>-2026.359668540907</v>
      </c>
      <c r="R950">
        <f t="shared" si="232"/>
        <v>-1.6926837259989027</v>
      </c>
      <c r="S950">
        <f t="shared" si="233"/>
        <v>5.1349206340203128</v>
      </c>
      <c r="T950">
        <f t="shared" si="234"/>
        <v>951440.30098284176</v>
      </c>
      <c r="U950">
        <f t="shared" si="235"/>
        <v>969223.90449903614</v>
      </c>
      <c r="V950">
        <f t="shared" si="236"/>
        <v>940605.03755555651</v>
      </c>
      <c r="W950">
        <f t="shared" si="237"/>
        <v>-1.4265347107345516</v>
      </c>
      <c r="X950">
        <f t="shared" si="238"/>
        <v>-6.5780646148154376E-2</v>
      </c>
      <c r="Y950">
        <f t="shared" si="239"/>
        <v>-0.20036836911619657</v>
      </c>
      <c r="Z950">
        <f t="shared" si="240"/>
        <v>4.398674224159711</v>
      </c>
      <c r="AA950">
        <f t="shared" si="241"/>
        <v>0.1794918532355011</v>
      </c>
      <c r="AB950">
        <f t="shared" si="242"/>
        <v>0.55675455662510043</v>
      </c>
    </row>
    <row r="951" spans="12:28" x14ac:dyDescent="0.25">
      <c r="L951">
        <v>947</v>
      </c>
      <c r="M951">
        <f t="shared" si="247"/>
        <v>473.5</v>
      </c>
      <c r="N951">
        <f t="shared" si="243"/>
        <v>313629.65089457284</v>
      </c>
      <c r="O951">
        <f t="shared" si="244"/>
        <v>-901048.02679520892</v>
      </c>
      <c r="P951">
        <f t="shared" si="245"/>
        <v>234.48287380699409</v>
      </c>
      <c r="Q951">
        <f t="shared" si="246"/>
        <v>-2023.792208223897</v>
      </c>
      <c r="R951">
        <f t="shared" si="232"/>
        <v>-1.6880313107693716</v>
      </c>
      <c r="S951">
        <f t="shared" si="233"/>
        <v>5.1245261860944149</v>
      </c>
      <c r="T951">
        <f t="shared" si="234"/>
        <v>952439.70871859405</v>
      </c>
      <c r="U951">
        <f t="shared" si="235"/>
        <v>970215.05403878284</v>
      </c>
      <c r="V951">
        <f t="shared" si="236"/>
        <v>941597.55746119085</v>
      </c>
      <c r="W951">
        <f t="shared" si="237"/>
        <v>-1.4226198049742802</v>
      </c>
      <c r="X951">
        <f t="shared" si="238"/>
        <v>-6.5602357543623563E-2</v>
      </c>
      <c r="Y951">
        <f t="shared" si="239"/>
        <v>-0.19980914825146801</v>
      </c>
      <c r="Z951">
        <f t="shared" si="240"/>
        <v>4.3897537706078973</v>
      </c>
      <c r="AA951">
        <f t="shared" si="241"/>
        <v>0.17914144690970049</v>
      </c>
      <c r="AB951">
        <f t="shared" si="242"/>
        <v>0.55563096857681704</v>
      </c>
    </row>
    <row r="952" spans="12:28" x14ac:dyDescent="0.25">
      <c r="L952">
        <v>948</v>
      </c>
      <c r="M952">
        <f t="shared" si="247"/>
        <v>474</v>
      </c>
      <c r="N952">
        <f t="shared" si="243"/>
        <v>313746.68132756249</v>
      </c>
      <c r="O952">
        <f t="shared" si="244"/>
        <v>-902059.2823335476</v>
      </c>
      <c r="P952">
        <f t="shared" si="245"/>
        <v>233.63885815160941</v>
      </c>
      <c r="Q952">
        <f t="shared" si="246"/>
        <v>-2021.2299451308497</v>
      </c>
      <c r="R952">
        <f t="shared" si="232"/>
        <v>-1.6834014992383639</v>
      </c>
      <c r="S952">
        <f t="shared" si="233"/>
        <v>5.1141769933724497</v>
      </c>
      <c r="T952">
        <f t="shared" si="234"/>
        <v>953437.80838521768</v>
      </c>
      <c r="U952">
        <f t="shared" si="235"/>
        <v>971204.9123578131</v>
      </c>
      <c r="V952">
        <f t="shared" si="236"/>
        <v>942588.78480037267</v>
      </c>
      <c r="W952">
        <f t="shared" si="237"/>
        <v>-1.4187238918326979</v>
      </c>
      <c r="X952">
        <f t="shared" si="238"/>
        <v>-6.5424926951971621E-2</v>
      </c>
      <c r="Y952">
        <f t="shared" si="239"/>
        <v>-0.19925268045369454</v>
      </c>
      <c r="Z952">
        <f t="shared" si="240"/>
        <v>4.3808722173109933</v>
      </c>
      <c r="AA952">
        <f t="shared" si="241"/>
        <v>0.1787925251726302</v>
      </c>
      <c r="AB952">
        <f t="shared" si="242"/>
        <v>0.55451225088882594</v>
      </c>
    </row>
    <row r="953" spans="12:28" x14ac:dyDescent="0.25">
      <c r="L953">
        <v>949</v>
      </c>
      <c r="M953">
        <f t="shared" si="247"/>
        <v>474.5</v>
      </c>
      <c r="N953">
        <f t="shared" si="243"/>
        <v>313863.29033145087</v>
      </c>
      <c r="O953">
        <f t="shared" si="244"/>
        <v>-903069.25803398888</v>
      </c>
      <c r="P953">
        <f t="shared" si="245"/>
        <v>232.79715740199023</v>
      </c>
      <c r="Q953">
        <f t="shared" si="246"/>
        <v>-2018.6728566341635</v>
      </c>
      <c r="R953">
        <f t="shared" si="232"/>
        <v>-1.6787941376719271</v>
      </c>
      <c r="S953">
        <f t="shared" si="233"/>
        <v>5.1038727756692115</v>
      </c>
      <c r="T953">
        <f t="shared" si="234"/>
        <v>954434.60267889791</v>
      </c>
      <c r="U953">
        <f t="shared" si="235"/>
        <v>972193.48207940673</v>
      </c>
      <c r="V953">
        <f t="shared" si="236"/>
        <v>943578.72219865082</v>
      </c>
      <c r="W953">
        <f t="shared" si="237"/>
        <v>-1.4148468422583553</v>
      </c>
      <c r="X953">
        <f t="shared" si="238"/>
        <v>-6.5248348602261336E-2</v>
      </c>
      <c r="Y953">
        <f t="shared" si="239"/>
        <v>-0.19869894681131051</v>
      </c>
      <c r="Z953">
        <f t="shared" si="240"/>
        <v>4.372029322996295</v>
      </c>
      <c r="AA953">
        <f t="shared" si="241"/>
        <v>0.17844507908330989</v>
      </c>
      <c r="AB953">
        <f t="shared" si="242"/>
        <v>0.55339837358960697</v>
      </c>
    </row>
    <row r="954" spans="12:28" x14ac:dyDescent="0.25">
      <c r="L954">
        <v>950</v>
      </c>
      <c r="M954">
        <f t="shared" si="247"/>
        <v>475</v>
      </c>
      <c r="N954">
        <f t="shared" si="243"/>
        <v>313979.47906088468</v>
      </c>
      <c r="O954">
        <f t="shared" si="244"/>
        <v>-904077.956478209</v>
      </c>
      <c r="P954">
        <f t="shared" si="245"/>
        <v>231.95776033315428</v>
      </c>
      <c r="Q954">
        <f t="shared" si="246"/>
        <v>-2016.120920246329</v>
      </c>
      <c r="R954">
        <f t="shared" si="232"/>
        <v>-1.6742090736781055</v>
      </c>
      <c r="S954">
        <f t="shared" si="233"/>
        <v>5.0936132550739668</v>
      </c>
      <c r="T954">
        <f t="shared" si="234"/>
        <v>955430.09428398556</v>
      </c>
      <c r="U954">
        <f t="shared" si="235"/>
        <v>973180.76581545651</v>
      </c>
      <c r="V954">
        <f t="shared" si="236"/>
        <v>944567.37227019516</v>
      </c>
      <c r="W954">
        <f t="shared" si="237"/>
        <v>-1.4109885283255732</v>
      </c>
      <c r="X954">
        <f t="shared" si="238"/>
        <v>-6.5072616773355324E-2</v>
      </c>
      <c r="Y954">
        <f t="shared" si="239"/>
        <v>-0.19814792857917704</v>
      </c>
      <c r="Z954">
        <f t="shared" si="240"/>
        <v>4.3632248483532887</v>
      </c>
      <c r="AA954">
        <f t="shared" si="241"/>
        <v>0.17809909977144062</v>
      </c>
      <c r="AB954">
        <f t="shared" si="242"/>
        <v>0.5522893069492375</v>
      </c>
    </row>
    <row r="955" spans="12:28" x14ac:dyDescent="0.25">
      <c r="L955">
        <v>951</v>
      </c>
      <c r="M955">
        <f t="shared" si="247"/>
        <v>475.5</v>
      </c>
      <c r="N955">
        <f t="shared" si="243"/>
        <v>314095.24866491708</v>
      </c>
      <c r="O955">
        <f t="shared" si="244"/>
        <v>-905085.38023667526</v>
      </c>
      <c r="P955">
        <f t="shared" si="245"/>
        <v>231.12065579631522</v>
      </c>
      <c r="Q955">
        <f t="shared" si="246"/>
        <v>-2013.5741136187919</v>
      </c>
      <c r="R955">
        <f t="shared" si="232"/>
        <v>-1.6696461561927021</v>
      </c>
      <c r="S955">
        <f t="shared" si="233"/>
        <v>5.0833981559278314</v>
      </c>
      <c r="T955">
        <f t="shared" si="234"/>
        <v>956424.28587307071</v>
      </c>
      <c r="U955">
        <f t="shared" si="235"/>
        <v>974166.76616653951</v>
      </c>
      <c r="V955">
        <f t="shared" si="236"/>
        <v>945554.73761786637</v>
      </c>
      <c r="W955">
        <f t="shared" si="237"/>
        <v>-1.4071488232225118</v>
      </c>
      <c r="X955">
        <f t="shared" si="238"/>
        <v>-6.4897725793393674E-2</v>
      </c>
      <c r="Y955">
        <f t="shared" si="239"/>
        <v>-0.19759960717679678</v>
      </c>
      <c r="Z955">
        <f t="shared" si="240"/>
        <v>4.3544585560141247</v>
      </c>
      <c r="AA955">
        <f t="shared" si="241"/>
        <v>0.17775457843671899</v>
      </c>
      <c r="AB955">
        <f t="shared" si="242"/>
        <v>0.55118502147698711</v>
      </c>
    </row>
    <row r="956" spans="12:28" x14ac:dyDescent="0.25">
      <c r="L956">
        <v>952</v>
      </c>
      <c r="M956">
        <f t="shared" si="247"/>
        <v>476</v>
      </c>
      <c r="N956">
        <f t="shared" si="243"/>
        <v>314210.6002870457</v>
      </c>
      <c r="O956">
        <f t="shared" si="244"/>
        <v>-906091.53186871519</v>
      </c>
      <c r="P956">
        <f t="shared" si="245"/>
        <v>230.28583271821887</v>
      </c>
      <c r="Q956">
        <f t="shared" si="246"/>
        <v>-2011.0324145408281</v>
      </c>
      <c r="R956">
        <f t="shared" si="232"/>
        <v>-1.6651052354651412</v>
      </c>
      <c r="S956">
        <f t="shared" si="233"/>
        <v>5.0732272048011566</v>
      </c>
      <c r="T956">
        <f t="shared" si="234"/>
        <v>957417.18010705546</v>
      </c>
      <c r="U956">
        <f t="shared" si="235"/>
        <v>975151.48572198593</v>
      </c>
      <c r="V956">
        <f t="shared" si="236"/>
        <v>946540.82083328534</v>
      </c>
      <c r="W956">
        <f t="shared" si="237"/>
        <v>-1.4033276012393168</v>
      </c>
      <c r="X956">
        <f t="shared" si="238"/>
        <v>-6.4723670039274817E-2</v>
      </c>
      <c r="Y956">
        <f t="shared" si="239"/>
        <v>-0.19705396418654955</v>
      </c>
      <c r="Z956">
        <f t="shared" si="240"/>
        <v>4.3457302105340716</v>
      </c>
      <c r="AA956">
        <f t="shared" si="241"/>
        <v>0.17741150634815089</v>
      </c>
      <c r="AB956">
        <f t="shared" si="242"/>
        <v>0.55008548791893419</v>
      </c>
    </row>
    <row r="957" spans="12:28" x14ac:dyDescent="0.25">
      <c r="L957">
        <v>953</v>
      </c>
      <c r="M957">
        <f t="shared" si="247"/>
        <v>476.5</v>
      </c>
      <c r="N957">
        <f t="shared" si="243"/>
        <v>314325.53506525041</v>
      </c>
      <c r="O957">
        <f t="shared" si="244"/>
        <v>-907096.41392258508</v>
      </c>
      <c r="P957">
        <f t="shared" si="245"/>
        <v>229.4532801004863</v>
      </c>
      <c r="Q957">
        <f t="shared" si="246"/>
        <v>-2008.4958009384275</v>
      </c>
      <c r="R957">
        <f t="shared" si="232"/>
        <v>-1.6605861630445247</v>
      </c>
      <c r="S957">
        <f t="shared" si="233"/>
        <v>5.0631001304712537</v>
      </c>
      <c r="T957">
        <f t="shared" si="234"/>
        <v>958408.77963522729</v>
      </c>
      <c r="U957">
        <f t="shared" si="235"/>
        <v>976134.92705994879</v>
      </c>
      <c r="V957">
        <f t="shared" si="236"/>
        <v>947525.62449690234</v>
      </c>
      <c r="W957">
        <f t="shared" si="237"/>
        <v>-1.3995247377564146</v>
      </c>
      <c r="X957">
        <f t="shared" si="238"/>
        <v>-6.4550443936145674E-2</v>
      </c>
      <c r="Y957">
        <f t="shared" si="239"/>
        <v>-0.19651098135196426</v>
      </c>
      <c r="Z957">
        <f t="shared" si="240"/>
        <v>4.3370395783722211</v>
      </c>
      <c r="AA957">
        <f t="shared" si="241"/>
        <v>0.17706987484338038</v>
      </c>
      <c r="AB957">
        <f t="shared" si="242"/>
        <v>0.54899067725565209</v>
      </c>
    </row>
    <row r="958" spans="12:28" x14ac:dyDescent="0.25">
      <c r="L958">
        <v>954</v>
      </c>
      <c r="M958">
        <f t="shared" si="247"/>
        <v>477</v>
      </c>
      <c r="N958">
        <f t="shared" si="243"/>
        <v>314440.05413203029</v>
      </c>
      <c r="O958">
        <f t="shared" si="244"/>
        <v>-908100.02893553802</v>
      </c>
      <c r="P958">
        <f t="shared" si="245"/>
        <v>228.62298701896404</v>
      </c>
      <c r="Q958">
        <f t="shared" si="246"/>
        <v>-2005.9642508731918</v>
      </c>
      <c r="R958">
        <f t="shared" si="232"/>
        <v>-1.6560887917659179</v>
      </c>
      <c r="S958">
        <f t="shared" si="233"/>
        <v>5.053016663900542</v>
      </c>
      <c r="T958">
        <f t="shared" si="234"/>
        <v>959399.08709533035</v>
      </c>
      <c r="U958">
        <f t="shared" si="235"/>
        <v>977117.09274747164</v>
      </c>
      <c r="V958">
        <f t="shared" si="236"/>
        <v>948509.15117806487</v>
      </c>
      <c r="W958">
        <f t="shared" si="237"/>
        <v>-1.3957401092330264</v>
      </c>
      <c r="X958">
        <f t="shared" si="238"/>
        <v>-6.4378041956896934E-2</v>
      </c>
      <c r="Y958">
        <f t="shared" si="239"/>
        <v>-0.19597064057599464</v>
      </c>
      <c r="Z958">
        <f t="shared" si="240"/>
        <v>4.3283864278726467</v>
      </c>
      <c r="AA958">
        <f t="shared" si="241"/>
        <v>0.17672967532802364</v>
      </c>
      <c r="AB958">
        <f t="shared" si="242"/>
        <v>0.54790056069987159</v>
      </c>
    </row>
    <row r="959" spans="12:28" x14ac:dyDescent="0.25">
      <c r="L959">
        <v>955</v>
      </c>
      <c r="M959">
        <f t="shared" si="247"/>
        <v>477.5</v>
      </c>
      <c r="N959">
        <f t="shared" si="243"/>
        <v>314554.15861444082</v>
      </c>
      <c r="O959">
        <f t="shared" si="244"/>
        <v>-909102.37943389162</v>
      </c>
      <c r="P959">
        <f t="shared" si="245"/>
        <v>227.79494262308108</v>
      </c>
      <c r="Q959">
        <f t="shared" si="246"/>
        <v>-2003.4377425412415</v>
      </c>
      <c r="R959">
        <f t="shared" si="232"/>
        <v>-1.6516129757367619</v>
      </c>
      <c r="S959">
        <f t="shared" si="233"/>
        <v>5.0429765382148162</v>
      </c>
      <c r="T959">
        <f t="shared" si="234"/>
        <v>960388.10511363763</v>
      </c>
      <c r="U959">
        <f t="shared" si="235"/>
        <v>978097.98534055764</v>
      </c>
      <c r="V959">
        <f t="shared" si="236"/>
        <v>949491.40343508637</v>
      </c>
      <c r="W959">
        <f t="shared" si="237"/>
        <v>-1.39197359319577</v>
      </c>
      <c r="X959">
        <f t="shared" si="238"/>
        <v>-6.4206458621665768E-2</v>
      </c>
      <c r="Y959">
        <f t="shared" si="239"/>
        <v>-0.19543292391932612</v>
      </c>
      <c r="Z959">
        <f t="shared" si="240"/>
        <v>4.3197705292456066</v>
      </c>
      <c r="AA959">
        <f t="shared" si="241"/>
        <v>0.17639089927501347</v>
      </c>
      <c r="AB959">
        <f t="shared" si="242"/>
        <v>0.54681510969419678</v>
      </c>
    </row>
    <row r="960" spans="12:28" x14ac:dyDescent="0.25">
      <c r="L960">
        <v>956</v>
      </c>
      <c r="M960">
        <f t="shared" si="247"/>
        <v>478</v>
      </c>
      <c r="N960">
        <f t="shared" si="243"/>
        <v>314667.84963413043</v>
      </c>
      <c r="O960">
        <f t="shared" si="244"/>
        <v>-910103.46793309494</v>
      </c>
      <c r="P960">
        <f t="shared" si="245"/>
        <v>226.96913613521269</v>
      </c>
      <c r="Q960">
        <f t="shared" si="246"/>
        <v>-2000.9162542721342</v>
      </c>
      <c r="R960">
        <f t="shared" si="232"/>
        <v>-1.647158570323469</v>
      </c>
      <c r="S960">
        <f t="shared" si="233"/>
        <v>5.032979488681824</v>
      </c>
      <c r="T960">
        <f t="shared" si="234"/>
        <v>961375.83630502142</v>
      </c>
      <c r="U960">
        <f t="shared" si="235"/>
        <v>979077.6073842363</v>
      </c>
      <c r="V960">
        <f t="shared" si="236"/>
        <v>950472.38381531218</v>
      </c>
      <c r="W960">
        <f t="shared" si="237"/>
        <v>-1.3882250682274182</v>
      </c>
      <c r="X960">
        <f t="shared" si="238"/>
        <v>-6.4035688497343035E-2</v>
      </c>
      <c r="Y960">
        <f t="shared" si="239"/>
        <v>-0.19489781359870786</v>
      </c>
      <c r="Z960">
        <f t="shared" si="240"/>
        <v>4.3111916545490168</v>
      </c>
      <c r="AA960">
        <f t="shared" si="241"/>
        <v>0.17605353822394759</v>
      </c>
      <c r="AB960">
        <f t="shared" si="242"/>
        <v>0.54573429590885947</v>
      </c>
    </row>
    <row r="961" spans="12:28" x14ac:dyDescent="0.25">
      <c r="L961">
        <v>957</v>
      </c>
      <c r="M961">
        <f t="shared" si="247"/>
        <v>478.5</v>
      </c>
      <c r="N961">
        <f t="shared" si="243"/>
        <v>314781.12830737676</v>
      </c>
      <c r="O961">
        <f t="shared" si="244"/>
        <v>-911103.29693779501</v>
      </c>
      <c r="P961">
        <f t="shared" si="245"/>
        <v>226.14555685005095</v>
      </c>
      <c r="Q961">
        <f t="shared" si="246"/>
        <v>-1998.3997645277932</v>
      </c>
      <c r="R961">
        <f t="shared" si="232"/>
        <v>-1.6427254321381533</v>
      </c>
      <c r="S961">
        <f t="shared" si="233"/>
        <v>5.0230252526899912</v>
      </c>
      <c r="T961">
        <f t="shared" si="234"/>
        <v>962362.28327302402</v>
      </c>
      <c r="U961">
        <f t="shared" si="235"/>
        <v>980055.96141263074</v>
      </c>
      <c r="V961">
        <f t="shared" si="236"/>
        <v>951452.09485518758</v>
      </c>
      <c r="W961">
        <f t="shared" si="237"/>
        <v>-1.3844944139557764</v>
      </c>
      <c r="X961">
        <f t="shared" si="238"/>
        <v>-6.3865726197086733E-2</v>
      </c>
      <c r="Y961">
        <f t="shared" si="239"/>
        <v>-0.1943652919852901</v>
      </c>
      <c r="Z961">
        <f t="shared" si="240"/>
        <v>4.3026495776700902</v>
      </c>
      <c r="AA961">
        <f t="shared" si="241"/>
        <v>0.17571758378044416</v>
      </c>
      <c r="AB961">
        <f t="shared" si="242"/>
        <v>0.54465809123945674</v>
      </c>
    </row>
    <row r="962" spans="12:28" x14ac:dyDescent="0.25">
      <c r="L962">
        <v>958</v>
      </c>
      <c r="M962">
        <f t="shared" si="247"/>
        <v>479</v>
      </c>
      <c r="N962">
        <f t="shared" si="243"/>
        <v>314893.99574512272</v>
      </c>
      <c r="O962">
        <f t="shared" si="244"/>
        <v>-912101.8689419023</v>
      </c>
      <c r="P962">
        <f t="shared" si="245"/>
        <v>225.32419413398188</v>
      </c>
      <c r="Q962">
        <f t="shared" si="246"/>
        <v>-1995.8882519014483</v>
      </c>
      <c r="R962">
        <f t="shared" si="232"/>
        <v>-1.6383134190255642</v>
      </c>
      <c r="S962">
        <f t="shared" si="233"/>
        <v>5.0131135697275129</v>
      </c>
      <c r="T962">
        <f t="shared" si="234"/>
        <v>963347.44860992627</v>
      </c>
      <c r="U962">
        <f t="shared" si="235"/>
        <v>981033.04994902364</v>
      </c>
      <c r="V962">
        <f t="shared" si="236"/>
        <v>952430.53908032307</v>
      </c>
      <c r="W962">
        <f t="shared" si="237"/>
        <v>-1.3807815110427186</v>
      </c>
      <c r="X962">
        <f t="shared" si="238"/>
        <v>-6.3696566379841307E-2</v>
      </c>
      <c r="Y962">
        <f t="shared" si="239"/>
        <v>-0.19383534160300436</v>
      </c>
      <c r="Z962">
        <f t="shared" si="240"/>
        <v>4.2941440743072326</v>
      </c>
      <c r="AA962">
        <f t="shared" si="241"/>
        <v>0.17538302761550484</v>
      </c>
      <c r="AB962">
        <f t="shared" si="242"/>
        <v>0.54358646780477593</v>
      </c>
    </row>
    <row r="963" spans="12:28" x14ac:dyDescent="0.25">
      <c r="L963">
        <v>959</v>
      </c>
      <c r="M963">
        <f t="shared" si="247"/>
        <v>479.5</v>
      </c>
      <c r="N963">
        <f t="shared" si="243"/>
        <v>315006.45305301232</v>
      </c>
      <c r="O963">
        <f t="shared" si="244"/>
        <v>-913099.1864286568</v>
      </c>
      <c r="P963">
        <f t="shared" si="245"/>
        <v>224.50503742446909</v>
      </c>
      <c r="Q963">
        <f t="shared" si="246"/>
        <v>-1993.3816951165845</v>
      </c>
      <c r="R963">
        <f t="shared" si="232"/>
        <v>-1.633922390050192</v>
      </c>
      <c r="S963">
        <f t="shared" si="233"/>
        <v>5.003244181361735</v>
      </c>
      <c r="T963">
        <f t="shared" si="234"/>
        <v>964331.33489681897</v>
      </c>
      <c r="U963">
        <f t="shared" si="235"/>
        <v>982008.87550592341</v>
      </c>
      <c r="V963">
        <f t="shared" si="236"/>
        <v>953407.71900556004</v>
      </c>
      <c r="W963">
        <f t="shared" si="237"/>
        <v>-1.3770862411733862</v>
      </c>
      <c r="X963">
        <f t="shared" si="238"/>
        <v>-6.3528203749866702E-2</v>
      </c>
      <c r="Y963">
        <f t="shared" si="239"/>
        <v>-0.19330794512693908</v>
      </c>
      <c r="Z963">
        <f t="shared" si="240"/>
        <v>4.2856749219522641</v>
      </c>
      <c r="AA963">
        <f t="shared" si="241"/>
        <v>0.17504986146489571</v>
      </c>
      <c r="AB963">
        <f t="shared" si="242"/>
        <v>0.54251939794457582</v>
      </c>
    </row>
    <row r="964" spans="12:28" x14ac:dyDescent="0.25">
      <c r="L964">
        <v>960</v>
      </c>
      <c r="M964">
        <f t="shared" si="247"/>
        <v>480</v>
      </c>
      <c r="N964">
        <f t="shared" si="243"/>
        <v>315118.5013314258</v>
      </c>
      <c r="O964">
        <f t="shared" si="244"/>
        <v>-914095.25187069247</v>
      </c>
      <c r="P964">
        <f t="shared" si="245"/>
        <v>223.68807622944399</v>
      </c>
      <c r="Q964">
        <f t="shared" si="246"/>
        <v>-1990.8800730259036</v>
      </c>
      <c r="R964">
        <f t="shared" si="232"/>
        <v>-1.6295522054834839</v>
      </c>
      <c r="S964">
        <f t="shared" si="233"/>
        <v>4.9934168312186129</v>
      </c>
      <c r="T964">
        <f t="shared" si="234"/>
        <v>965313.94470366917</v>
      </c>
      <c r="U964">
        <f t="shared" si="235"/>
        <v>982983.44058512978</v>
      </c>
      <c r="V964">
        <f t="shared" si="236"/>
        <v>954383.63713503699</v>
      </c>
      <c r="W964">
        <f t="shared" si="237"/>
        <v>-1.373408487045459</v>
      </c>
      <c r="X964">
        <f t="shared" si="238"/>
        <v>-6.3360633056265173E-2</v>
      </c>
      <c r="Y964">
        <f t="shared" si="239"/>
        <v>-0.19278308538175967</v>
      </c>
      <c r="Z964">
        <f t="shared" si="240"/>
        <v>4.2772418998726369</v>
      </c>
      <c r="AA964">
        <f t="shared" si="241"/>
        <v>0.17471807712851342</v>
      </c>
      <c r="AB964">
        <f t="shared" si="242"/>
        <v>0.54145685421746259</v>
      </c>
    </row>
    <row r="965" spans="12:28" x14ac:dyDescent="0.25">
      <c r="L965">
        <v>961</v>
      </c>
      <c r="M965">
        <f t="shared" si="247"/>
        <v>480.5</v>
      </c>
      <c r="N965">
        <f t="shared" si="243"/>
        <v>315230.14167551481</v>
      </c>
      <c r="O965">
        <f t="shared" si="244"/>
        <v>-915090.06773010152</v>
      </c>
      <c r="P965">
        <f t="shared" si="245"/>
        <v>222.87330012670225</v>
      </c>
      <c r="Q965">
        <f t="shared" si="246"/>
        <v>-1988.3833646102942</v>
      </c>
      <c r="R965">
        <f t="shared" ref="R965:R1004" si="248">SUM(W965:Y965)</f>
        <v>-1.6252027267912152</v>
      </c>
      <c r="S965">
        <f t="shared" ref="S965:S1004" si="249">SUM(Z965:AB965)</f>
        <v>4.9836312649624022</v>
      </c>
      <c r="T965">
        <f t="shared" ref="T965:T1004" si="250">SQRT(($D$18-N965)^2 + ($E$18 - O965) ^2)</f>
        <v>966295.28058938961</v>
      </c>
      <c r="U965">
        <f t="shared" ref="U965:U1004" si="251">SQRT(($D$26-N965)^2 + ($E$26- O965) ^2)</f>
        <v>983956.7476777978</v>
      </c>
      <c r="V965">
        <f t="shared" ref="V965:V1004" si="252">SQRT(($D$34-N965)^2 + ($E$34 - O965) ^2)</f>
        <v>955358.29596225265</v>
      </c>
      <c r="W965">
        <f t="shared" ref="W965:W1004" si="253">$D$22*(($D$18-N965)/(T965^2+($D$23^2))^(3/2))</f>
        <v>-1.3697481323585634</v>
      </c>
      <c r="X965">
        <f t="shared" ref="X965:X1004" si="254">$D$30*(($D$26-N965)/(U965^2+($D$31^2))^(3/2))</f>
        <v>-6.3193849092522847E-2</v>
      </c>
      <c r="Y965">
        <f t="shared" ref="Y965:Y1004" si="255">$D$38*(($D$34-N965)/(V965^2+($D$39^2))^(3/2))</f>
        <v>-0.19226074534012913</v>
      </c>
      <c r="Z965">
        <f t="shared" ref="Z965:Z1004" si="256">$D$22*(($E$18-O965)/(T965^2+($D$23^2))^(3/2))</f>
        <v>4.2688447890938841</v>
      </c>
      <c r="AA965">
        <f t="shared" ref="AA965:AA1004" si="257">$D$30*(($E$26-O965)/(U965^2+($D$31^2))^(3/2))</f>
        <v>0.17438766646978301</v>
      </c>
      <c r="AB965">
        <f t="shared" ref="AB965:AB1004" si="258">$D$38*(($E$34-O965)/(V965^2+($D$39^2))^(3/2))</f>
        <v>0.54039880939873564</v>
      </c>
    </row>
    <row r="966" spans="12:28" x14ac:dyDescent="0.25">
      <c r="L966">
        <v>962</v>
      </c>
      <c r="M966">
        <f t="shared" si="247"/>
        <v>481</v>
      </c>
      <c r="N966">
        <f t="shared" ref="N966:N1004" si="259">(N965)+(P965)*(M966-M965)+((1/2*(R965))*((M966-M965)^2))</f>
        <v>315341.37517523736</v>
      </c>
      <c r="O966">
        <f t="shared" ref="O966:O1004" si="260">(O965)+(Q965)*(M966-M965)+((1/2*(S965))*((M966-M965)^2))</f>
        <v>-916083.63645849854</v>
      </c>
      <c r="P966">
        <f t="shared" ref="P966:P1004" si="261">P965+(R965*(M966-M965))</f>
        <v>222.06069876330665</v>
      </c>
      <c r="Q966">
        <f t="shared" ref="Q966:Q1004" si="262">Q965+(S965*(M966-M965))</f>
        <v>-1985.891548977813</v>
      </c>
      <c r="R966">
        <f t="shared" si="248"/>
        <v>-1.6208738166211272</v>
      </c>
      <c r="S966">
        <f t="shared" si="249"/>
        <v>4.9738872302759507</v>
      </c>
      <c r="T966">
        <f t="shared" si="250"/>
        <v>967275.34510190622</v>
      </c>
      <c r="U966">
        <f t="shared" si="251"/>
        <v>984928.79926450306</v>
      </c>
      <c r="V966">
        <f t="shared" si="252"/>
        <v>956331.69797013095</v>
      </c>
      <c r="W966">
        <f t="shared" si="253"/>
        <v>-1.366105061803921</v>
      </c>
      <c r="X966">
        <f t="shared" si="254"/>
        <v>-6.3027846696049494E-2</v>
      </c>
      <c r="Y966">
        <f t="shared" si="255"/>
        <v>-0.19174090812115679</v>
      </c>
      <c r="Z966">
        <f t="shared" si="256"/>
        <v>4.260483372382625</v>
      </c>
      <c r="AA966">
        <f t="shared" si="257"/>
        <v>0.17405862141504225</v>
      </c>
      <c r="AB966">
        <f t="shared" si="258"/>
        <v>0.53934523647828314</v>
      </c>
    </row>
    <row r="967" spans="12:28" x14ac:dyDescent="0.25">
      <c r="L967">
        <v>963</v>
      </c>
      <c r="M967">
        <f t="shared" si="247"/>
        <v>481.5</v>
      </c>
      <c r="N967">
        <f t="shared" si="259"/>
        <v>315452.20291539194</v>
      </c>
      <c r="O967">
        <f t="shared" si="260"/>
        <v>-917075.96049708361</v>
      </c>
      <c r="P967">
        <f t="shared" si="261"/>
        <v>221.2502618549961</v>
      </c>
      <c r="Q967">
        <f t="shared" si="262"/>
        <v>-1983.4046053626751</v>
      </c>
      <c r="R967">
        <f t="shared" si="248"/>
        <v>-1.6165653387905607</v>
      </c>
      <c r="S967">
        <f t="shared" si="249"/>
        <v>4.9641844768407104</v>
      </c>
      <c r="T967">
        <f t="shared" si="250"/>
        <v>968254.14077822422</v>
      </c>
      <c r="U967">
        <f t="shared" si="251"/>
        <v>985899.59781530465</v>
      </c>
      <c r="V967">
        <f t="shared" si="252"/>
        <v>957303.84563108464</v>
      </c>
      <c r="W967">
        <f t="shared" si="253"/>
        <v>-1.3624791610539633</v>
      </c>
      <c r="X967">
        <f t="shared" si="254"/>
        <v>-6.2862620747728026E-2</v>
      </c>
      <c r="Y967">
        <f t="shared" si="255"/>
        <v>-0.19122355698886931</v>
      </c>
      <c r="Z967">
        <f t="shared" si="256"/>
        <v>4.2521574342292539</v>
      </c>
      <c r="AA967">
        <f t="shared" si="257"/>
        <v>0.17373093395294498</v>
      </c>
      <c r="AB967">
        <f t="shared" si="258"/>
        <v>0.53829610865851119</v>
      </c>
    </row>
    <row r="968" spans="12:28" x14ac:dyDescent="0.25">
      <c r="L968">
        <v>964</v>
      </c>
      <c r="M968">
        <f t="shared" si="247"/>
        <v>482</v>
      </c>
      <c r="N968">
        <f t="shared" si="259"/>
        <v>315562.62597565207</v>
      </c>
      <c r="O968">
        <f t="shared" si="260"/>
        <v>-918067.04227670527</v>
      </c>
      <c r="P968">
        <f t="shared" si="261"/>
        <v>220.44197918560081</v>
      </c>
      <c r="Q968">
        <f t="shared" si="262"/>
        <v>-1980.9225131242547</v>
      </c>
      <c r="R968">
        <f t="shared" si="248"/>
        <v>-1.6122771582743374</v>
      </c>
      <c r="S968">
        <f t="shared" si="249"/>
        <v>4.9545227563172975</v>
      </c>
      <c r="T968">
        <f t="shared" si="250"/>
        <v>969231.67014449544</v>
      </c>
      <c r="U968">
        <f t="shared" si="251"/>
        <v>986869.14578980894</v>
      </c>
      <c r="V968">
        <f t="shared" si="252"/>
        <v>958274.74140707811</v>
      </c>
      <c r="W968">
        <f t="shared" si="253"/>
        <v>-1.3588703167521792</v>
      </c>
      <c r="X968">
        <f t="shared" si="254"/>
        <v>-6.2698166171468631E-2</v>
      </c>
      <c r="Y968">
        <f t="shared" si="255"/>
        <v>-0.19070867535068955</v>
      </c>
      <c r="Z968">
        <f t="shared" si="256"/>
        <v>4.2438667608311649</v>
      </c>
      <c r="AA968">
        <f t="shared" si="257"/>
        <v>0.17340459613386838</v>
      </c>
      <c r="AB968">
        <f t="shared" si="258"/>
        <v>0.5372513993522644</v>
      </c>
    </row>
    <row r="969" spans="12:28" x14ac:dyDescent="0.25">
      <c r="L969">
        <v>965</v>
      </c>
      <c r="M969">
        <f t="shared" si="247"/>
        <v>482.5</v>
      </c>
      <c r="N969">
        <f t="shared" si="259"/>
        <v>315672.6454306001</v>
      </c>
      <c r="O969">
        <f t="shared" si="260"/>
        <v>-919056.88421792293</v>
      </c>
      <c r="P969">
        <f t="shared" si="261"/>
        <v>219.63584060646366</v>
      </c>
      <c r="Q969">
        <f t="shared" si="262"/>
        <v>-1978.4452517460961</v>
      </c>
      <c r="R969">
        <f t="shared" si="248"/>
        <v>-1.6080091411927462</v>
      </c>
      <c r="S969">
        <f t="shared" si="249"/>
        <v>4.9449018223261358</v>
      </c>
      <c r="T969">
        <f t="shared" si="250"/>
        <v>970207.93571608409</v>
      </c>
      <c r="U969">
        <f t="shared" si="251"/>
        <v>987837.44563723262</v>
      </c>
      <c r="V969">
        <f t="shared" si="252"/>
        <v>959244.38774969033</v>
      </c>
      <c r="W969">
        <f t="shared" si="253"/>
        <v>-1.3552784165030294</v>
      </c>
      <c r="X969">
        <f t="shared" si="254"/>
        <v>-6.2534477933768914E-2</v>
      </c>
      <c r="Y969">
        <f t="shared" si="255"/>
        <v>-0.19019624675594801</v>
      </c>
      <c r="Z969">
        <f t="shared" si="256"/>
        <v>4.2356111400759957</v>
      </c>
      <c r="AA969">
        <f t="shared" si="257"/>
        <v>0.1730796000693286</v>
      </c>
      <c r="AB969">
        <f t="shared" si="258"/>
        <v>0.53621108218081104</v>
      </c>
    </row>
    <row r="970" spans="12:28" x14ac:dyDescent="0.25">
      <c r="L970">
        <v>966</v>
      </c>
      <c r="M970">
        <f t="shared" si="247"/>
        <v>483</v>
      </c>
      <c r="N970">
        <f t="shared" si="259"/>
        <v>315782.26234976063</v>
      </c>
      <c r="O970">
        <f t="shared" si="260"/>
        <v>-920045.48873106821</v>
      </c>
      <c r="P970">
        <f t="shared" si="261"/>
        <v>218.8318360358673</v>
      </c>
      <c r="Q970">
        <f t="shared" si="262"/>
        <v>-1975.972800834933</v>
      </c>
      <c r="R970">
        <f t="shared" si="248"/>
        <v>-1.6037611547997714</v>
      </c>
      <c r="S970">
        <f t="shared" si="249"/>
        <v>4.9353214304286208</v>
      </c>
      <c r="T970">
        <f t="shared" si="250"/>
        <v>971182.93999763159</v>
      </c>
      <c r="U970">
        <f t="shared" si="251"/>
        <v>988804.49979646376</v>
      </c>
      <c r="V970">
        <f t="shared" si="252"/>
        <v>960212.78710017644</v>
      </c>
      <c r="W970">
        <f t="shared" si="253"/>
        <v>-1.3517033488620971</v>
      </c>
      <c r="X970">
        <f t="shared" si="254"/>
        <v>-6.2371551043275651E-2</v>
      </c>
      <c r="Y970">
        <f t="shared" si="255"/>
        <v>-0.18968625489439864</v>
      </c>
      <c r="Z970">
        <f t="shared" si="256"/>
        <v>4.2273903615254165</v>
      </c>
      <c r="AA970">
        <f t="shared" si="257"/>
        <v>0.17275593793139329</v>
      </c>
      <c r="AB970">
        <f t="shared" si="258"/>
        <v>0.53517513097181102</v>
      </c>
    </row>
    <row r="971" spans="12:28" x14ac:dyDescent="0.25">
      <c r="L971">
        <v>967</v>
      </c>
      <c r="M971">
        <f t="shared" si="247"/>
        <v>483.5</v>
      </c>
      <c r="N971">
        <f t="shared" si="259"/>
        <v>315891.4777976342</v>
      </c>
      <c r="O971">
        <f t="shared" si="260"/>
        <v>-921032.85821630689</v>
      </c>
      <c r="P971">
        <f t="shared" si="261"/>
        <v>218.02995545846741</v>
      </c>
      <c r="Q971">
        <f t="shared" si="262"/>
        <v>-1973.5051401197186</v>
      </c>
      <c r="R971">
        <f t="shared" si="248"/>
        <v>-1.599533067471276</v>
      </c>
      <c r="S971">
        <f t="shared" si="249"/>
        <v>4.9257813381079218</v>
      </c>
      <c r="T971">
        <f t="shared" si="250"/>
        <v>972156.68548312236</v>
      </c>
      <c r="U971">
        <f t="shared" si="251"/>
        <v>989770.31069612526</v>
      </c>
      <c r="V971">
        <f t="shared" si="252"/>
        <v>961179.94188952981</v>
      </c>
      <c r="W971">
        <f t="shared" si="253"/>
        <v>-1.3481450033261528</v>
      </c>
      <c r="X971">
        <f t="shared" si="254"/>
        <v>-6.2209380550357504E-2</v>
      </c>
      <c r="Y971">
        <f t="shared" si="255"/>
        <v>-0.18917868359476575</v>
      </c>
      <c r="Z971">
        <f t="shared" si="256"/>
        <v>4.2192042163984613</v>
      </c>
      <c r="AA971">
        <f t="shared" si="257"/>
        <v>0.17243360195211604</v>
      </c>
      <c r="AB971">
        <f t="shared" si="258"/>
        <v>0.53414351975734409</v>
      </c>
    </row>
    <row r="972" spans="12:28" x14ac:dyDescent="0.25">
      <c r="L972">
        <v>968</v>
      </c>
      <c r="M972">
        <f t="shared" si="247"/>
        <v>484</v>
      </c>
      <c r="N972">
        <f t="shared" si="259"/>
        <v>316000.29283373</v>
      </c>
      <c r="O972">
        <f t="shared" si="260"/>
        <v>-922018.99506369943</v>
      </c>
      <c r="P972">
        <f t="shared" si="261"/>
        <v>217.23018892473178</v>
      </c>
      <c r="Q972">
        <f t="shared" si="262"/>
        <v>-1971.0422494506647</v>
      </c>
      <c r="R972">
        <f t="shared" si="248"/>
        <v>-1.5953247486935322</v>
      </c>
      <c r="S972">
        <f t="shared" si="249"/>
        <v>4.9162813047506262</v>
      </c>
      <c r="T972">
        <f t="shared" si="250"/>
        <v>973129.17465594725</v>
      </c>
      <c r="U972">
        <f t="shared" si="251"/>
        <v>990734.88075463485</v>
      </c>
      <c r="V972">
        <f t="shared" si="252"/>
        <v>962145.85453854327</v>
      </c>
      <c r="W972">
        <f t="shared" si="253"/>
        <v>-1.3446032703235566</v>
      </c>
      <c r="X972">
        <f t="shared" si="254"/>
        <v>-6.2047961546678736E-2</v>
      </c>
      <c r="Y972">
        <f t="shared" si="255"/>
        <v>-0.18867351682329703</v>
      </c>
      <c r="Z972">
        <f t="shared" si="256"/>
        <v>4.2110524975557331</v>
      </c>
      <c r="AA972">
        <f t="shared" si="257"/>
        <v>0.17211258442296579</v>
      </c>
      <c r="AB972">
        <f t="shared" si="258"/>
        <v>0.53311622277192783</v>
      </c>
    </row>
    <row r="973" spans="12:28" x14ac:dyDescent="0.25">
      <c r="L973">
        <v>969</v>
      </c>
      <c r="M973">
        <f t="shared" si="247"/>
        <v>484.5</v>
      </c>
      <c r="N973">
        <f t="shared" si="259"/>
        <v>316108.70851259877</v>
      </c>
      <c r="O973">
        <f t="shared" si="260"/>
        <v>-923003.90165326174</v>
      </c>
      <c r="P973">
        <f t="shared" si="261"/>
        <v>216.43252655038501</v>
      </c>
      <c r="Q973">
        <f t="shared" si="262"/>
        <v>-1968.5841087982894</v>
      </c>
      <c r="R973">
        <f t="shared" si="248"/>
        <v>-1.5911360690517502</v>
      </c>
      <c r="S973">
        <f t="shared" si="249"/>
        <v>4.9068210916281778</v>
      </c>
      <c r="T973">
        <f t="shared" si="250"/>
        <v>974100.40998896817</v>
      </c>
      <c r="U973">
        <f t="shared" si="251"/>
        <v>991698.21238026663</v>
      </c>
      <c r="V973">
        <f t="shared" si="252"/>
        <v>963110.52745786938</v>
      </c>
      <c r="W973">
        <f t="shared" si="253"/>
        <v>-1.3410780412046273</v>
      </c>
      <c r="X973">
        <f t="shared" si="254"/>
        <v>-6.1887289164779258E-2</v>
      </c>
      <c r="Y973">
        <f t="shared" si="255"/>
        <v>-0.18817073868234377</v>
      </c>
      <c r="Z973">
        <f t="shared" si="256"/>
        <v>4.2029349994833272</v>
      </c>
      <c r="AA973">
        <f t="shared" si="257"/>
        <v>0.17179287769426629</v>
      </c>
      <c r="AB973">
        <f t="shared" si="258"/>
        <v>0.53209321445058455</v>
      </c>
    </row>
    <row r="974" spans="12:28" x14ac:dyDescent="0.25">
      <c r="L974">
        <v>970</v>
      </c>
      <c r="M974">
        <f t="shared" si="247"/>
        <v>485</v>
      </c>
      <c r="N974">
        <f t="shared" si="259"/>
        <v>316216.72588386532</v>
      </c>
      <c r="O974">
        <f t="shared" si="260"/>
        <v>-923987.58035502443</v>
      </c>
      <c r="P974">
        <f t="shared" si="261"/>
        <v>215.63695851585913</v>
      </c>
      <c r="Q974">
        <f t="shared" si="262"/>
        <v>-1966.1306982524754</v>
      </c>
      <c r="R974">
        <f t="shared" si="248"/>
        <v>-1.5869669002188378</v>
      </c>
      <c r="S974">
        <f t="shared" si="249"/>
        <v>4.8974004618787808</v>
      </c>
      <c r="T974">
        <f t="shared" si="250"/>
        <v>975070.39394458081</v>
      </c>
      <c r="U974">
        <f t="shared" si="251"/>
        <v>992660.30797121103</v>
      </c>
      <c r="V974">
        <f t="shared" si="252"/>
        <v>964073.9630480808</v>
      </c>
      <c r="W974">
        <f t="shared" si="253"/>
        <v>-1.3375692082322239</v>
      </c>
      <c r="X974">
        <f t="shared" si="254"/>
        <v>-6.1727358577660825E-2</v>
      </c>
      <c r="Y974">
        <f t="shared" si="255"/>
        <v>-0.18767033340895314</v>
      </c>
      <c r="Z974">
        <f t="shared" si="256"/>
        <v>4.1948515182772201</v>
      </c>
      <c r="AA974">
        <f t="shared" si="257"/>
        <v>0.17147447417464451</v>
      </c>
      <c r="AB974">
        <f t="shared" si="258"/>
        <v>0.53107446942691638</v>
      </c>
    </row>
    <row r="975" spans="12:28" x14ac:dyDescent="0.25">
      <c r="L975">
        <v>971</v>
      </c>
      <c r="M975">
        <f t="shared" si="247"/>
        <v>485.5</v>
      </c>
      <c r="N975">
        <f t="shared" si="259"/>
        <v>316324.34599226073</v>
      </c>
      <c r="O975">
        <f t="shared" si="260"/>
        <v>-924970.03352909291</v>
      </c>
      <c r="P975">
        <f t="shared" si="261"/>
        <v>214.84347506574971</v>
      </c>
      <c r="Q975">
        <f t="shared" si="262"/>
        <v>-1963.6819980215359</v>
      </c>
      <c r="R975">
        <f t="shared" si="248"/>
        <v>-1.5828171149441883</v>
      </c>
      <c r="S975">
        <f t="shared" si="249"/>
        <v>4.8880191804892128</v>
      </c>
      <c r="T975">
        <f t="shared" si="250"/>
        <v>976039.128974778</v>
      </c>
      <c r="U975">
        <f t="shared" si="251"/>
        <v>993621.16991563491</v>
      </c>
      <c r="V975">
        <f t="shared" si="252"/>
        <v>965036.1636997303</v>
      </c>
      <c r="W975">
        <f t="shared" si="253"/>
        <v>-1.3340766645723376</v>
      </c>
      <c r="X975">
        <f t="shared" si="254"/>
        <v>-6.1568164998374343E-2</v>
      </c>
      <c r="Y975">
        <f t="shared" si="255"/>
        <v>-0.18717228537347638</v>
      </c>
      <c r="Z975">
        <f t="shared" si="256"/>
        <v>4.18680185162754</v>
      </c>
      <c r="AA975">
        <f t="shared" si="257"/>
        <v>0.17115736633047499</v>
      </c>
      <c r="AB975">
        <f t="shared" si="258"/>
        <v>0.53005996253119747</v>
      </c>
    </row>
    <row r="976" spans="12:28" x14ac:dyDescent="0.25">
      <c r="L976">
        <v>972</v>
      </c>
      <c r="M976">
        <f t="shared" si="247"/>
        <v>486</v>
      </c>
      <c r="N976">
        <f t="shared" si="259"/>
        <v>316431.56987765426</v>
      </c>
      <c r="O976">
        <f t="shared" si="260"/>
        <v>-925951.26352570602</v>
      </c>
      <c r="P976">
        <f t="shared" si="261"/>
        <v>214.05206650827762</v>
      </c>
      <c r="Q976">
        <f t="shared" si="262"/>
        <v>-1961.2379884312913</v>
      </c>
      <c r="R976">
        <f t="shared" si="248"/>
        <v>-1.5786865870427824</v>
      </c>
      <c r="S976">
        <f t="shared" si="249"/>
        <v>4.8786770142773772</v>
      </c>
      <c r="T976">
        <f t="shared" si="250"/>
        <v>977006.61752121162</v>
      </c>
      <c r="U976">
        <f t="shared" si="251"/>
        <v>994580.80059174099</v>
      </c>
      <c r="V976">
        <f t="shared" si="252"/>
        <v>965997.13179340947</v>
      </c>
      <c r="W976">
        <f t="shared" si="253"/>
        <v>-1.330600304284959</v>
      </c>
      <c r="X976">
        <f t="shared" si="254"/>
        <v>-6.1409703679620051E-2</v>
      </c>
      <c r="Y976">
        <f t="shared" si="255"/>
        <v>-0.18667657907820348</v>
      </c>
      <c r="Z976">
        <f t="shared" si="256"/>
        <v>4.1787857988035082</v>
      </c>
      <c r="AA976">
        <f t="shared" si="257"/>
        <v>0.17084154668535215</v>
      </c>
      <c r="AB976">
        <f t="shared" si="258"/>
        <v>0.52904966878851634</v>
      </c>
    </row>
    <row r="977" spans="12:28" x14ac:dyDescent="0.25">
      <c r="L977">
        <v>973</v>
      </c>
      <c r="M977">
        <f t="shared" ref="M977:M1004" si="263">L977*$D$5</f>
        <v>486.5</v>
      </c>
      <c r="N977">
        <f t="shared" si="259"/>
        <v>316538.39857508504</v>
      </c>
      <c r="O977">
        <f t="shared" si="260"/>
        <v>-926931.27268529485</v>
      </c>
      <c r="P977">
        <f t="shared" si="261"/>
        <v>213.26272321475622</v>
      </c>
      <c r="Q977">
        <f t="shared" si="262"/>
        <v>-1958.7986499241526</v>
      </c>
      <c r="R977">
        <f t="shared" si="248"/>
        <v>-1.5745751913841901</v>
      </c>
      <c r="S977">
        <f t="shared" si="249"/>
        <v>4.869373731874342</v>
      </c>
      <c r="T977">
        <f t="shared" si="250"/>
        <v>977972.86201525514</v>
      </c>
      <c r="U977">
        <f t="shared" si="251"/>
        <v>995539.20236782695</v>
      </c>
      <c r="V977">
        <f t="shared" si="252"/>
        <v>966956.86969980819</v>
      </c>
      <c r="W977">
        <f t="shared" si="253"/>
        <v>-1.3271400223148508</v>
      </c>
      <c r="X977">
        <f t="shared" si="254"/>
        <v>-6.1251969913340767E-2</v>
      </c>
      <c r="Y977">
        <f t="shared" si="255"/>
        <v>-0.18618319915599862</v>
      </c>
      <c r="Z977">
        <f t="shared" si="256"/>
        <v>4.1708031606379121</v>
      </c>
      <c r="AA977">
        <f t="shared" si="257"/>
        <v>0.17052700781953631</v>
      </c>
      <c r="AB977">
        <f t="shared" si="258"/>
        <v>0.52804356341689429</v>
      </c>
    </row>
    <row r="978" spans="12:28" x14ac:dyDescent="0.25">
      <c r="L978">
        <v>974</v>
      </c>
      <c r="M978">
        <f t="shared" si="263"/>
        <v>487</v>
      </c>
      <c r="N978">
        <f t="shared" si="259"/>
        <v>316644.83311479352</v>
      </c>
      <c r="O978">
        <f t="shared" si="260"/>
        <v>-927910.06333854038</v>
      </c>
      <c r="P978">
        <f t="shared" si="261"/>
        <v>212.47543561906411</v>
      </c>
      <c r="Q978">
        <f t="shared" si="262"/>
        <v>-1956.3639630582154</v>
      </c>
      <c r="R978">
        <f t="shared" si="248"/>
        <v>-1.5704828038818779</v>
      </c>
      <c r="S978">
        <f t="shared" si="249"/>
        <v>4.8601091037071269</v>
      </c>
      <c r="T978">
        <f t="shared" si="250"/>
        <v>978937.86487806425</v>
      </c>
      <c r="U978">
        <f t="shared" si="251"/>
        <v>996496.37760234333</v>
      </c>
      <c r="V978">
        <f t="shared" si="252"/>
        <v>967915.37977977248</v>
      </c>
      <c r="W978">
        <f t="shared" si="253"/>
        <v>-1.3236957144825818</v>
      </c>
      <c r="X978">
        <f t="shared" si="254"/>
        <v>-6.1094959030332865E-2</v>
      </c>
      <c r="Y978">
        <f t="shared" si="255"/>
        <v>-0.18569213036896315</v>
      </c>
      <c r="Z978">
        <f t="shared" si="256"/>
        <v>4.1628537395122311</v>
      </c>
      <c r="AA978">
        <f t="shared" si="257"/>
        <v>0.17021374236944131</v>
      </c>
      <c r="AB978">
        <f t="shared" si="258"/>
        <v>0.52704162182545511</v>
      </c>
    </row>
    <row r="979" spans="12:28" x14ac:dyDescent="0.25">
      <c r="L979">
        <v>975</v>
      </c>
      <c r="M979">
        <f t="shared" si="263"/>
        <v>487.5</v>
      </c>
      <c r="N979">
        <f t="shared" si="259"/>
        <v>316750.87452225253</v>
      </c>
      <c r="O979">
        <f t="shared" si="260"/>
        <v>-928887.63780643151</v>
      </c>
      <c r="P979">
        <f t="shared" si="261"/>
        <v>211.69019421712318</v>
      </c>
      <c r="Q979">
        <f t="shared" si="262"/>
        <v>-1953.9339085063618</v>
      </c>
      <c r="R979">
        <f t="shared" si="248"/>
        <v>-1.5664093014826137</v>
      </c>
      <c r="S979">
        <f t="shared" si="249"/>
        <v>4.850882901981584</v>
      </c>
      <c r="T979">
        <f t="shared" si="250"/>
        <v>979901.62852063798</v>
      </c>
      <c r="U979">
        <f t="shared" si="251"/>
        <v>997452.32864395215</v>
      </c>
      <c r="V979">
        <f t="shared" si="252"/>
        <v>968872.66438436252</v>
      </c>
      <c r="W979">
        <f t="shared" si="253"/>
        <v>-1.3202672774756437</v>
      </c>
      <c r="X979">
        <f t="shared" si="254"/>
        <v>-6.09386663998501E-2</v>
      </c>
      <c r="Y979">
        <f t="shared" si="255"/>
        <v>-0.18520335760711984</v>
      </c>
      <c r="Z979">
        <f t="shared" si="256"/>
        <v>4.1549373393418563</v>
      </c>
      <c r="AA979">
        <f t="shared" si="257"/>
        <v>0.16990174302709546</v>
      </c>
      <c r="AB979">
        <f t="shared" si="258"/>
        <v>0.52604381961263247</v>
      </c>
    </row>
    <row r="980" spans="12:28" x14ac:dyDescent="0.25">
      <c r="L980">
        <v>976</v>
      </c>
      <c r="M980">
        <f t="shared" si="263"/>
        <v>488</v>
      </c>
      <c r="N980">
        <f t="shared" si="259"/>
        <v>316856.52381819842</v>
      </c>
      <c r="O980">
        <f t="shared" si="260"/>
        <v>-929863.99840032193</v>
      </c>
      <c r="P980">
        <f t="shared" si="261"/>
        <v>210.90698956638187</v>
      </c>
      <c r="Q980">
        <f t="shared" si="262"/>
        <v>-1951.5084670553711</v>
      </c>
      <c r="R980">
        <f t="shared" si="248"/>
        <v>-1.5623545621559429</v>
      </c>
      <c r="S980">
        <f t="shared" si="249"/>
        <v>4.8416949006653027</v>
      </c>
      <c r="T980">
        <f t="shared" si="250"/>
        <v>980864.15534387925</v>
      </c>
      <c r="U980">
        <f t="shared" si="251"/>
        <v>998407.05783158448</v>
      </c>
      <c r="V980">
        <f t="shared" si="252"/>
        <v>969828.72585491033</v>
      </c>
      <c r="W980">
        <f t="shared" si="253"/>
        <v>-1.3168546088396267</v>
      </c>
      <c r="X980">
        <f t="shared" si="254"/>
        <v>-6.0783087429222005E-2</v>
      </c>
      <c r="Y980">
        <f t="shared" si="255"/>
        <v>-0.18471686588709416</v>
      </c>
      <c r="Z980">
        <f t="shared" si="256"/>
        <v>4.147053765561326</v>
      </c>
      <c r="AA980">
        <f t="shared" si="257"/>
        <v>0.16959100253963569</v>
      </c>
      <c r="AB980">
        <f t="shared" si="258"/>
        <v>0.52505013256434074</v>
      </c>
    </row>
    <row r="981" spans="12:28" x14ac:dyDescent="0.25">
      <c r="L981">
        <v>977</v>
      </c>
      <c r="M981">
        <f t="shared" si="263"/>
        <v>488.5</v>
      </c>
      <c r="N981">
        <f t="shared" si="259"/>
        <v>316961.78201866132</v>
      </c>
      <c r="O981">
        <f t="shared" si="260"/>
        <v>-930839.14742198703</v>
      </c>
      <c r="P981">
        <f t="shared" si="261"/>
        <v>210.12581228530391</v>
      </c>
      <c r="Q981">
        <f t="shared" si="262"/>
        <v>-1949.0876196050383</v>
      </c>
      <c r="R981">
        <f t="shared" si="248"/>
        <v>-1.5583184648838153</v>
      </c>
      <c r="S981">
        <f t="shared" si="249"/>
        <v>4.8325448754707825</v>
      </c>
      <c r="T981">
        <f t="shared" si="250"/>
        <v>981825.44773865514</v>
      </c>
      <c r="U981">
        <f t="shared" si="251"/>
        <v>999360.56749449717</v>
      </c>
      <c r="V981">
        <f t="shared" si="252"/>
        <v>970783.56652307627</v>
      </c>
      <c r="W981">
        <f t="shared" si="253"/>
        <v>-1.3134576069695163</v>
      </c>
      <c r="X981">
        <f t="shared" si="254"/>
        <v>-6.062821756346843E-2</v>
      </c>
      <c r="Y981">
        <f t="shared" si="255"/>
        <v>-0.18423264035083048</v>
      </c>
      <c r="Z981">
        <f t="shared" si="256"/>
        <v>4.1392028251097734</v>
      </c>
      <c r="AA981">
        <f t="shared" si="257"/>
        <v>0.16928151370878422</v>
      </c>
      <c r="AB981">
        <f t="shared" si="258"/>
        <v>0.52406053665222441</v>
      </c>
    </row>
    <row r="982" spans="12:28" x14ac:dyDescent="0.25">
      <c r="L982">
        <v>978</v>
      </c>
      <c r="M982">
        <f t="shared" si="263"/>
        <v>489</v>
      </c>
      <c r="N982">
        <f t="shared" si="259"/>
        <v>317066.65013499587</v>
      </c>
      <c r="O982">
        <f t="shared" si="260"/>
        <v>-931813.08716368012</v>
      </c>
      <c r="P982">
        <f t="shared" si="261"/>
        <v>209.346653052862</v>
      </c>
      <c r="Q982">
        <f t="shared" si="262"/>
        <v>-1946.6713471673029</v>
      </c>
      <c r="R982">
        <f t="shared" si="248"/>
        <v>-1.554300889650396</v>
      </c>
      <c r="S982">
        <f t="shared" si="249"/>
        <v>4.823432603838989</v>
      </c>
      <c r="T982">
        <f t="shared" si="250"/>
        <v>982785.5080858554</v>
      </c>
      <c r="U982">
        <f t="shared" si="251"/>
        <v>1000312.8599523298</v>
      </c>
      <c r="V982">
        <f t="shared" si="252"/>
        <v>971737.18871090631</v>
      </c>
      <c r="W982">
        <f t="shared" si="253"/>
        <v>-1.310076171101157</v>
      </c>
      <c r="X982">
        <f t="shared" si="254"/>
        <v>-6.0474052284925674E-2</v>
      </c>
      <c r="Y982">
        <f t="shared" si="255"/>
        <v>-0.18375066626431333</v>
      </c>
      <c r="Z982">
        <f t="shared" si="256"/>
        <v>4.1313843264167449</v>
      </c>
      <c r="AA982">
        <f t="shared" si="257"/>
        <v>0.1689732693903504</v>
      </c>
      <c r="AB982">
        <f t="shared" si="258"/>
        <v>0.52307500803189411</v>
      </c>
    </row>
    <row r="983" spans="12:28" x14ac:dyDescent="0.25">
      <c r="L983">
        <v>979</v>
      </c>
      <c r="M983">
        <f t="shared" si="263"/>
        <v>489.5</v>
      </c>
      <c r="N983">
        <f t="shared" si="259"/>
        <v>317171.12917391106</v>
      </c>
      <c r="O983">
        <f t="shared" si="260"/>
        <v>-932785.81990818831</v>
      </c>
      <c r="P983">
        <f t="shared" si="261"/>
        <v>208.5695026080368</v>
      </c>
      <c r="Q983">
        <f t="shared" si="262"/>
        <v>-1944.2596308653833</v>
      </c>
      <c r="R983">
        <f t="shared" si="248"/>
        <v>-1.5503017174318616</v>
      </c>
      <c r="S983">
        <f t="shared" si="249"/>
        <v>4.8143578649226724</v>
      </c>
      <c r="T983">
        <f t="shared" si="250"/>
        <v>983744.33875645266</v>
      </c>
      <c r="U983">
        <f t="shared" si="251"/>
        <v>1001263.9375151613</v>
      </c>
      <c r="V983">
        <f t="shared" si="252"/>
        <v>972689.59473088756</v>
      </c>
      <c r="W983">
        <f t="shared" si="253"/>
        <v>-1.3067102013026832</v>
      </c>
      <c r="X983">
        <f t="shared" si="254"/>
        <v>-6.0320587112872408E-2</v>
      </c>
      <c r="Y983">
        <f t="shared" si="255"/>
        <v>-0.18327092901630593</v>
      </c>
      <c r="Z983">
        <f t="shared" si="256"/>
        <v>4.1235980793877562</v>
      </c>
      <c r="AA983">
        <f t="shared" si="257"/>
        <v>0.16866626249372549</v>
      </c>
      <c r="AB983">
        <f t="shared" si="258"/>
        <v>0.5220935230411905</v>
      </c>
    </row>
    <row r="984" spans="12:28" x14ac:dyDescent="0.25">
      <c r="L984">
        <v>980</v>
      </c>
      <c r="M984">
        <f t="shared" si="263"/>
        <v>490</v>
      </c>
      <c r="N984">
        <f t="shared" si="259"/>
        <v>317275.22013750038</v>
      </c>
      <c r="O984">
        <f t="shared" si="260"/>
        <v>-933757.34792888793</v>
      </c>
      <c r="P984">
        <f t="shared" si="261"/>
        <v>207.79435174932087</v>
      </c>
      <c r="Q984">
        <f t="shared" si="262"/>
        <v>-1941.8524519329219</v>
      </c>
      <c r="R984">
        <f t="shared" si="248"/>
        <v>-1.546320830186507</v>
      </c>
      <c r="S984">
        <f t="shared" si="249"/>
        <v>4.8053204395704565</v>
      </c>
      <c r="T984">
        <f t="shared" si="250"/>
        <v>984701.94211156014</v>
      </c>
      <c r="U984">
        <f t="shared" si="251"/>
        <v>1002213.8024835655</v>
      </c>
      <c r="V984">
        <f t="shared" si="252"/>
        <v>973640.7868860045</v>
      </c>
      <c r="W984">
        <f t="shared" si="253"/>
        <v>-1.3033595984662372</v>
      </c>
      <c r="X984">
        <f t="shared" si="254"/>
        <v>-6.0167817603162331E-2</v>
      </c>
      <c r="Y984">
        <f t="shared" si="255"/>
        <v>-0.18279341411710739</v>
      </c>
      <c r="Z984">
        <f t="shared" si="256"/>
        <v>4.1158438953905909</v>
      </c>
      <c r="AA984">
        <f t="shared" si="257"/>
        <v>0.16836048598138906</v>
      </c>
      <c r="AB984">
        <f t="shared" si="258"/>
        <v>0.52111605819847673</v>
      </c>
    </row>
    <row r="985" spans="12:28" x14ac:dyDescent="0.25">
      <c r="L985">
        <v>981</v>
      </c>
      <c r="M985">
        <f t="shared" si="263"/>
        <v>490.5</v>
      </c>
      <c r="N985">
        <f t="shared" si="259"/>
        <v>317378.92402327131</v>
      </c>
      <c r="O985">
        <f t="shared" si="260"/>
        <v>-934727.67348979937</v>
      </c>
      <c r="P985">
        <f t="shared" si="261"/>
        <v>207.02119133422761</v>
      </c>
      <c r="Q985">
        <f t="shared" si="262"/>
        <v>-1939.4497917131366</v>
      </c>
      <c r="R985">
        <f t="shared" si="248"/>
        <v>-1.5423581108447662</v>
      </c>
      <c r="S985">
        <f t="shared" si="249"/>
        <v>4.796320110310476</v>
      </c>
      <c r="T985">
        <f t="shared" si="250"/>
        <v>985658.32050249015</v>
      </c>
      <c r="U985">
        <f t="shared" si="251"/>
        <v>1003162.457148666</v>
      </c>
      <c r="V985">
        <f t="shared" si="252"/>
        <v>974590.76746979344</v>
      </c>
      <c r="W985">
        <f t="shared" si="253"/>
        <v>-1.3000242642995896</v>
      </c>
      <c r="X985">
        <f t="shared" si="254"/>
        <v>-6.0015739347858275E-2</v>
      </c>
      <c r="Y985">
        <f t="shared" si="255"/>
        <v>-0.18231810719731839</v>
      </c>
      <c r="Z985">
        <f t="shared" si="256"/>
        <v>4.1081215872411319</v>
      </c>
      <c r="AA985">
        <f t="shared" si="257"/>
        <v>0.16805593286841319</v>
      </c>
      <c r="AB985">
        <f t="shared" si="258"/>
        <v>0.52014259020093101</v>
      </c>
    </row>
    <row r="986" spans="12:28" x14ac:dyDescent="0.25">
      <c r="L986">
        <v>982</v>
      </c>
      <c r="M986">
        <f t="shared" si="263"/>
        <v>491</v>
      </c>
      <c r="N986">
        <f t="shared" si="259"/>
        <v>317482.24182417459</v>
      </c>
      <c r="O986">
        <f t="shared" si="260"/>
        <v>-935696.79884564213</v>
      </c>
      <c r="P986">
        <f t="shared" si="261"/>
        <v>206.25001227880523</v>
      </c>
      <c r="Q986">
        <f t="shared" si="262"/>
        <v>-1937.0516316579815</v>
      </c>
      <c r="R986">
        <f t="shared" si="248"/>
        <v>-1.5384134432995218</v>
      </c>
      <c r="S986">
        <f t="shared" si="249"/>
        <v>4.7873566613347345</v>
      </c>
      <c r="T986">
        <f t="shared" si="250"/>
        <v>986613.47627081152</v>
      </c>
      <c r="U986">
        <f t="shared" si="251"/>
        <v>1004109.9037921922</v>
      </c>
      <c r="V986">
        <f t="shared" si="252"/>
        <v>975539.53876639891</v>
      </c>
      <c r="W986">
        <f t="shared" si="253"/>
        <v>-1.2967041013180194</v>
      </c>
      <c r="X986">
        <f t="shared" si="254"/>
        <v>-5.9864347974875463E-2</v>
      </c>
      <c r="Y986">
        <f t="shared" si="255"/>
        <v>-0.18184499400662699</v>
      </c>
      <c r="Z986">
        <f t="shared" si="256"/>
        <v>4.1004309691898726</v>
      </c>
      <c r="AA986">
        <f t="shared" si="257"/>
        <v>0.16775259622198579</v>
      </c>
      <c r="AB986">
        <f t="shared" si="258"/>
        <v>0.51917309592287653</v>
      </c>
    </row>
    <row r="987" spans="12:28" x14ac:dyDescent="0.25">
      <c r="L987">
        <v>983</v>
      </c>
      <c r="M987">
        <f t="shared" si="263"/>
        <v>491.5</v>
      </c>
      <c r="N987">
        <f t="shared" si="259"/>
        <v>317585.17452863359</v>
      </c>
      <c r="O987">
        <f t="shared" si="260"/>
        <v>-936664.72624188836</v>
      </c>
      <c r="P987">
        <f t="shared" si="261"/>
        <v>205.48080555715546</v>
      </c>
      <c r="Q987">
        <f t="shared" si="262"/>
        <v>-1934.6579533273141</v>
      </c>
      <c r="R987">
        <f t="shared" si="248"/>
        <v>-1.5344867123963957</v>
      </c>
      <c r="S987">
        <f t="shared" si="249"/>
        <v>4.7784298784832089</v>
      </c>
      <c r="T987">
        <f t="shared" si="250"/>
        <v>987567.41174840706</v>
      </c>
      <c r="U987">
        <f t="shared" si="251"/>
        <v>1005056.1446865331</v>
      </c>
      <c r="V987">
        <f t="shared" si="252"/>
        <v>976487.103050626</v>
      </c>
      <c r="W987">
        <f t="shared" si="253"/>
        <v>-1.293399012836165</v>
      </c>
      <c r="X987">
        <f t="shared" si="254"/>
        <v>-5.9713639147623718E-2</v>
      </c>
      <c r="Y987">
        <f t="shared" si="255"/>
        <v>-0.18137406041260698</v>
      </c>
      <c r="Z987">
        <f t="shared" si="256"/>
        <v>4.0927718569081639</v>
      </c>
      <c r="AA987">
        <f t="shared" si="257"/>
        <v>0.16745046916092401</v>
      </c>
      <c r="AB987">
        <f t="shared" si="258"/>
        <v>0.51820755241412064</v>
      </c>
    </row>
    <row r="988" spans="12:28" x14ac:dyDescent="0.25">
      <c r="L988">
        <v>984</v>
      </c>
      <c r="M988">
        <f t="shared" si="263"/>
        <v>492</v>
      </c>
      <c r="N988">
        <f t="shared" si="259"/>
        <v>317687.72312057309</v>
      </c>
      <c r="O988">
        <f t="shared" si="260"/>
        <v>-937631.45791481715</v>
      </c>
      <c r="P988">
        <f t="shared" si="261"/>
        <v>204.71356220095726</v>
      </c>
      <c r="Q988">
        <f t="shared" si="262"/>
        <v>-1932.2687383880725</v>
      </c>
      <c r="R988">
        <f t="shared" si="248"/>
        <v>-1.5305778039242912</v>
      </c>
      <c r="S988">
        <f t="shared" si="249"/>
        <v>4.769539549228579</v>
      </c>
      <c r="T988">
        <f t="shared" si="250"/>
        <v>988520.12925753044</v>
      </c>
      <c r="U988">
        <f t="shared" si="251"/>
        <v>1006001.1820947919</v>
      </c>
      <c r="V988">
        <f t="shared" si="252"/>
        <v>977433.46258799662</v>
      </c>
      <c r="W988">
        <f t="shared" si="253"/>
        <v>-1.2901089029601014</v>
      </c>
      <c r="X988">
        <f t="shared" si="254"/>
        <v>-5.9563608564657526E-2</v>
      </c>
      <c r="Y988">
        <f t="shared" si="255"/>
        <v>-0.18090529239953226</v>
      </c>
      <c r="Z988">
        <f t="shared" si="256"/>
        <v>4.0851440674750545</v>
      </c>
      <c r="AA988">
        <f t="shared" si="257"/>
        <v>0.16714954485520389</v>
      </c>
      <c r="AB988">
        <f t="shared" si="258"/>
        <v>0.51724593689832066</v>
      </c>
    </row>
    <row r="989" spans="12:28" x14ac:dyDescent="0.25">
      <c r="L989">
        <v>985</v>
      </c>
      <c r="M989">
        <f t="shared" si="263"/>
        <v>492.5</v>
      </c>
      <c r="N989">
        <f t="shared" si="259"/>
        <v>317789.8885794481</v>
      </c>
      <c r="O989">
        <f t="shared" si="260"/>
        <v>-938596.99609156756</v>
      </c>
      <c r="P989">
        <f t="shared" si="261"/>
        <v>203.9482732989951</v>
      </c>
      <c r="Q989">
        <f t="shared" si="262"/>
        <v>-1929.8839686134581</v>
      </c>
      <c r="R989">
        <f t="shared" si="248"/>
        <v>-1.5266866046058938</v>
      </c>
      <c r="S989">
        <f t="shared" si="249"/>
        <v>4.760685462660625</v>
      </c>
      <c r="T989">
        <f t="shared" si="250"/>
        <v>989471.63111086213</v>
      </c>
      <c r="U989">
        <f t="shared" si="251"/>
        <v>1006945.0182708396</v>
      </c>
      <c r="V989">
        <f t="shared" si="252"/>
        <v>978378.61963480152</v>
      </c>
      <c r="W989">
        <f t="shared" si="253"/>
        <v>-1.2868336765793689</v>
      </c>
      <c r="X989">
        <f t="shared" si="254"/>
        <v>-5.9414251959328722E-2</v>
      </c>
      <c r="Y989">
        <f t="shared" si="255"/>
        <v>-0.1804386760671961</v>
      </c>
      <c r="Z989">
        <f t="shared" si="256"/>
        <v>4.0775474193637935</v>
      </c>
      <c r="AA989">
        <f t="shared" si="257"/>
        <v>0.16684981652549041</v>
      </c>
      <c r="AB989">
        <f t="shared" si="258"/>
        <v>0.51628822677134023</v>
      </c>
    </row>
    <row r="990" spans="12:28" x14ac:dyDescent="0.25">
      <c r="L990">
        <v>986</v>
      </c>
      <c r="M990">
        <f t="shared" si="263"/>
        <v>493</v>
      </c>
      <c r="N990">
        <f t="shared" si="259"/>
        <v>317891.67188027204</v>
      </c>
      <c r="O990">
        <f t="shared" si="260"/>
        <v>-939561.34299019142</v>
      </c>
      <c r="P990">
        <f t="shared" si="261"/>
        <v>203.18492999669215</v>
      </c>
      <c r="Q990">
        <f t="shared" si="262"/>
        <v>-1927.5036258821278</v>
      </c>
      <c r="R990">
        <f t="shared" si="248"/>
        <v>-1.5228130020884394</v>
      </c>
      <c r="S990">
        <f t="shared" si="249"/>
        <v>4.7518674094713056</v>
      </c>
      <c r="T990">
        <f t="shared" si="250"/>
        <v>990421.91961156519</v>
      </c>
      <c r="U990">
        <f t="shared" si="251"/>
        <v>1007887.6554593678</v>
      </c>
      <c r="V990">
        <f t="shared" si="252"/>
        <v>979322.57643815386</v>
      </c>
      <c r="W990">
        <f t="shared" si="253"/>
        <v>-1.283573239359233</v>
      </c>
      <c r="X990">
        <f t="shared" si="254"/>
        <v>-5.9265565099442877E-2</v>
      </c>
      <c r="Y990">
        <f t="shared" si="255"/>
        <v>-0.1799741976297636</v>
      </c>
      <c r="Z990">
        <f t="shared" si="256"/>
        <v>4.0699817324289551</v>
      </c>
      <c r="AA990">
        <f t="shared" si="257"/>
        <v>0.16655127744267234</v>
      </c>
      <c r="AB990">
        <f t="shared" si="258"/>
        <v>0.51533439959967842</v>
      </c>
    </row>
    <row r="991" spans="12:28" x14ac:dyDescent="0.25">
      <c r="L991">
        <v>987</v>
      </c>
      <c r="M991">
        <f t="shared" si="263"/>
        <v>493.5</v>
      </c>
      <c r="N991">
        <f t="shared" si="259"/>
        <v>317993.07399364514</v>
      </c>
      <c r="O991">
        <f t="shared" si="260"/>
        <v>-940524.50081970624</v>
      </c>
      <c r="P991">
        <f t="shared" si="261"/>
        <v>202.42352349564794</v>
      </c>
      <c r="Q991">
        <f t="shared" si="262"/>
        <v>-1925.1276921773922</v>
      </c>
      <c r="R991">
        <f t="shared" si="248"/>
        <v>-1.518956884934421</v>
      </c>
      <c r="S991">
        <f t="shared" si="249"/>
        <v>4.7430851819394668</v>
      </c>
      <c r="T991">
        <f t="shared" si="250"/>
        <v>991370.99705334159</v>
      </c>
      <c r="U991">
        <f t="shared" si="251"/>
        <v>1008829.0958959429</v>
      </c>
      <c r="V991">
        <f t="shared" si="252"/>
        <v>980265.33523604239</v>
      </c>
      <c r="W991">
        <f t="shared" si="253"/>
        <v>-1.2803274977328853</v>
      </c>
      <c r="X991">
        <f t="shared" si="254"/>
        <v>-5.9117543786921162E-2</v>
      </c>
      <c r="Y991">
        <f t="shared" si="255"/>
        <v>-0.17951184341461449</v>
      </c>
      <c r="Z991">
        <f t="shared" si="256"/>
        <v>4.0624468278932095</v>
      </c>
      <c r="AA991">
        <f t="shared" si="257"/>
        <v>0.16625392092740601</v>
      </c>
      <c r="AB991">
        <f t="shared" si="258"/>
        <v>0.51438443311885129</v>
      </c>
    </row>
    <row r="992" spans="12:28" x14ac:dyDescent="0.25">
      <c r="L992">
        <v>988</v>
      </c>
      <c r="M992">
        <f t="shared" si="263"/>
        <v>494</v>
      </c>
      <c r="N992">
        <f t="shared" si="259"/>
        <v>318094.09588578239</v>
      </c>
      <c r="O992">
        <f t="shared" si="260"/>
        <v>-941486.47178014717</v>
      </c>
      <c r="P992">
        <f t="shared" si="261"/>
        <v>201.66404505318073</v>
      </c>
      <c r="Q992">
        <f t="shared" si="262"/>
        <v>-1922.7561495864225</v>
      </c>
      <c r="R992">
        <f t="shared" si="248"/>
        <v>-1.5151181426125873</v>
      </c>
      <c r="S992">
        <f t="shared" si="249"/>
        <v>4.7343385739162809</v>
      </c>
      <c r="T992">
        <f t="shared" si="250"/>
        <v>992318.86572048673</v>
      </c>
      <c r="U992">
        <f t="shared" si="251"/>
        <v>1009769.3418070571</v>
      </c>
      <c r="V992">
        <f t="shared" si="252"/>
        <v>981206.89825738419</v>
      </c>
      <c r="W992">
        <f t="shared" si="253"/>
        <v>-1.2770963588939048</v>
      </c>
      <c r="X992">
        <f t="shared" si="254"/>
        <v>-5.8970183857464324E-2</v>
      </c>
      <c r="Y992">
        <f t="shared" si="255"/>
        <v>-0.17905159986121813</v>
      </c>
      <c r="Z992">
        <f t="shared" si="256"/>
        <v>4.0549425283347791</v>
      </c>
      <c r="AA992">
        <f t="shared" si="257"/>
        <v>0.16595774034965877</v>
      </c>
      <c r="AB992">
        <f t="shared" si="258"/>
        <v>0.51343830523184297</v>
      </c>
    </row>
    <row r="993" spans="12:28" x14ac:dyDescent="0.25">
      <c r="L993">
        <v>989</v>
      </c>
      <c r="M993">
        <f t="shared" si="263"/>
        <v>494.5</v>
      </c>
      <c r="N993">
        <f t="shared" si="259"/>
        <v>318194.73851854115</v>
      </c>
      <c r="O993">
        <f t="shared" si="260"/>
        <v>-942447.25806261867</v>
      </c>
      <c r="P993">
        <f t="shared" si="261"/>
        <v>200.90648598187443</v>
      </c>
      <c r="Q993">
        <f t="shared" si="262"/>
        <v>-1920.3889802994643</v>
      </c>
      <c r="R993">
        <f t="shared" si="248"/>
        <v>-1.5112966654889206</v>
      </c>
      <c r="S993">
        <f t="shared" si="249"/>
        <v>4.7256273808104758</v>
      </c>
      <c r="T993">
        <f t="shared" si="250"/>
        <v>993265.52788794367</v>
      </c>
      <c r="U993">
        <f t="shared" si="251"/>
        <v>1010708.3954101821</v>
      </c>
      <c r="V993">
        <f t="shared" si="252"/>
        <v>982147.26772207534</v>
      </c>
      <c r="W993">
        <f t="shared" si="253"/>
        <v>-1.2738797307886853</v>
      </c>
      <c r="X993">
        <f t="shared" si="254"/>
        <v>-5.8823481180220537E-2</v>
      </c>
      <c r="Y993">
        <f t="shared" si="255"/>
        <v>-0.17859345352001474</v>
      </c>
      <c r="Z993">
        <f t="shared" si="256"/>
        <v>4.0474686576746635</v>
      </c>
      <c r="AA993">
        <f t="shared" si="257"/>
        <v>0.16566272912825791</v>
      </c>
      <c r="AB993">
        <f t="shared" si="258"/>
        <v>0.51249599400755452</v>
      </c>
    </row>
    <row r="994" spans="12:28" x14ac:dyDescent="0.25">
      <c r="L994">
        <v>990</v>
      </c>
      <c r="M994">
        <f t="shared" si="263"/>
        <v>495</v>
      </c>
      <c r="N994">
        <f t="shared" si="259"/>
        <v>318295.00284944894</v>
      </c>
      <c r="O994">
        <f t="shared" si="260"/>
        <v>-943406.86184934585</v>
      </c>
      <c r="P994">
        <f t="shared" si="261"/>
        <v>200.15083764912995</v>
      </c>
      <c r="Q994">
        <f t="shared" si="262"/>
        <v>-1918.0261666090589</v>
      </c>
      <c r="R994">
        <f t="shared" si="248"/>
        <v>-1.5074923448177111</v>
      </c>
      <c r="S994">
        <f t="shared" si="249"/>
        <v>4.7169513995736665</v>
      </c>
      <c r="T994">
        <f t="shared" si="250"/>
        <v>994210.98582135816</v>
      </c>
      <c r="U994">
        <f t="shared" si="251"/>
        <v>1011646.2589138193</v>
      </c>
      <c r="V994">
        <f t="shared" si="252"/>
        <v>983086.44584104372</v>
      </c>
      <c r="W994">
        <f t="shared" si="253"/>
        <v>-1.2706775221089481</v>
      </c>
      <c r="X994">
        <f t="shared" si="254"/>
        <v>-5.8677431657460546E-2</v>
      </c>
      <c r="Y994">
        <f t="shared" si="255"/>
        <v>-0.17813739105130247</v>
      </c>
      <c r="Z994">
        <f t="shared" si="256"/>
        <v>4.0400250411639655</v>
      </c>
      <c r="AA994">
        <f t="shared" si="257"/>
        <v>0.16536888073045339</v>
      </c>
      <c r="AB994">
        <f t="shared" si="258"/>
        <v>0.5115574776792482</v>
      </c>
    </row>
    <row r="995" spans="12:28" x14ac:dyDescent="0.25">
      <c r="L995">
        <v>991</v>
      </c>
      <c r="M995">
        <f t="shared" si="263"/>
        <v>495.5</v>
      </c>
      <c r="N995">
        <f t="shared" si="259"/>
        <v>318394.8898317304</v>
      </c>
      <c r="O995">
        <f t="shared" si="260"/>
        <v>-944365.28531372547</v>
      </c>
      <c r="P995">
        <f t="shared" si="261"/>
        <v>199.3970914767211</v>
      </c>
      <c r="Q995">
        <f t="shared" si="262"/>
        <v>-1915.6676909092721</v>
      </c>
      <c r="R995">
        <f t="shared" si="248"/>
        <v>-1.503705072732866</v>
      </c>
      <c r="S995">
        <f t="shared" si="249"/>
        <v>4.7083104286863016</v>
      </c>
      <c r="T995">
        <f t="shared" si="250"/>
        <v>995155.24177713192</v>
      </c>
      <c r="U995">
        <f t="shared" si="251"/>
        <v>1012582.9345175523</v>
      </c>
      <c r="V995">
        <f t="shared" si="252"/>
        <v>984024.43481630029</v>
      </c>
      <c r="W995">
        <f t="shared" si="253"/>
        <v>-1.2674896422844597</v>
      </c>
      <c r="X995">
        <f t="shared" si="254"/>
        <v>-5.8532031224251775E-2</v>
      </c>
      <c r="Y995">
        <f t="shared" si="255"/>
        <v>-0.17768339922415444</v>
      </c>
      <c r="Z995">
        <f t="shared" si="256"/>
        <v>4.0326115053717704</v>
      </c>
      <c r="AA995">
        <f t="shared" si="257"/>
        <v>0.16507618867147267</v>
      </c>
      <c r="AB995">
        <f t="shared" si="258"/>
        <v>0.51062273464305863</v>
      </c>
    </row>
    <row r="996" spans="12:28" x14ac:dyDescent="0.25">
      <c r="L996">
        <v>992</v>
      </c>
      <c r="M996">
        <f t="shared" si="263"/>
        <v>496</v>
      </c>
      <c r="N996">
        <f t="shared" si="259"/>
        <v>318494.40041433467</v>
      </c>
      <c r="O996">
        <f t="shared" si="260"/>
        <v>-945322.53062037646</v>
      </c>
      <c r="P996">
        <f t="shared" si="261"/>
        <v>198.64523894035466</v>
      </c>
      <c r="Q996">
        <f t="shared" si="262"/>
        <v>-1913.313535694929</v>
      </c>
      <c r="R996">
        <f t="shared" si="248"/>
        <v>-1.4999347422391656</v>
      </c>
      <c r="S996">
        <f t="shared" si="249"/>
        <v>4.6997042681432362</v>
      </c>
      <c r="T996">
        <f t="shared" si="250"/>
        <v>996098.29800247599</v>
      </c>
      <c r="U996">
        <f t="shared" si="251"/>
        <v>1013518.4244120972</v>
      </c>
      <c r="V996">
        <f t="shared" si="252"/>
        <v>984961.23684098921</v>
      </c>
      <c r="W996">
        <f t="shared" si="253"/>
        <v>-1.2643160014756953</v>
      </c>
      <c r="X996">
        <f t="shared" si="254"/>
        <v>-5.8387275848138506E-2</v>
      </c>
      <c r="Y996">
        <f t="shared" si="255"/>
        <v>-0.17723146491533162</v>
      </c>
      <c r="Z996">
        <f t="shared" si="256"/>
        <v>4.0252278781726796</v>
      </c>
      <c r="AA996">
        <f t="shared" si="257"/>
        <v>0.16478464651408614</v>
      </c>
      <c r="AB996">
        <f t="shared" si="258"/>
        <v>0.50969174345647039</v>
      </c>
    </row>
    <row r="997" spans="12:28" x14ac:dyDescent="0.25">
      <c r="L997">
        <v>993</v>
      </c>
      <c r="M997">
        <f t="shared" si="263"/>
        <v>496.5</v>
      </c>
      <c r="N997">
        <f t="shared" si="259"/>
        <v>318593.53554196208</v>
      </c>
      <c r="O997">
        <f t="shared" si="260"/>
        <v>-946278.59992519044</v>
      </c>
      <c r="P997">
        <f t="shared" si="261"/>
        <v>197.89527156923506</v>
      </c>
      <c r="Q997">
        <f t="shared" si="262"/>
        <v>-1910.9636835608574</v>
      </c>
      <c r="R997">
        <f t="shared" si="248"/>
        <v>-1.4961812472037188</v>
      </c>
      <c r="S997">
        <f t="shared" si="249"/>
        <v>4.6911327194398051</v>
      </c>
      <c r="T997">
        <f t="shared" si="250"/>
        <v>997040.15673546446</v>
      </c>
      <c r="U997">
        <f t="shared" si="251"/>
        <v>1014452.7307793539</v>
      </c>
      <c r="V997">
        <f t="shared" si="252"/>
        <v>985896.85409943876</v>
      </c>
      <c r="W997">
        <f t="shared" si="253"/>
        <v>-1.2611565105666735</v>
      </c>
      <c r="X997">
        <f t="shared" si="254"/>
        <v>-5.8243161528826734E-2</v>
      </c>
      <c r="Y997">
        <f t="shared" si="255"/>
        <v>-0.17678157510821857</v>
      </c>
      <c r="Z997">
        <f t="shared" si="256"/>
        <v>4.0178739887347819</v>
      </c>
      <c r="AA997">
        <f t="shared" si="257"/>
        <v>0.16449424786818065</v>
      </c>
      <c r="AB997">
        <f t="shared" si="258"/>
        <v>0.50876448283684228</v>
      </c>
    </row>
    <row r="998" spans="12:28" x14ac:dyDescent="0.25">
      <c r="L998">
        <v>994</v>
      </c>
      <c r="M998">
        <f t="shared" si="263"/>
        <v>497</v>
      </c>
      <c r="N998">
        <f t="shared" si="259"/>
        <v>318692.29615509079</v>
      </c>
      <c r="O998">
        <f t="shared" si="260"/>
        <v>-947233.49537538097</v>
      </c>
      <c r="P998">
        <f t="shared" si="261"/>
        <v>197.14718094563321</v>
      </c>
      <c r="Q998">
        <f t="shared" si="262"/>
        <v>-1908.6181172011375</v>
      </c>
      <c r="R998">
        <f t="shared" si="248"/>
        <v>-1.4924444823474841</v>
      </c>
      <c r="S998">
        <f t="shared" si="249"/>
        <v>4.682595585557924</v>
      </c>
      <c r="T998">
        <f t="shared" si="250"/>
        <v>997980.82020508603</v>
      </c>
      <c r="U998">
        <f t="shared" si="251"/>
        <v>1015385.8557924555</v>
      </c>
      <c r="V998">
        <f t="shared" si="252"/>
        <v>986831.28876721149</v>
      </c>
      <c r="W998">
        <f t="shared" si="253"/>
        <v>-1.2580110811578469</v>
      </c>
      <c r="X998">
        <f t="shared" si="254"/>
        <v>-5.8099684297870824E-2</v>
      </c>
      <c r="Y998">
        <f t="shared" si="255"/>
        <v>-0.17633371689176647</v>
      </c>
      <c r="Z998">
        <f t="shared" si="256"/>
        <v>4.0105496675076591</v>
      </c>
      <c r="AA998">
        <f t="shared" si="257"/>
        <v>0.16420498639033215</v>
      </c>
      <c r="AB998">
        <f t="shared" si="258"/>
        <v>0.50784093165993316</v>
      </c>
    </row>
    <row r="999" spans="12:28" x14ac:dyDescent="0.25">
      <c r="L999">
        <v>995</v>
      </c>
      <c r="M999">
        <f t="shared" si="263"/>
        <v>497.5</v>
      </c>
      <c r="N999">
        <f t="shared" si="259"/>
        <v>318790.68319000333</v>
      </c>
      <c r="O999">
        <f t="shared" si="260"/>
        <v>-948187.21910953335</v>
      </c>
      <c r="P999">
        <f t="shared" si="261"/>
        <v>196.40095870445947</v>
      </c>
      <c r="Q999">
        <f t="shared" si="262"/>
        <v>-1906.2768194083585</v>
      </c>
      <c r="R999">
        <f t="shared" si="248"/>
        <v>-1.4887243432368957</v>
      </c>
      <c r="S999">
        <f t="shared" si="249"/>
        <v>4.6740926709523807</v>
      </c>
      <c r="T999">
        <f t="shared" si="250"/>
        <v>998920.29063129681</v>
      </c>
      <c r="U999">
        <f t="shared" si="251"/>
        <v>1016317.8016158184</v>
      </c>
      <c r="V999">
        <f t="shared" si="252"/>
        <v>987764.5430111537</v>
      </c>
      <c r="W999">
        <f t="shared" si="253"/>
        <v>-1.2548796255590757</v>
      </c>
      <c r="X999">
        <f t="shared" si="254"/>
        <v>-5.7956840218364399E-2</v>
      </c>
      <c r="Y999">
        <f t="shared" si="255"/>
        <v>-0.17588787745945572</v>
      </c>
      <c r="Z999">
        <f t="shared" si="256"/>
        <v>4.0032547462105317</v>
      </c>
      <c r="AA999">
        <f t="shared" si="257"/>
        <v>0.16391685578338469</v>
      </c>
      <c r="AB999">
        <f t="shared" si="258"/>
        <v>0.50692106895846401</v>
      </c>
    </row>
    <row r="1000" spans="12:28" x14ac:dyDescent="0.25">
      <c r="L1000">
        <v>996</v>
      </c>
      <c r="M1000">
        <f t="shared" si="263"/>
        <v>498</v>
      </c>
      <c r="N1000">
        <f t="shared" si="259"/>
        <v>318888.69757881266</v>
      </c>
      <c r="O1000">
        <f t="shared" si="260"/>
        <v>-949139.77325765369</v>
      </c>
      <c r="P1000">
        <f t="shared" si="261"/>
        <v>195.65659653284104</v>
      </c>
      <c r="Q1000">
        <f t="shared" si="262"/>
        <v>-1903.9397730728824</v>
      </c>
      <c r="R1000">
        <f t="shared" si="248"/>
        <v>-1.4850207262755637</v>
      </c>
      <c r="S1000">
        <f t="shared" si="249"/>
        <v>4.6656237815371808</v>
      </c>
      <c r="T1000">
        <f t="shared" si="250"/>
        <v>999858.57022507221</v>
      </c>
      <c r="U1000">
        <f t="shared" si="251"/>
        <v>1017248.5704051922</v>
      </c>
      <c r="V1000">
        <f t="shared" si="252"/>
        <v>988696.61898944515</v>
      </c>
      <c r="W1000">
        <f t="shared" si="253"/>
        <v>-1.2517620567826724</v>
      </c>
      <c r="X1000">
        <f t="shared" si="254"/>
        <v>-5.7814625384634076E-2</v>
      </c>
      <c r="Y1000">
        <f t="shared" si="255"/>
        <v>-0.17544404410825715</v>
      </c>
      <c r="Z1000">
        <f t="shared" si="256"/>
        <v>3.9959890578204909</v>
      </c>
      <c r="AA1000">
        <f t="shared" si="257"/>
        <v>0.16362984979603223</v>
      </c>
      <c r="AB1000">
        <f t="shared" si="258"/>
        <v>0.50600487392065774</v>
      </c>
    </row>
    <row r="1001" spans="12:28" x14ac:dyDescent="0.25">
      <c r="L1001">
        <v>997</v>
      </c>
      <c r="M1001">
        <f t="shared" si="263"/>
        <v>498.5</v>
      </c>
      <c r="N1001">
        <f t="shared" si="259"/>
        <v>318986.34024948825</v>
      </c>
      <c r="O1001">
        <f t="shared" si="260"/>
        <v>-950091.15994121751</v>
      </c>
      <c r="P1001">
        <f t="shared" si="261"/>
        <v>194.91408616970327</v>
      </c>
      <c r="Q1001">
        <f t="shared" si="262"/>
        <v>-1901.6069611821138</v>
      </c>
      <c r="R1001">
        <f t="shared" si="248"/>
        <v>-1.4813335286961307</v>
      </c>
      <c r="S1001">
        <f t="shared" si="249"/>
        <v>4.657188724672273</v>
      </c>
      <c r="T1001">
        <f t="shared" si="250"/>
        <v>1000795.6611884581</v>
      </c>
      <c r="U1001">
        <f t="shared" si="251"/>
        <v>1018178.1643077082</v>
      </c>
      <c r="V1001">
        <f t="shared" si="252"/>
        <v>989627.51885164797</v>
      </c>
      <c r="W1001">
        <f t="shared" si="253"/>
        <v>-1.2486582885365693</v>
      </c>
      <c r="X1001">
        <f t="shared" si="254"/>
        <v>-5.7673035921939154E-2</v>
      </c>
      <c r="Y1001">
        <f t="shared" si="255"/>
        <v>-0.17500220423762233</v>
      </c>
      <c r="Z1001">
        <f t="shared" si="256"/>
        <v>3.9887524365610174</v>
      </c>
      <c r="AA1001">
        <f t="shared" si="257"/>
        <v>0.16334396222241188</v>
      </c>
      <c r="AB1001">
        <f t="shared" si="258"/>
        <v>0.50509232588884301</v>
      </c>
    </row>
    <row r="1002" spans="12:28" x14ac:dyDescent="0.25">
      <c r="L1002">
        <v>998</v>
      </c>
      <c r="M1002">
        <f t="shared" si="263"/>
        <v>499</v>
      </c>
      <c r="N1002">
        <f t="shared" si="259"/>
        <v>319083.61212588201</v>
      </c>
      <c r="O1002">
        <f t="shared" si="260"/>
        <v>-951041.38127321796</v>
      </c>
      <c r="P1002">
        <f t="shared" si="261"/>
        <v>194.17341940535519</v>
      </c>
      <c r="Q1002">
        <f t="shared" si="262"/>
        <v>-1899.2783668197776</v>
      </c>
      <c r="R1002">
        <f t="shared" si="248"/>
        <v>-1.4776626485521422</v>
      </c>
      <c r="S1002">
        <f t="shared" si="249"/>
        <v>4.6487873091501104</v>
      </c>
      <c r="T1002">
        <f t="shared" si="250"/>
        <v>1001731.5657146217</v>
      </c>
      <c r="U1002">
        <f t="shared" si="251"/>
        <v>1019106.5854619282</v>
      </c>
      <c r="V1002">
        <f t="shared" si="252"/>
        <v>990557.24473875458</v>
      </c>
      <c r="W1002">
        <f t="shared" si="253"/>
        <v>-1.2455682352174982</v>
      </c>
      <c r="X1002">
        <f t="shared" si="254"/>
        <v>-5.7532067986171928E-2</v>
      </c>
      <c r="Y1002">
        <f t="shared" si="255"/>
        <v>-0.17456234534847215</v>
      </c>
      <c r="Z1002">
        <f t="shared" si="256"/>
        <v>3.9815447178903822</v>
      </c>
      <c r="AA1002">
        <f t="shared" si="257"/>
        <v>0.16305918690169294</v>
      </c>
      <c r="AB1002">
        <f t="shared" si="258"/>
        <v>0.50418340435803577</v>
      </c>
    </row>
    <row r="1003" spans="12:28" x14ac:dyDescent="0.25">
      <c r="L1003">
        <v>999</v>
      </c>
      <c r="M1003">
        <f t="shared" si="263"/>
        <v>499.5</v>
      </c>
      <c r="N1003">
        <f t="shared" si="259"/>
        <v>319180.51412775362</v>
      </c>
      <c r="O1003">
        <f t="shared" si="260"/>
        <v>-951990.43935821415</v>
      </c>
      <c r="P1003">
        <f t="shared" si="261"/>
        <v>193.43458808107911</v>
      </c>
      <c r="Q1003">
        <f t="shared" si="262"/>
        <v>-1896.9539731652026</v>
      </c>
      <c r="R1003">
        <f t="shared" si="248"/>
        <v>-1.4740079847100565</v>
      </c>
      <c r="S1003">
        <f t="shared" si="249"/>
        <v>4.6404193451825728</v>
      </c>
      <c r="T1003">
        <f t="shared" si="250"/>
        <v>1002666.2859879027</v>
      </c>
      <c r="U1003">
        <f t="shared" si="251"/>
        <v>1020033.8359978934</v>
      </c>
      <c r="V1003">
        <f t="shared" si="252"/>
        <v>991485.79878323711</v>
      </c>
      <c r="W1003">
        <f t="shared" si="253"/>
        <v>-1.2424918119042947</v>
      </c>
      <c r="X1003">
        <f t="shared" si="254"/>
        <v>-5.7391717763562132E-2</v>
      </c>
      <c r="Y1003">
        <f t="shared" si="255"/>
        <v>-0.17412445504219956</v>
      </c>
      <c r="Z1003">
        <f t="shared" si="256"/>
        <v>3.9743657384903579</v>
      </c>
      <c r="AA1003">
        <f t="shared" si="257"/>
        <v>0.16277551771767346</v>
      </c>
      <c r="AB1003">
        <f t="shared" si="258"/>
        <v>0.5032780889745414</v>
      </c>
    </row>
    <row r="1004" spans="12:28" x14ac:dyDescent="0.25">
      <c r="L1004">
        <v>1000</v>
      </c>
      <c r="M1004">
        <f t="shared" si="263"/>
        <v>500</v>
      </c>
      <c r="N1004">
        <f t="shared" si="259"/>
        <v>319277.04717079608</v>
      </c>
      <c r="O1004">
        <f t="shared" si="260"/>
        <v>-952938.3362923786</v>
      </c>
      <c r="P1004">
        <f t="shared" si="261"/>
        <v>192.69758408872408</v>
      </c>
      <c r="Q1004">
        <f t="shared" si="262"/>
        <v>-1894.6337634926113</v>
      </c>
      <c r="R1004">
        <f t="shared" si="248"/>
        <v>-1.470369436841362</v>
      </c>
      <c r="S1004">
        <f t="shared" si="249"/>
        <v>4.632084644388021</v>
      </c>
      <c r="T1004">
        <f t="shared" si="250"/>
        <v>1003599.8241838632</v>
      </c>
      <c r="U1004">
        <f t="shared" si="251"/>
        <v>1020959.9180371718</v>
      </c>
      <c r="V1004">
        <f t="shared" si="252"/>
        <v>992413.18310909474</v>
      </c>
      <c r="W1004">
        <f t="shared" si="253"/>
        <v>-1.2394289343512854</v>
      </c>
      <c r="X1004">
        <f t="shared" si="254"/>
        <v>-5.7251981470386959E-2</v>
      </c>
      <c r="Y1004">
        <f t="shared" si="255"/>
        <v>-0.17368852101968971</v>
      </c>
      <c r="Z1004">
        <f t="shared" si="256"/>
        <v>3.9672153362550429</v>
      </c>
      <c r="AA1004">
        <f t="shared" si="257"/>
        <v>0.16249294859838645</v>
      </c>
      <c r="AB1004">
        <f t="shared" si="258"/>
        <v>0.5023763595345917</v>
      </c>
    </row>
  </sheetData>
  <mergeCells count="60">
    <mergeCell ref="F39:G39"/>
    <mergeCell ref="F40:G40"/>
    <mergeCell ref="I2:J2"/>
    <mergeCell ref="F32:G32"/>
    <mergeCell ref="F34:G34"/>
    <mergeCell ref="F35:G35"/>
    <mergeCell ref="F37:G37"/>
    <mergeCell ref="F38:G38"/>
    <mergeCell ref="F26:G26"/>
    <mergeCell ref="F27:G27"/>
    <mergeCell ref="F29:G29"/>
    <mergeCell ref="F30:G30"/>
    <mergeCell ref="F31:G31"/>
    <mergeCell ref="D37:E37"/>
    <mergeCell ref="D35:E35"/>
    <mergeCell ref="D38:E38"/>
    <mergeCell ref="D39:E39"/>
    <mergeCell ref="D40:E40"/>
    <mergeCell ref="D36:E36"/>
    <mergeCell ref="F36:G36"/>
    <mergeCell ref="D29:E29"/>
    <mergeCell ref="D32:E32"/>
    <mergeCell ref="B33:G33"/>
    <mergeCell ref="D22:E22"/>
    <mergeCell ref="D23:E23"/>
    <mergeCell ref="D24:E24"/>
    <mergeCell ref="D27:E27"/>
    <mergeCell ref="D30:E30"/>
    <mergeCell ref="D31:E31"/>
    <mergeCell ref="B25:G25"/>
    <mergeCell ref="D28:E28"/>
    <mergeCell ref="F28:G28"/>
    <mergeCell ref="F22:G22"/>
    <mergeCell ref="F23:G23"/>
    <mergeCell ref="F24:G24"/>
    <mergeCell ref="D10:E10"/>
    <mergeCell ref="F10:G10"/>
    <mergeCell ref="F18:G18"/>
    <mergeCell ref="F19:G19"/>
    <mergeCell ref="B17:G17"/>
    <mergeCell ref="F14:G14"/>
    <mergeCell ref="D14:E14"/>
    <mergeCell ref="D19:E19"/>
    <mergeCell ref="B16:G16"/>
    <mergeCell ref="B2:G2"/>
    <mergeCell ref="D5:E5"/>
    <mergeCell ref="D6:E6"/>
    <mergeCell ref="B9:G9"/>
    <mergeCell ref="B4:G4"/>
    <mergeCell ref="D7:E7"/>
    <mergeCell ref="F5:G5"/>
    <mergeCell ref="F6:G6"/>
    <mergeCell ref="F7:G7"/>
    <mergeCell ref="F21:G21"/>
    <mergeCell ref="D21:E21"/>
    <mergeCell ref="F11:G11"/>
    <mergeCell ref="F12:G12"/>
    <mergeCell ref="F13:G13"/>
    <mergeCell ref="D20:E20"/>
    <mergeCell ref="F20:G20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94386-17DB-408B-AAB5-9F00974D8CA7}">
  <sheetPr codeName="Feuil2"/>
  <dimension ref="A1:I14"/>
  <sheetViews>
    <sheetView tabSelected="1" topLeftCell="J1" workbookViewId="0">
      <selection activeCell="J10" sqref="J10"/>
    </sheetView>
  </sheetViews>
  <sheetFormatPr baseColWidth="10" defaultRowHeight="15" x14ac:dyDescent="0.25"/>
  <cols>
    <col min="1" max="9" width="0" hidden="1" customWidth="1"/>
  </cols>
  <sheetData>
    <row r="1" spans="1:9" x14ac:dyDescent="0.25">
      <c r="A1">
        <v>0</v>
      </c>
      <c r="C1" t="s">
        <v>57</v>
      </c>
      <c r="D1" t="s">
        <v>58</v>
      </c>
      <c r="F1" t="s">
        <v>60</v>
      </c>
      <c r="H1" t="s">
        <v>61</v>
      </c>
    </row>
    <row r="2" spans="1:9" x14ac:dyDescent="0.25">
      <c r="A2">
        <v>1000</v>
      </c>
      <c r="C2" cm="1">
        <f t="array" ref="C2">INDEX(Feuil1!N4:N1004,Feuil2!A3)</f>
        <v>-2941.3466231217831</v>
      </c>
      <c r="D2" cm="1">
        <f t="array" ref="D2">INDEX(Feuil1!O4:O1004,Feuil2!A3)</f>
        <v>-23543.34391789334</v>
      </c>
    </row>
    <row r="3" spans="1:9" x14ac:dyDescent="0.25">
      <c r="A3">
        <v>34</v>
      </c>
      <c r="F3">
        <v>0</v>
      </c>
      <c r="G3">
        <v>3</v>
      </c>
      <c r="H3">
        <f>H11*$C$5+$C$2</f>
        <v>30.711201682968294</v>
      </c>
      <c r="I3">
        <f>I11*$C$5+$D$2</f>
        <v>-23134.84387380907</v>
      </c>
    </row>
    <row r="4" spans="1:9" x14ac:dyDescent="0.25">
      <c r="C4" t="s">
        <v>59</v>
      </c>
      <c r="F4">
        <v>-2</v>
      </c>
      <c r="G4">
        <v>-2</v>
      </c>
      <c r="H4">
        <f>H12*$C$5+$C$2</f>
        <v>-5195.0518690477966</v>
      </c>
      <c r="I4">
        <f>I12*$C$5+$D$2</f>
        <v>-21834.30539741302</v>
      </c>
    </row>
    <row r="5" spans="1:9" x14ac:dyDescent="0.25">
      <c r="C5">
        <f>Feuil1!D14</f>
        <v>1000</v>
      </c>
      <c r="F5">
        <v>2</v>
      </c>
      <c r="G5">
        <v>-2</v>
      </c>
      <c r="H5">
        <f>H13*$C$5+$C$2</f>
        <v>-4650.385143602105</v>
      </c>
      <c r="I5">
        <f>I13*$C$5+$D$2</f>
        <v>-25797.049163819356</v>
      </c>
    </row>
    <row r="6" spans="1:9" x14ac:dyDescent="0.25">
      <c r="F6">
        <v>0</v>
      </c>
      <c r="G6">
        <v>3</v>
      </c>
      <c r="H6">
        <f>H14*$C$5+$C$2</f>
        <v>30.711201682968294</v>
      </c>
      <c r="I6">
        <f>I14*$C$5+$D$2</f>
        <v>-23134.84387380907</v>
      </c>
    </row>
    <row r="8" spans="1:9" x14ac:dyDescent="0.25">
      <c r="G8" t="s">
        <v>62</v>
      </c>
      <c r="H8">
        <f>ATAN2($C$12,$D$12)-PI()/2</f>
        <v>-1.4342053092876885</v>
      </c>
      <c r="I8">
        <f>IFERROR(H8,0)</f>
        <v>-1.4342053092876885</v>
      </c>
    </row>
    <row r="10" spans="1:9" x14ac:dyDescent="0.25">
      <c r="H10" t="s">
        <v>63</v>
      </c>
      <c r="I10" t="s">
        <v>64</v>
      </c>
    </row>
    <row r="11" spans="1:9" x14ac:dyDescent="0.25">
      <c r="C11" t="s">
        <v>65</v>
      </c>
      <c r="D11" t="s">
        <v>66</v>
      </c>
      <c r="H11">
        <f>COS($I$8)*F3-SIN($I$8)*G3</f>
        <v>2.9720578248047516</v>
      </c>
      <c r="I11">
        <f>SIN($I$8)*F3+COS($I$8)*G3</f>
        <v>0.40850004408426899</v>
      </c>
    </row>
    <row r="12" spans="1:9" x14ac:dyDescent="0.25">
      <c r="C12" cm="1">
        <f t="array" ref="C12">INDEX(Feuil1!P4:P1004,Feuil2!A3)</f>
        <v>4272.6668557810735</v>
      </c>
      <c r="D12" cm="1">
        <f t="array" ref="D12">INDEX(Feuil1!Q4:Q1004,A3)</f>
        <v>587.26468387559908</v>
      </c>
      <c r="H12">
        <f>COS($I$8)*F4-SIN($I$8)*G4</f>
        <v>-2.2537052459260138</v>
      </c>
      <c r="I12">
        <f>SIN($I$8)*F4+COS($I$8)*G4</f>
        <v>1.7090385204803218</v>
      </c>
    </row>
    <row r="13" spans="1:9" x14ac:dyDescent="0.25">
      <c r="H13">
        <f>COS($I$8)*F5-SIN($I$8)*G5</f>
        <v>-1.7090385204803218</v>
      </c>
      <c r="I13">
        <f>SIN($I$8)*F5+COS($I$8)*G5</f>
        <v>-2.2537052459260138</v>
      </c>
    </row>
    <row r="14" spans="1:9" x14ac:dyDescent="0.25">
      <c r="H14">
        <f>COS($I$8)*F6-SIN($I$8)*G6</f>
        <v>2.9720578248047516</v>
      </c>
      <c r="I14">
        <f>SIN($I$8)*F6+COS($I$8)*G6</f>
        <v>0.40850004408426899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tartsimulation">
                <anchor moveWithCells="1" sizeWithCells="1">
                  <from>
                    <xdr:col>9</xdr:col>
                    <xdr:colOff>742950</xdr:colOff>
                    <xdr:row>1</xdr:row>
                    <xdr:rowOff>0</xdr:rowOff>
                  </from>
                  <to>
                    <xdr:col>12</xdr:col>
                    <xdr:colOff>19050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 khaoua</dc:creator>
  <cp:lastModifiedBy>arslan khaoua</cp:lastModifiedBy>
  <dcterms:created xsi:type="dcterms:W3CDTF">2022-11-21T19:54:10Z</dcterms:created>
  <dcterms:modified xsi:type="dcterms:W3CDTF">2022-12-15T16:14:37Z</dcterms:modified>
</cp:coreProperties>
</file>